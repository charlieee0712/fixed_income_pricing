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yin8\Downloads\"/>
    </mc:Choice>
  </mc:AlternateContent>
  <xr:revisionPtr revIDLastSave="0" documentId="13_ncr:1_{544DA2A6-2BF1-4268-B017-F42A49BA625E}" xr6:coauthVersionLast="47" xr6:coauthVersionMax="47" xr10:uidLastSave="{00000000-0000-0000-0000-000000000000}"/>
  <bookViews>
    <workbookView xWindow="-24120" yWindow="-120" windowWidth="24240" windowHeight="13020" activeTab="2" xr2:uid="{00000000-000D-0000-FFFF-FFFF00000000}"/>
  </bookViews>
  <sheets>
    <sheet name="说明" sheetId="1" r:id="rId1"/>
    <sheet name="data" sheetId="2" r:id="rId2"/>
    <sheet name="Sheet1" sheetId="3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2" l="1" a="1"/>
  <c r="G2" i="2" a="1"/>
  <c r="G3" i="2" a="1"/>
  <c r="E2" i="2"/>
  <c r="E3" i="2"/>
  <c r="E4" i="2"/>
  <c r="G3" i="2" l="1"/>
  <c r="G2" i="2"/>
  <c r="F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<sst xmlns="http://schemas.openxmlformats.org/spreadsheetml/2006/main" count="53" uniqueCount="29">
  <si>
    <t>01b — 也先跑这个(3 行)</t>
  </si>
  <si>
    <t>打开后 Bloomberg 插件会自动算。算完发回来。</t>
  </si>
  <si>
    <t>⚠️ 这里有个字段名 MTG_FACTOR 是我们猜的,不确定。</t>
  </si>
  <si>
    <t>如果 F、G 两列全是 #N/A,多半就是它猜错了 ——</t>
  </si>
  <si>
    <t>麻烦用 FLDS 看一下真实的字段名告诉我们,我们改一个字重新发。</t>
  </si>
  <si>
    <t>这张表用的参数和 03 完全一样,只是 12 个月而不是 211 个。</t>
  </si>
  <si>
    <t>在这里试出来能用的写法,原样就能用到 03 上。</t>
  </si>
  <si>
    <t>cusip</t>
  </si>
  <si>
    <t>asset_id</t>
  </si>
  <si>
    <t>structure</t>
  </si>
  <si>
    <t>security</t>
  </si>
  <si>
    <t>E_factor_today_BDP</t>
  </si>
  <si>
    <t>F_factor_12mo_series</t>
  </si>
  <si>
    <t>G_coupon_12mo_series</t>
  </si>
  <si>
    <t>why_this_row_is_here</t>
  </si>
  <si>
    <t>31339DQX9</t>
  </si>
  <si>
    <t>TNTD03140190</t>
  </si>
  <si>
    <t>remic-tranche</t>
  </si>
  <si>
    <t>31339DQX9 Mtge</t>
  </si>
  <si>
    <t>PAID-OFF tranche. Its realised cash flow is COMPLETE -- if the factor series runs to zero we can price this bond with no assumption of any kind.</t>
  </si>
  <si>
    <t>31396XJY1</t>
  </si>
  <si>
    <t>TNTD03416170</t>
  </si>
  <si>
    <t>31396XJY1 Mtge</t>
  </si>
  <si>
    <t>LIVE tranche. Realised 2009-today plus a short tail we handle with the same CPR grid the pools use.</t>
  </si>
  <si>
    <t>31402CZR6</t>
  </si>
  <si>
    <t>TNTD03415332</t>
  </si>
  <si>
    <t>pass-through</t>
  </si>
  <si>
    <t>31402CZR6 Mtge</t>
  </si>
  <si>
    <t>VALIDATION: a plain pool our engine ALREADY prices. If the factor method reproduces our own number here, the method is proven before we point it at a tranche. This row is the reason to trust the other two.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</si>
</sst>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BDP|17117400793981784295</stp>
        <tr r="E2" s="2"/>
      </tp>
      <tp t="s">
        <v>#N/A N/A</v>
        <stp/>
        <stp>BDH|10315899012190509420</stp>
        <tr r="G2" s="2"/>
      </tp>
      <tp t="s">
        <v>#N/A N/A</v>
        <stp/>
        <stp>BDH|16471028067870378275</stp>
        <tr r="G3" s="2"/>
      </tp>
      <tp t="s">
        <v>#N/A N/A</v>
        <stp/>
        <stp>BDP|13055384215880692296</stp>
        <tr r="E4" s="2"/>
      </tp>
      <tp t="s">
        <v>#N/A N/A</v>
        <stp/>
        <stp>BDH|17646620732107069286</stp>
        <tr r="F2" s="2"/>
      </tp>
    </main>
    <main first="bofaddin.rtdserver">
      <tp t="s">
        <v>#N/A N/A</v>
        <stp/>
        <stp>BDP|470108954413833148</stp>
        <tr r="E3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/>
  </sheetViews>
  <sheetFormatPr defaultRowHeight="15" x14ac:dyDescent="0.25"/>
  <cols>
    <col min="1" max="1" width="76" customWidth="1"/>
  </cols>
  <sheetData>
    <row r="1" spans="1:1" ht="18.75" x14ac:dyDescent="0.3">
      <c r="A1" s="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9" spans="1:1" x14ac:dyDescent="0.25">
      <c r="A9" t="s">
        <v>5</v>
      </c>
    </row>
    <row r="10" spans="1:1" x14ac:dyDescent="0.25">
      <c r="A10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defaultRowHeight="15" x14ac:dyDescent="0.25"/>
  <cols>
    <col min="1" max="1" width="22" customWidth="1"/>
    <col min="2" max="8" width="17" customWidth="1"/>
  </cols>
  <sheetData>
    <row r="1" spans="1:8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</row>
    <row r="2" spans="1:8" x14ac:dyDescent="0.25">
      <c r="A2" t="s">
        <v>15</v>
      </c>
      <c r="B2" t="s">
        <v>16</v>
      </c>
      <c r="C2" t="s">
        <v>17</v>
      </c>
      <c r="D2" t="s">
        <v>18</v>
      </c>
      <c r="E2">
        <f>_xll.BDP($D2,"MTG_FACTOR")</f>
        <v>0</v>
      </c>
      <c r="F2" cm="1">
        <f t="array" ref="F2:F12">_xll.BDH($D2,"MTG_FACTOR","20090301","20100201","Per=M","Dts=H","Fill=B")</f>
        <v>0.43011065999999998</v>
      </c>
      <c r="G2" t="e" cm="1" vm="1">
        <f t="array" aca="1" ref="G2" ca="1">_xll.BDH($D2,"CPN","20090301","20100201","Per=M","Dts=H","Fill=B")</f>
        <v>#VALUE!</v>
      </c>
      <c r="H2" t="s">
        <v>19</v>
      </c>
    </row>
    <row r="3" spans="1:8" x14ac:dyDescent="0.25">
      <c r="A3" t="s">
        <v>20</v>
      </c>
      <c r="B3" t="s">
        <v>21</v>
      </c>
      <c r="C3" t="s">
        <v>17</v>
      </c>
      <c r="D3" t="s">
        <v>22</v>
      </c>
      <c r="E3">
        <f>_xll.BDP($D3,"MTG_FACTOR")</f>
        <v>0</v>
      </c>
      <c r="F3">
        <v>0.40287236999999998</v>
      </c>
      <c r="G3" cm="1">
        <f t="array" ref="G3:G13">_xll.BDH($D3,"CPN","20090301","20100201","Per=M","Dts=H","Fill=B")</f>
        <v>6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>
        <f>_xll.BDP($D4,"MTG_FACTOR")</f>
        <v>0</v>
      </c>
      <c r="F4">
        <v>0.38345080999999998</v>
      </c>
      <c r="G4">
        <v>6</v>
      </c>
      <c r="H4" t="s">
        <v>28</v>
      </c>
    </row>
    <row r="5" spans="1:8" x14ac:dyDescent="0.25">
      <c r="F5">
        <v>0.36512378000000001</v>
      </c>
      <c r="G5">
        <v>6</v>
      </c>
    </row>
    <row r="6" spans="1:8" x14ac:dyDescent="0.25">
      <c r="F6">
        <v>0.34700555</v>
      </c>
      <c r="G6">
        <v>6</v>
      </c>
    </row>
    <row r="7" spans="1:8" x14ac:dyDescent="0.25">
      <c r="F7">
        <v>0.33153261000000001</v>
      </c>
      <c r="G7">
        <v>6</v>
      </c>
    </row>
    <row r="8" spans="1:8" x14ac:dyDescent="0.25">
      <c r="F8">
        <v>0.31739288999999998</v>
      </c>
      <c r="G8">
        <v>6</v>
      </c>
    </row>
    <row r="9" spans="1:8" x14ac:dyDescent="0.25">
      <c r="F9">
        <v>0.30919523999999998</v>
      </c>
      <c r="G9">
        <v>6</v>
      </c>
    </row>
    <row r="10" spans="1:8" x14ac:dyDescent="0.25">
      <c r="F10">
        <v>0.30002603</v>
      </c>
      <c r="G10">
        <v>6</v>
      </c>
    </row>
    <row r="11" spans="1:8" x14ac:dyDescent="0.25">
      <c r="F11">
        <v>0.29139062999999998</v>
      </c>
      <c r="G11">
        <v>6</v>
      </c>
    </row>
    <row r="12" spans="1:8" x14ac:dyDescent="0.25">
      <c r="F12">
        <v>0.27871085000000001</v>
      </c>
      <c r="G12">
        <v>6</v>
      </c>
    </row>
    <row r="13" spans="1:8" x14ac:dyDescent="0.25">
      <c r="G13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6279C-992F-4EE0-AC0C-DC20300F8C75}">
  <dimension ref="A1:H14"/>
  <sheetViews>
    <sheetView tabSelected="1" workbookViewId="0">
      <selection activeCell="C14" sqref="C14"/>
    </sheetView>
  </sheetViews>
  <sheetFormatPr defaultRowHeight="15" x14ac:dyDescent="0.25"/>
  <cols>
    <col min="1" max="1" width="22" customWidth="1"/>
    <col min="2" max="8" width="17" customWidth="1"/>
  </cols>
  <sheetData>
    <row r="1" spans="1:8" customFormat="1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</row>
    <row r="2" spans="1:8" customFormat="1" x14ac:dyDescent="0.25">
      <c r="A2" t="s">
        <v>15</v>
      </c>
      <c r="B2" t="s">
        <v>16</v>
      </c>
      <c r="C2" t="s">
        <v>17</v>
      </c>
      <c r="D2" t="s">
        <v>18</v>
      </c>
      <c r="E2">
        <v>0</v>
      </c>
      <c r="F2">
        <v>0.43011065999999998</v>
      </c>
      <c r="G2" t="e" vm="1">
        <v>#VALUE!</v>
      </c>
      <c r="H2" t="s">
        <v>19</v>
      </c>
    </row>
    <row r="3" spans="1:8" customFormat="1" x14ac:dyDescent="0.25">
      <c r="A3" t="s">
        <v>20</v>
      </c>
      <c r="B3" t="s">
        <v>21</v>
      </c>
      <c r="C3" t="s">
        <v>17</v>
      </c>
      <c r="D3" t="s">
        <v>22</v>
      </c>
      <c r="E3">
        <v>0</v>
      </c>
      <c r="F3">
        <v>0.40287236999999998</v>
      </c>
      <c r="G3">
        <v>6</v>
      </c>
      <c r="H3" t="s">
        <v>23</v>
      </c>
    </row>
    <row r="4" spans="1:8" customFormat="1" x14ac:dyDescent="0.25">
      <c r="A4" t="s">
        <v>24</v>
      </c>
      <c r="B4" t="s">
        <v>25</v>
      </c>
      <c r="C4" t="s">
        <v>26</v>
      </c>
      <c r="D4" t="s">
        <v>27</v>
      </c>
      <c r="E4">
        <v>0</v>
      </c>
      <c r="F4">
        <v>0.38345080999999998</v>
      </c>
      <c r="G4">
        <v>6</v>
      </c>
      <c r="H4" t="s">
        <v>28</v>
      </c>
    </row>
    <row r="5" spans="1:8" customFormat="1" x14ac:dyDescent="0.25">
      <c r="F5">
        <v>0.36512378000000001</v>
      </c>
      <c r="G5">
        <v>6</v>
      </c>
    </row>
    <row r="6" spans="1:8" customFormat="1" x14ac:dyDescent="0.25">
      <c r="F6">
        <v>0.34700555</v>
      </c>
      <c r="G6">
        <v>6</v>
      </c>
    </row>
    <row r="7" spans="1:8" customFormat="1" x14ac:dyDescent="0.25">
      <c r="F7">
        <v>0.33153261000000001</v>
      </c>
      <c r="G7">
        <v>6</v>
      </c>
    </row>
    <row r="8" spans="1:8" customFormat="1" x14ac:dyDescent="0.25">
      <c r="F8">
        <v>0.31739288999999998</v>
      </c>
      <c r="G8">
        <v>6</v>
      </c>
    </row>
    <row r="9" spans="1:8" customFormat="1" x14ac:dyDescent="0.25">
      <c r="F9">
        <v>0.30919523999999998</v>
      </c>
      <c r="G9">
        <v>6</v>
      </c>
    </row>
    <row r="10" spans="1:8" customFormat="1" x14ac:dyDescent="0.25">
      <c r="F10">
        <v>0.30002603</v>
      </c>
      <c r="G10">
        <v>6</v>
      </c>
    </row>
    <row r="11" spans="1:8" customFormat="1" x14ac:dyDescent="0.25">
      <c r="F11">
        <v>0.29139062999999998</v>
      </c>
      <c r="G11">
        <v>6</v>
      </c>
    </row>
    <row r="12" spans="1:8" customFormat="1" x14ac:dyDescent="0.25">
      <c r="F12">
        <v>0.27871085000000001</v>
      </c>
      <c r="G12">
        <v>6</v>
      </c>
    </row>
    <row r="13" spans="1:8" customFormat="1" x14ac:dyDescent="0.25">
      <c r="G13">
        <v>6</v>
      </c>
    </row>
    <row r="14" spans="1:8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说明</vt:lpstr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Yin, Liping</cp:lastModifiedBy>
  <dcterms:created xsi:type="dcterms:W3CDTF">2026-10-01T15:11:08Z</dcterms:created>
  <dcterms:modified xsi:type="dcterms:W3CDTF">2026-10-01T18:13:59Z</dcterms:modified>
</cp:coreProperties>
</file>