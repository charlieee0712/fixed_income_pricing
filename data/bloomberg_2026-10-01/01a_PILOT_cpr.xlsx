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yin8\Downloads\"/>
    </mc:Choice>
  </mc:AlternateContent>
  <xr:revisionPtr revIDLastSave="0" documentId="13_ncr:1_{82FBED14-BEC8-411D-A25F-0F11EC564563}" xr6:coauthVersionLast="47" xr6:coauthVersionMax="47" xr10:uidLastSave="{00000000-0000-0000-0000-000000000000}"/>
  <bookViews>
    <workbookView xWindow="-21525" yWindow="2175" windowWidth="18000" windowHeight="9270" activeTab="3" xr2:uid="{00000000-000D-0000-FFFF-FFFF00000000}"/>
  </bookViews>
  <sheets>
    <sheet name="说明" sheetId="1" r:id="rId1"/>
    <sheet name="data" sheetId="2" r:id="rId2"/>
    <sheet name="Sheet1" sheetId="3" r:id="rId3"/>
    <sheet name="Sheet2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 a="1"/>
  <c r="G5" i="2" a="1"/>
  <c r="G3" i="2" a="1"/>
  <c r="G6" i="2" a="1"/>
  <c r="G4" i="2" a="1"/>
  <c r="F6" i="2" a="1"/>
  <c r="J5" i="3" a="1"/>
  <c r="J6" i="3" a="1"/>
  <c r="J3" i="3" a="1"/>
  <c r="J4" i="3" a="1"/>
  <c r="J2" i="3" a="1"/>
  <c r="I3" i="3" a="1"/>
  <c r="I5" i="3" a="1"/>
  <c r="I4" i="3" a="1"/>
  <c r="I6" i="3" a="1"/>
  <c r="I2" i="3" a="1"/>
  <c r="H5" i="3" a="1"/>
  <c r="H6" i="3" a="1"/>
  <c r="H4" i="3" a="1"/>
  <c r="H3" i="3" a="1"/>
  <c r="H2" i="3" a="1"/>
  <c r="G4" i="3" a="1"/>
  <c r="G3" i="3" a="1"/>
  <c r="G5" i="3" a="1"/>
  <c r="G6" i="3" a="1"/>
  <c r="G2" i="3" a="1"/>
  <c r="F6" i="3" a="1"/>
  <c r="F3" i="3" a="1"/>
  <c r="F5" i="3" a="1"/>
  <c r="F4" i="3" a="1"/>
  <c r="F2" i="3" a="1"/>
  <c r="F3" i="2" a="1"/>
  <c r="F2" i="2" a="1"/>
  <c r="F5" i="2" a="1"/>
  <c r="F4" i="2" a="1"/>
  <c r="E4" i="2"/>
  <c r="J4" i="3" l="1"/>
  <c r="J3" i="3"/>
  <c r="J6" i="3"/>
  <c r="J5" i="3"/>
  <c r="J2" i="3"/>
  <c r="I6" i="3"/>
  <c r="I4" i="3"/>
  <c r="I5" i="3"/>
  <c r="I3" i="3"/>
  <c r="I2" i="3"/>
  <c r="H3" i="3"/>
  <c r="H4" i="3"/>
  <c r="H6" i="3"/>
  <c r="H5" i="3"/>
  <c r="H2" i="3"/>
  <c r="G6" i="3"/>
  <c r="G5" i="3"/>
  <c r="G3" i="3"/>
  <c r="G4" i="3"/>
  <c r="G2" i="3"/>
  <c r="F4" i="3"/>
  <c r="F5" i="3"/>
  <c r="F3" i="3"/>
  <c r="F6" i="3"/>
  <c r="F2" i="3"/>
  <c r="G4" i="2"/>
  <c r="G6" i="2"/>
  <c r="G3" i="2"/>
  <c r="G5" i="2"/>
  <c r="G2" i="2"/>
  <c r="F4" i="2"/>
  <c r="F5" i="2"/>
  <c r="F2" i="2"/>
  <c r="F6" i="2"/>
  <c r="F3" i="2"/>
  <c r="H5" i="2" a="1"/>
  <c r="E2" i="2"/>
  <c r="H5" i="2" l="1"/>
  <c r="H3" i="2" a="1"/>
  <c r="E5" i="2"/>
  <c r="E6" i="2"/>
  <c r="H3" i="2" l="1"/>
  <c r="H2" i="2" a="1"/>
  <c r="H4" i="2" a="1"/>
  <c r="H6" i="2" a="1"/>
  <c r="E3" i="2"/>
  <c r="H6" i="2" l="1"/>
  <c r="H4" i="2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<sst xmlns="http://schemas.openxmlformats.org/spreadsheetml/2006/main" count="97" uniqueCount="42">
  <si>
    <t>01a — 先跑这个(5 行,一分钟)</t>
  </si>
  <si>
    <t>打开后 Bloomberg 插件会自动算。算完把整个文件发回来就行。</t>
  </si>
  <si>
    <t>E 列是今天的值,F/G/H 三列是三种问 2009 年的写法。</t>
  </si>
  <si>
    <t>我们要看的是:F 列和 E 列是不是不一样。</t>
  </si>
  <si>
    <t>如果 F 列也读出和 E 列差不多的数,说明日期没生效 —— 那正是七月那次的问题。</t>
  </si>
  <si>
    <t>每一行测的东西不同,最后一列 why_this_row_is_here 写了。</t>
  </si>
  <si>
    <t>哪一格没数据就留空,不要补。</t>
  </si>
  <si>
    <t>cusip</t>
  </si>
  <si>
    <t>asset_id</t>
  </si>
  <si>
    <t>route</t>
  </si>
  <si>
    <t>security</t>
  </si>
  <si>
    <t>E_value_today_BDP</t>
  </si>
  <si>
    <t>F_single_day_BDH</t>
  </si>
  <si>
    <t>G_whole_month_BDH</t>
  </si>
  <si>
    <t>H_no_layout_options</t>
  </si>
  <si>
    <t>why_this_row_is_here</t>
  </si>
  <si>
    <t>31283H4W2</t>
  </si>
  <si>
    <t>TNTD03142772</t>
  </si>
  <si>
    <t>pool</t>
  </si>
  <si>
    <t>31283H4W2 Mtge</t>
  </si>
  <si>
    <t>LIVE pool with a value today. E is a genuine 2026 speed; 2009 was a refi wave, so E and F must differ by a lot. If they match, the date did not apply.</t>
  </si>
  <si>
    <t>31283K3C0</t>
  </si>
  <si>
    <t>TNTD03144550</t>
  </si>
  <si>
    <t>31283K3C0 Mtge</t>
  </si>
  <si>
    <t>PAID-OFF pool -- E is FROZEN at whenever it died and looks like a live number. If F differs from E, the date reached back past the payoff: the strongest single confirmation on this sheet.</t>
  </si>
  <si>
    <t>3128JRPE0</t>
  </si>
  <si>
    <t>TNTD03229114</t>
  </si>
  <si>
    <t>3128JRPE0 Mtge</t>
  </si>
  <si>
    <t>LIVE pool with NO value today (5 of these, all ARM-like). Does the history hold what the current field does not?</t>
  </si>
  <si>
    <t>01F050452</t>
  </si>
  <si>
    <t>TNTD03333865</t>
  </si>
  <si>
    <t>tba-forward</t>
  </si>
  <si>
    <t>01F050452 Mtge</t>
  </si>
  <si>
    <t>TBA generic that answered in July -- confirms a generic carries a cohort speed.</t>
  </si>
  <si>
    <t>01F040446</t>
  </si>
  <si>
    <t>TNTD03376464</t>
  </si>
  <si>
    <t>01F040446 Mtge</t>
  </si>
  <si>
    <t>TBA generic that did NOT answer in July. If it stays empty we price the 27 TBAs off the cohort grid, which is already built -- so an empty answer costs us nothing and is still worth knowing.</t>
  </si>
  <si>
    <t>#N/A Field Not Applicable</t>
  </si>
  <si>
    <t>PSA</t>
  </si>
  <si>
    <t>#N/A N/A</t>
  </si>
  <si>
    <t>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</si>
</sst>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BDH|16411975021830712634</stp>
        <tr r="H6" s="2"/>
      </tp>
    </main>
    <main first="bofaddin.rtdserver">
      <tp t="e">
        <v>#N/A</v>
        <stp/>
        <stp>BDH|14506072375140933861</stp>
        <tr r="G2" s="2"/>
      </tp>
    </main>
    <main first="bofaddin.rtdserver">
      <tp t="e">
        <v>#N/A</v>
        <stp/>
        <stp>BDH|15116101909898412546</stp>
        <tr r="H2" s="2"/>
      </tp>
    </main>
    <main first="bofaddin.rtdserver">
      <tp t="e">
        <v>#N/A</v>
        <stp/>
        <stp>BDH|12313138579095942396</stp>
        <tr r="H3" s="2"/>
      </tp>
    </main>
    <main first="bofaddin.rtdserver">
      <tp t="e">
        <v>#N/A</v>
        <stp/>
        <stp>BDH|17939914041869573102</stp>
        <tr r="H5" s="2"/>
      </tp>
    </main>
    <main first="bloomberg.rtd">
      <tp>
        <v>9.3445367114</v>
        <stp/>
        <stp>##V3_BDPV12</stp>
        <stp>31283H4W2 Mtge</stp>
        <stp>MTG_GEN_CPR_3M</stp>
        <stp>[01a_PILOT_cpr.xlsx]data!R2C5</stp>
        <tr r="E2" s="2"/>
      </tp>
      <tp>
        <v>14.890713031899999</v>
        <stp/>
        <stp>##V3_BDPV12</stp>
        <stp>01F050452 Mtge</stp>
        <stp>MTG_GEN_CPR_3M</stp>
        <stp>[01a_PILOT_cpr.xlsx]data!R5C5</stp>
        <tr r="E5" s="2"/>
      </tp>
      <tp>
        <v>86.0825703788</v>
        <stp/>
        <stp>##V3_BDPV12</stp>
        <stp>31283K3C0 Mtge</stp>
        <stp>MTG_GEN_CPR_3M</stp>
        <stp>[01a_PILOT_cpr.xlsx]data!R3C5</stp>
        <tr r="E3" s="2"/>
      </tp>
      <tp>
        <v>5.0470110987999997</v>
        <stp/>
        <stp>##V3_BDPV12</stp>
        <stp>01F040446 Mtge</stp>
        <stp>MTG_GEN_CPR_3M</stp>
        <stp>[01a_PILOT_cpr.xlsx]data!R6C5</stp>
        <tr r="E6" s="2"/>
      </tp>
    </main>
    <main first="bloomberg.rtd">
      <tp>
        <v>168.1</v>
        <stp/>
        <stp>##V3_BDPV12</stp>
        <stp>31283H4W2 Mtge</stp>
        <stp xml:space="preserve">MTG_PL_PSA_6M </stp>
        <stp>[01a_PILOT_cpr.xlsx]Sheet1!R2C10</stp>
        <tr r="J2" s="3"/>
      </tp>
      <tp t="s">
        <v>PSA</v>
        <stp/>
        <stp>##V3_BDPV12</stp>
        <stp>01F040446 Mtge</stp>
        <stp>MTG_PREPAY_TYP</stp>
        <stp>[01a_PILOT_cpr.xlsx]Sheet1!R6C6</stp>
        <tr r="F6" s="3"/>
      </tp>
      <tp t="s">
        <v>PSA</v>
        <stp/>
        <stp>##V3_BDPV12</stp>
        <stp>01F050452 Mtge</stp>
        <stp>MTG_PREPAY_TYP</stp>
        <stp>[01a_PILOT_cpr.xlsx]Sheet1!R5C6</stp>
        <tr r="F5" s="3"/>
      </tp>
      <tp>
        <v>158.30000000000001</v>
        <stp/>
        <stp>##V3_BDPV12</stp>
        <stp>31283H4W2 Mtge</stp>
        <stp xml:space="preserve">MTG_PL_PSA_1M </stp>
        <stp>[01a_PILOT_cpr.xlsx]Sheet1!R2C8</stp>
        <tr r="H2" s="3"/>
      </tp>
      <tp t="s">
        <v>#N/A Invalid Field</v>
        <stp/>
        <stp>##V3_BDHV12</stp>
        <stp>3128JRPE0 Mtge</stp>
        <stp>MTG_GEN_CPR_3M</stp>
        <stp>20090331</stp>
        <stp>20090331</stp>
        <stp>[01a_PILOT_cpr.xlsx]data!R4C6</stp>
        <stp>Dts=H</stp>
        <tr r="F4" s="2"/>
      </tp>
      <tp>
        <v>100.4</v>
        <stp/>
        <stp>##V3_BDPV12</stp>
        <stp>3128JRPE0 Mtge</stp>
        <stp xml:space="preserve">MTG_PL_PSA_6M </stp>
        <stp>[01a_PILOT_cpr.xlsx]Sheet1!R4C10</stp>
        <tr r="J4" s="3"/>
      </tp>
      <tp>
        <v>156.1</v>
        <stp/>
        <stp>##V3_BDPV12</stp>
        <stp>31283H4W2 Mtge</stp>
        <stp xml:space="preserve">MTG_PL_PSA_3M </stp>
        <stp>[01a_PILOT_cpr.xlsx]Sheet1!R2C9</stp>
        <tr r="I2" s="3"/>
      </tp>
      <tp>
        <v>1666.7</v>
        <stp/>
        <stp>##V3_BDPV12</stp>
        <stp>31283K3C0 Mtge</stp>
        <stp xml:space="preserve">MTG_PL_PSA_3M </stp>
        <stp>[01a_PILOT_cpr.xlsx]Sheet1!R3C9</stp>
        <tr r="I3" s="3"/>
      </tp>
      <tp>
        <v>1666.7</v>
        <stp/>
        <stp>##V3_BDPV12</stp>
        <stp>31283K3C0 Mtge</stp>
        <stp xml:space="preserve">MTG_PL_PSA_6M </stp>
        <stp>[01a_PILOT_cpr.xlsx]Sheet1!R3C10</stp>
        <tr r="J3" s="3"/>
      </tp>
      <tp t="s">
        <v>CPR</v>
        <stp/>
        <stp>##V3_BDPV12</stp>
        <stp>3128JRPE0 Mtge</stp>
        <stp>MTG_PREPAY_TYP</stp>
        <stp>[01a_PILOT_cpr.xlsx]Sheet1!R4C6</stp>
        <tr r="F4" s="3"/>
      </tp>
      <tp>
        <v>6.02</v>
        <stp/>
        <stp>##V3_BDPV12</stp>
        <stp>3128JRPE0 Mtge</stp>
        <stp>MTG_PREPAY_SPEED</stp>
        <stp>[01a_PILOT_cpr.xlsx]Sheet1!R4C7</stp>
        <tr r="G4" s="3"/>
      </tp>
      <tp>
        <v>1666.7</v>
        <stp/>
        <stp>##V3_BDPV12</stp>
        <stp>31283K3C0 Mtge</stp>
        <stp xml:space="preserve">MTG_PL_PSA_1M </stp>
        <stp>[01a_PILOT_cpr.xlsx]Sheet1!R3C8</stp>
        <tr r="H3" s="3"/>
      </tp>
      <tp t="s">
        <v>#N/A Invalid Field</v>
        <stp/>
        <stp>##V3_BDHV12</stp>
        <stp>31283H4W2 Mtge</stp>
        <stp>MTG_GEN_CPR_3M</stp>
        <stp>20090331</stp>
        <stp>20090331</stp>
        <stp>[01a_PILOT_cpr.xlsx]data!R2C6</stp>
        <stp>Dts=H</stp>
        <tr r="F2" s="2"/>
      </tp>
    </main>
    <main first="bloomberg.rtd">
      <tp t="s">
        <v>#N/A N/A</v>
        <stp/>
        <stp>##V3_BDPV12</stp>
        <stp>31283K3C0 Mtge</stp>
        <stp>MTG_PREPAY_SPEED</stp>
        <stp>[01a_PILOT_cpr.xlsx]Sheet1!R3C7</stp>
        <tr r="G3" s="3"/>
      </tp>
    </main>
    <main first="bofaddin.rtdserver">
      <tp t="e">
        <v>#N/A</v>
        <stp/>
        <stp>BDH|48674949014981773</stp>
        <tr r="G5" s="2"/>
      </tp>
    </main>
    <main first="bloomberg.rtd">
      <tp>
        <v>195</v>
        <stp/>
        <stp>##V3_BDPV12</stp>
        <stp>01F050452 Mtge</stp>
        <stp>MTG_PREPAY_SPEED</stp>
        <stp>[01a_PILOT_cpr.xlsx]Sheet1!R5C7</stp>
        <tr r="G5" s="3"/>
      </tp>
    </main>
    <main first="bloomberg.rtd">
      <tp t="s">
        <v>#N/A Invalid Field</v>
        <stp/>
        <stp>##V3_BDHV12</stp>
        <stp>31283K3C0 Mtge</stp>
        <stp>MTG_GEN_CPR_3M</stp>
        <stp>20090331</stp>
        <stp>20090331</stp>
        <stp>[01a_PILOT_cpr.xlsx]data!R3C6</stp>
        <stp>Dts=H</stp>
        <tr r="F3" s="2"/>
      </tp>
    </main>
    <main first="bofaddin.rtdserver">
      <tp t="e">
        <v>#N/A</v>
        <stp/>
        <stp>BDH|2238843190995711882</stp>
        <tr r="G6" s="2"/>
      </tp>
    </main>
    <main first="bloomberg.rtd">
      <tp>
        <v>740.5</v>
        <stp/>
        <stp>##V3_BDPV12</stp>
        <stp>01F040446 Mtge</stp>
        <stp xml:space="preserve">MTG_PL_PSA_6M </stp>
        <stp>[01a_PILOT_cpr.xlsx]Sheet1!R6C10</stp>
        <tr r="J6" s="3"/>
      </tp>
    </main>
    <main first="bloomberg.rtd">
      <tp>
        <v>140</v>
        <stp/>
        <stp>##V3_BDPV12</stp>
        <stp>31283H4W2 Mtge</stp>
        <stp>MTG_PREPAY_SPEED</stp>
        <stp>[01a_PILOT_cpr.xlsx]Sheet1!R2C7</stp>
        <tr r="G2" s="3"/>
      </tp>
      <tp>
        <v>2619.4</v>
        <stp/>
        <stp>##V3_BDPV12</stp>
        <stp>01F050452 Mtge</stp>
        <stp xml:space="preserve">MTG_PL_PSA_6M </stp>
        <stp>[01a_PILOT_cpr.xlsx]Sheet1!R5C10</stp>
        <tr r="J5" s="3"/>
      </tp>
    </main>
    <main first="bloomberg.rtd">
      <tp t="s">
        <v>#N/A Invalid Field</v>
        <stp/>
        <stp>##V3_BDHV12</stp>
        <stp>01F050452 Mtge</stp>
        <stp>MTG_GEN_CPR_3M</stp>
        <stp>20090331</stp>
        <stp>20090331</stp>
        <stp>[01a_PILOT_cpr.xlsx]data!R5C6</stp>
        <stp>Dts=H</stp>
        <tr r="F5" s="2"/>
      </tp>
    </main>
    <main first="bloomberg.rtd">
      <tp>
        <v>151</v>
        <stp/>
        <stp>##V3_BDPV12</stp>
        <stp>01F040446 Mtge</stp>
        <stp>MTG_PREPAY_SPEED</stp>
        <stp>[01a_PILOT_cpr.xlsx]Sheet1!R6C7</stp>
        <tr r="G6" s="3"/>
      </tp>
    </main>
    <main first="bloomberg.rtd">
      <tp>
        <v>2471</v>
        <stp/>
        <stp>##V3_BDPV12</stp>
        <stp>01F050452 Mtge</stp>
        <stp xml:space="preserve">MTG_PL_PSA_3M </stp>
        <stp>[01a_PILOT_cpr.xlsx]Sheet1!R5C9</stp>
        <tr r="I5" s="3"/>
      </tp>
    </main>
    <main first="bloomberg.rtd">
      <tp>
        <v>407.4</v>
        <stp/>
        <stp>##V3_BDPV12</stp>
        <stp>01F040446 Mtge</stp>
        <stp xml:space="preserve">MTG_PL_PSA_1M </stp>
        <stp>[01a_PILOT_cpr.xlsx]Sheet1!R6C8</stp>
        <tr r="H6" s="3"/>
      </tp>
    </main>
    <main first="bofaddin.rtdserver">
      <tp t="e">
        <v>#N/A</v>
        <stp/>
        <stp>BDH|8296972018375304394</stp>
        <tr r="G4" s="2"/>
      </tp>
    </main>
    <main first="bloomberg.rtd">
      <tp>
        <v>2281.1</v>
        <stp/>
        <stp>##V3_BDPV12</stp>
        <stp>01F050452 Mtge</stp>
        <stp xml:space="preserve">MTG_PL_PSA_1M </stp>
        <stp>[01a_PILOT_cpr.xlsx]Sheet1!R5C8</stp>
        <tr r="H5" s="3"/>
      </tp>
    </main>
    <main first="bofaddin.rtdserver">
      <tp t="e">
        <v>#N/A</v>
        <stp/>
        <stp>BDH|3227591756083640712</stp>
        <tr r="G3" s="2"/>
      </tp>
    </main>
    <main first="bloomberg.rtd">
      <tp>
        <v>550.70000000000005</v>
        <stp/>
        <stp>##V3_BDPV12</stp>
        <stp>01F040446 Mtge</stp>
        <stp xml:space="preserve">MTG_PL_PSA_3M </stp>
        <stp>[01a_PILOT_cpr.xlsx]Sheet1!R6C9</stp>
        <tr r="I6" s="3"/>
      </tp>
    </main>
    <main first="bofaddin.rtdserver">
      <tp t="e">
        <v>#N/A</v>
        <stp/>
        <stp>BDH|4604159953246084599</stp>
        <tr r="F6" s="2"/>
      </tp>
      <tp t="e">
        <v>#N/A</v>
        <stp/>
        <stp>BDH|3108225230794811556</stp>
        <tr r="H4" s="2"/>
      </tp>
    </main>
    <main first="bloomberg.rtd">
      <tp>
        <v>48.6</v>
        <stp/>
        <stp>##V3_BDPV12</stp>
        <stp>3128JRPE0 Mtge</stp>
        <stp xml:space="preserve">MTG_PL_PSA_3M </stp>
        <stp>[01a_PILOT_cpr.xlsx]Sheet1!R4C9</stp>
        <tr r="I4" s="3"/>
      </tp>
    </main>
    <main first="bloomberg.rtd">
      <tp t="s">
        <v>#N/A N/A</v>
        <stp/>
        <stp>##V3_BDPV12</stp>
        <stp>31283K3C0 Mtge</stp>
        <stp>MTG_PREPAY_TYP</stp>
        <stp>[01a_PILOT_cpr.xlsx]Sheet1!R3C6</stp>
        <tr r="F3" s="3"/>
      </tp>
    </main>
    <main first="bloomberg.rtd">
      <tp>
        <v>24</v>
        <stp/>
        <stp>##V3_BDPV12</stp>
        <stp>3128JRPE0 Mtge</stp>
        <stp xml:space="preserve">MTG_PL_PSA_1M </stp>
        <stp>[01a_PILOT_cpr.xlsx]Sheet1!R4C8</stp>
        <tr r="H4" s="3"/>
      </tp>
    </main>
    <main first="bloomberg.rtd">
      <tp t="s">
        <v>PSA</v>
        <stp/>
        <stp>##V3_BDPV12</stp>
        <stp>31283H4W2 Mtge</stp>
        <stp>MTG_PREPAY_TYP</stp>
        <stp>[01a_PILOT_cpr.xlsx]Sheet1!R2C6</stp>
        <tr r="F2" s="3"/>
      </tp>
    </main>
    <main first="bloomberg.rtd">
      <tp t="s">
        <v>#N/A Field Not Applicable</v>
        <stp/>
        <stp>##V3_BDPV12</stp>
        <stp>3128JRPE0 Mtge</stp>
        <stp>MTG_GEN_CPR_3M</stp>
        <stp>[01a_PILOT_cpr.xlsx]data!R4C5</stp>
        <tr r="E4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5" x14ac:dyDescent="0.25"/>
  <cols>
    <col min="1" max="1" width="76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9" spans="1:1" x14ac:dyDescent="0.25">
      <c r="A9" t="s">
        <v>5</v>
      </c>
    </row>
    <row r="10" spans="1:1" x14ac:dyDescent="0.25">
      <c r="A10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F2" sqref="F2"/>
    </sheetView>
  </sheetViews>
  <sheetFormatPr defaultRowHeight="15" x14ac:dyDescent="0.25"/>
  <cols>
    <col min="1" max="1" width="22" customWidth="1"/>
    <col min="2" max="9" width="17" customWidth="1"/>
  </cols>
  <sheetData>
    <row r="1" spans="1:9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 x14ac:dyDescent="0.25">
      <c r="A2" t="s">
        <v>16</v>
      </c>
      <c r="B2" t="s">
        <v>17</v>
      </c>
      <c r="C2" t="s">
        <v>18</v>
      </c>
      <c r="D2" t="s">
        <v>19</v>
      </c>
      <c r="E2">
        <f>_xll.BDP($D2,"MTG_GEN_CPR_3M")</f>
        <v>9.3445367114</v>
      </c>
      <c r="F2" t="str" cm="1">
        <f t="array" ref="F2">_xll.BDH($D2,"MTG_GEN_CPR_3M","20090331","20090331","Dts=H")</f>
        <v>#N/A Invalid Field</v>
      </c>
      <c r="G2" t="str" cm="1">
        <f t="array" ref="G2">_xll.BDH($D2,"MTG_GEN_CPR_3M","20090301","20090331","Dts=H")</f>
        <v>#N/A Field Not Applicable</v>
      </c>
      <c r="H2" t="str" cm="1">
        <f t="array" ref="H2">_xll.BDH($D2,"MTG_GEN_CPR_3M","20090331","20090331")</f>
        <v>#N/A Field Not Applicable</v>
      </c>
      <c r="I2" t="s">
        <v>20</v>
      </c>
    </row>
    <row r="3" spans="1:9" x14ac:dyDescent="0.25">
      <c r="A3" t="s">
        <v>21</v>
      </c>
      <c r="B3" t="s">
        <v>22</v>
      </c>
      <c r="C3" t="s">
        <v>18</v>
      </c>
      <c r="D3" t="s">
        <v>23</v>
      </c>
      <c r="E3">
        <f>_xll.BDP($D3,"MTG_GEN_CPR_3M")</f>
        <v>86.0825703788</v>
      </c>
      <c r="F3" t="str" cm="1">
        <f t="array" ref="F3">_xll.BDH($D3,"MTG_GEN_CPR_3M","20090331","20090331","Dts=H")</f>
        <v>#N/A Invalid Field</v>
      </c>
      <c r="G3" t="str" cm="1">
        <f t="array" ref="G3">_xll.BDH($D3,"MTG_GEN_CPR_3M","20090301","20090331","Dts=H")</f>
        <v>#N/A Field Not Applicable</v>
      </c>
      <c r="H3" t="str" cm="1">
        <f t="array" ref="H3">_xll.BDH($D3,"MTG_GEN_CPR_3M","20090331","20090331")</f>
        <v>#N/A Field Not Applicable</v>
      </c>
      <c r="I3" t="s">
        <v>24</v>
      </c>
    </row>
    <row r="4" spans="1:9" x14ac:dyDescent="0.25">
      <c r="A4" t="s">
        <v>25</v>
      </c>
      <c r="B4" t="s">
        <v>26</v>
      </c>
      <c r="C4" t="s">
        <v>18</v>
      </c>
      <c r="D4" t="s">
        <v>27</v>
      </c>
      <c r="E4" t="str">
        <f>_xll.BDP($D4,"MTG_GEN_CPR_3M")</f>
        <v>#N/A Field Not Applicable</v>
      </c>
      <c r="F4" t="str" cm="1">
        <f t="array" ref="F4">_xll.BDH($D4,"MTG_GEN_CPR_3M","20090331","20090331","Dts=H")</f>
        <v>#N/A Invalid Field</v>
      </c>
      <c r="G4" t="str" cm="1">
        <f t="array" ref="G4">_xll.BDH($D4,"MTG_GEN_CPR_3M","20090301","20090331","Dts=H")</f>
        <v>#N/A Field Not Applicable</v>
      </c>
      <c r="H4" t="str" cm="1">
        <f t="array" ref="H4">_xll.BDH($D4,"MTG_GEN_CPR_3M","20090331","20090331")</f>
        <v>#N/A Field Not Applicable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>
        <f>_xll.BDP($D5,"MTG_GEN_CPR_3M")</f>
        <v>14.890713031899999</v>
      </c>
      <c r="F5" t="str" cm="1">
        <f t="array" ref="F5">_xll.BDH($D5,"MTG_GEN_CPR_3M","20090331","20090331","Dts=H")</f>
        <v>#N/A Invalid Field</v>
      </c>
      <c r="G5" t="str" cm="1">
        <f t="array" ref="G5">_xll.BDH($D5,"MTG_GEN_CPR_3M","20090301","20090331","Dts=H")</f>
        <v>#N/A Field Not Applicable</v>
      </c>
      <c r="H5" t="str" cm="1">
        <f t="array" ref="H5">_xll.BDH($D5,"MTG_GEN_CPR_3M","20090331","20090331")</f>
        <v>#N/A Field Not Applicable</v>
      </c>
      <c r="I5" t="s">
        <v>33</v>
      </c>
    </row>
    <row r="6" spans="1:9" x14ac:dyDescent="0.25">
      <c r="A6" t="s">
        <v>34</v>
      </c>
      <c r="B6" t="s">
        <v>35</v>
      </c>
      <c r="C6" t="s">
        <v>31</v>
      </c>
      <c r="D6" t="s">
        <v>36</v>
      </c>
      <c r="E6">
        <f>_xll.BDP($D6,"MTG_GEN_CPR_3M")</f>
        <v>5.0470110987999997</v>
      </c>
      <c r="F6" t="str" cm="1">
        <f t="array" ref="F6">_xll.BDH($D6,"MTG_GEN_CPR_3M","20090331","20090331","Dts=H")</f>
        <v>#N/A Field Not Applicable</v>
      </c>
      <c r="G6" t="str" cm="1">
        <f t="array" ref="G6">_xll.BDH($D6,"MTG_GEN_CPR_3M","20090301","20090331","Dts=H")</f>
        <v>#N/A Field Not Applicable</v>
      </c>
      <c r="H6" t="str" cm="1">
        <f t="array" ref="H6">_xll.BDH($D6,"MTG_GEN_CPR_3M","20090331","20090331")</f>
        <v>#N/A Field Not Applicable</v>
      </c>
      <c r="I6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11E1-15BD-4F5A-B09F-428B412747F0}">
  <dimension ref="A1:J6"/>
  <sheetViews>
    <sheetView topLeftCell="C1" workbookViewId="0">
      <selection activeCell="C1" sqref="A1:XFD1048576"/>
    </sheetView>
  </sheetViews>
  <sheetFormatPr defaultRowHeight="15" x14ac:dyDescent="0.25"/>
  <cols>
    <col min="1" max="1" width="22" customWidth="1"/>
    <col min="2" max="9" width="17" customWidth="1"/>
  </cols>
  <sheetData>
    <row r="1" spans="1:10" x14ac:dyDescent="0.25">
      <c r="A1" s="2" t="s">
        <v>7</v>
      </c>
      <c r="B1" s="2" t="s">
        <v>8</v>
      </c>
      <c r="C1" s="2" t="s">
        <v>9</v>
      </c>
      <c r="D1" s="2" t="s">
        <v>10</v>
      </c>
      <c r="E1" s="2"/>
      <c r="F1" s="2"/>
      <c r="G1" s="2"/>
      <c r="H1" s="2"/>
      <c r="I1" s="2"/>
    </row>
    <row r="2" spans="1:10" x14ac:dyDescent="0.25">
      <c r="A2" t="s">
        <v>16</v>
      </c>
      <c r="B2" t="s">
        <v>17</v>
      </c>
      <c r="C2" t="s">
        <v>18</v>
      </c>
      <c r="D2" t="s">
        <v>19</v>
      </c>
      <c r="E2">
        <v>9.3445367114</v>
      </c>
      <c r="F2" t="str" cm="1">
        <f t="array" ref="F2">_xll.BDP(D2,"MTG_PREPAY_TYP")</f>
        <v>PSA</v>
      </c>
      <c r="G2" cm="1">
        <f t="array" ref="G2">_xll.BDP(D2,"MTG_PREPAY_SPEED")</f>
        <v>140</v>
      </c>
      <c r="H2" cm="1">
        <f t="array" ref="H2">_xll.BDP(D2,"MTG_PL_PSA_1M ")</f>
        <v>158.30000000000001</v>
      </c>
      <c r="I2" cm="1">
        <f t="array" ref="I2">_xll.BDP(D2,"MTG_PL_PSA_3M ")</f>
        <v>156.1</v>
      </c>
      <c r="J2" cm="1">
        <f t="array" ref="J2">_xll.BDP(D2,"MTG_PL_PSA_6M ")</f>
        <v>168.1</v>
      </c>
    </row>
    <row r="3" spans="1:10" x14ac:dyDescent="0.25">
      <c r="A3" t="s">
        <v>21</v>
      </c>
      <c r="B3" t="s">
        <v>22</v>
      </c>
      <c r="C3" t="s">
        <v>18</v>
      </c>
      <c r="D3" t="s">
        <v>23</v>
      </c>
      <c r="E3">
        <v>86.0825703788</v>
      </c>
      <c r="F3" t="str" cm="1">
        <f t="array" ref="F3">_xll.BDP(D3,"MTG_PREPAY_TYP")</f>
        <v>#N/A N/A</v>
      </c>
      <c r="G3" t="str" cm="1">
        <f t="array" ref="G3">_xll.BDP(D3,"MTG_PREPAY_SPEED")</f>
        <v>#N/A N/A</v>
      </c>
      <c r="H3" cm="1">
        <f t="array" ref="H3">_xll.BDP(D3,"MTG_PL_PSA_1M ")</f>
        <v>1666.7</v>
      </c>
      <c r="I3" cm="1">
        <f t="array" ref="I3">_xll.BDP(D3,"MTG_PL_PSA_3M ")</f>
        <v>1666.7</v>
      </c>
      <c r="J3" cm="1">
        <f t="array" ref="J3">_xll.BDP(D3,"MTG_PL_PSA_6M ")</f>
        <v>1666.7</v>
      </c>
    </row>
    <row r="4" spans="1:10" x14ac:dyDescent="0.25">
      <c r="A4" t="s">
        <v>25</v>
      </c>
      <c r="B4" t="s">
        <v>26</v>
      </c>
      <c r="C4" t="s">
        <v>18</v>
      </c>
      <c r="D4" t="s">
        <v>27</v>
      </c>
      <c r="E4" t="s">
        <v>38</v>
      </c>
      <c r="F4" t="str" cm="1">
        <f t="array" ref="F4">_xll.BDP(D4,"MTG_PREPAY_TYP")</f>
        <v>CPR</v>
      </c>
      <c r="G4" cm="1">
        <f t="array" ref="G4">_xll.BDP(D4,"MTG_PREPAY_SPEED")</f>
        <v>6.02</v>
      </c>
      <c r="H4" cm="1">
        <f t="array" ref="H4">_xll.BDP(D4,"MTG_PL_PSA_1M ")</f>
        <v>24</v>
      </c>
      <c r="I4" cm="1">
        <f t="array" ref="I4">_xll.BDP(D4,"MTG_PL_PSA_3M ")</f>
        <v>48.6</v>
      </c>
      <c r="J4" cm="1">
        <f t="array" ref="J4">_xll.BDP(D4,"MTG_PL_PSA_6M ")</f>
        <v>100.4</v>
      </c>
    </row>
    <row r="5" spans="1:10" x14ac:dyDescent="0.25">
      <c r="A5" t="s">
        <v>29</v>
      </c>
      <c r="B5" t="s">
        <v>30</v>
      </c>
      <c r="C5" t="s">
        <v>31</v>
      </c>
      <c r="D5" t="s">
        <v>32</v>
      </c>
      <c r="E5">
        <v>14.890713031899999</v>
      </c>
      <c r="F5" t="str" cm="1">
        <f t="array" ref="F5">_xll.BDP(D5,"MTG_PREPAY_TYP")</f>
        <v>PSA</v>
      </c>
      <c r="G5" cm="1">
        <f t="array" ref="G5">_xll.BDP(D5,"MTG_PREPAY_SPEED")</f>
        <v>195</v>
      </c>
      <c r="H5" cm="1">
        <f t="array" ref="H5">_xll.BDP(D5,"MTG_PL_PSA_1M ")</f>
        <v>2281.1</v>
      </c>
      <c r="I5" cm="1">
        <f t="array" ref="I5">_xll.BDP(D5,"MTG_PL_PSA_3M ")</f>
        <v>2471</v>
      </c>
      <c r="J5" cm="1">
        <f t="array" ref="J5">_xll.BDP(D5,"MTG_PL_PSA_6M ")</f>
        <v>2619.4</v>
      </c>
    </row>
    <row r="6" spans="1:10" x14ac:dyDescent="0.25">
      <c r="A6" t="s">
        <v>34</v>
      </c>
      <c r="B6" t="s">
        <v>35</v>
      </c>
      <c r="C6" t="s">
        <v>31</v>
      </c>
      <c r="D6" t="s">
        <v>36</v>
      </c>
      <c r="E6">
        <v>5.0470110987999997</v>
      </c>
      <c r="F6" t="str" cm="1">
        <f t="array" ref="F6">_xll.BDP(D6,"MTG_PREPAY_TYP")</f>
        <v>PSA</v>
      </c>
      <c r="G6" cm="1">
        <f t="array" ref="G6">_xll.BDP(D6,"MTG_PREPAY_SPEED")</f>
        <v>151</v>
      </c>
      <c r="H6" cm="1">
        <f t="array" ref="H6">_xll.BDP(D6,"MTG_PL_PSA_1M ")</f>
        <v>407.4</v>
      </c>
      <c r="I6" cm="1">
        <f t="array" ref="I6">_xll.BDP(D6,"MTG_PL_PSA_3M ")</f>
        <v>550.70000000000005</v>
      </c>
      <c r="J6" cm="1">
        <f t="array" ref="J6">_xll.BDP(D6,"MTG_PL_PSA_6M ")</f>
        <v>740.5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E020-9DBE-4F68-8E83-1D03A85D8446}">
  <dimension ref="A1:J6"/>
  <sheetViews>
    <sheetView tabSelected="1" workbookViewId="0">
      <selection sqref="A1:XFD1048576"/>
    </sheetView>
  </sheetViews>
  <sheetFormatPr defaultRowHeight="15" x14ac:dyDescent="0.25"/>
  <cols>
    <col min="1" max="1" width="22" customWidth="1"/>
    <col min="2" max="9" width="17" customWidth="1"/>
  </cols>
  <sheetData>
    <row r="1" spans="1:10" x14ac:dyDescent="0.25">
      <c r="A1" s="2" t="s">
        <v>7</v>
      </c>
      <c r="B1" s="2" t="s">
        <v>8</v>
      </c>
      <c r="C1" s="2" t="s">
        <v>9</v>
      </c>
      <c r="D1" s="2" t="s">
        <v>10</v>
      </c>
      <c r="E1" s="2"/>
      <c r="F1" s="2"/>
      <c r="G1" s="2"/>
      <c r="H1" s="2"/>
      <c r="I1" s="2"/>
    </row>
    <row r="2" spans="1:10" x14ac:dyDescent="0.25">
      <c r="A2" t="s">
        <v>16</v>
      </c>
      <c r="B2" t="s">
        <v>17</v>
      </c>
      <c r="C2" t="s">
        <v>18</v>
      </c>
      <c r="D2" t="s">
        <v>19</v>
      </c>
      <c r="E2">
        <v>9.3445367114</v>
      </c>
      <c r="F2" t="s">
        <v>39</v>
      </c>
      <c r="G2">
        <v>140</v>
      </c>
      <c r="H2">
        <v>158.30000000000001</v>
      </c>
      <c r="I2">
        <v>156.1</v>
      </c>
      <c r="J2">
        <v>168.1</v>
      </c>
    </row>
    <row r="3" spans="1:10" x14ac:dyDescent="0.25">
      <c r="A3" t="s">
        <v>21</v>
      </c>
      <c r="B3" t="s">
        <v>22</v>
      </c>
      <c r="C3" t="s">
        <v>18</v>
      </c>
      <c r="D3" t="s">
        <v>23</v>
      </c>
      <c r="E3">
        <v>86.0825703788</v>
      </c>
      <c r="F3" t="s">
        <v>40</v>
      </c>
      <c r="G3" t="s">
        <v>40</v>
      </c>
      <c r="H3">
        <v>1666.7</v>
      </c>
      <c r="I3">
        <v>1666.7</v>
      </c>
      <c r="J3">
        <v>1666.7</v>
      </c>
    </row>
    <row r="4" spans="1:10" x14ac:dyDescent="0.25">
      <c r="A4" t="s">
        <v>25</v>
      </c>
      <c r="B4" t="s">
        <v>26</v>
      </c>
      <c r="C4" t="s">
        <v>18</v>
      </c>
      <c r="D4" t="s">
        <v>27</v>
      </c>
      <c r="E4" t="s">
        <v>38</v>
      </c>
      <c r="F4" t="s">
        <v>41</v>
      </c>
      <c r="G4">
        <v>6.02</v>
      </c>
      <c r="H4">
        <v>24</v>
      </c>
      <c r="I4">
        <v>48.6</v>
      </c>
      <c r="J4">
        <v>100.4</v>
      </c>
    </row>
    <row r="5" spans="1:10" x14ac:dyDescent="0.25">
      <c r="A5" t="s">
        <v>29</v>
      </c>
      <c r="B5" t="s">
        <v>30</v>
      </c>
      <c r="C5" t="s">
        <v>31</v>
      </c>
      <c r="D5" t="s">
        <v>32</v>
      </c>
      <c r="E5">
        <v>14.890713031899999</v>
      </c>
      <c r="F5" t="s">
        <v>39</v>
      </c>
      <c r="G5">
        <v>195</v>
      </c>
      <c r="H5">
        <v>2281.1</v>
      </c>
      <c r="I5">
        <v>2471</v>
      </c>
      <c r="J5">
        <v>2619.4</v>
      </c>
    </row>
    <row r="6" spans="1:10" x14ac:dyDescent="0.25">
      <c r="A6" t="s">
        <v>34</v>
      </c>
      <c r="B6" t="s">
        <v>35</v>
      </c>
      <c r="C6" t="s">
        <v>31</v>
      </c>
      <c r="D6" t="s">
        <v>36</v>
      </c>
      <c r="E6">
        <v>5.0470110987999997</v>
      </c>
      <c r="F6" t="s">
        <v>39</v>
      </c>
      <c r="G6">
        <v>151</v>
      </c>
      <c r="H6">
        <v>407.4</v>
      </c>
      <c r="I6">
        <v>550.70000000000005</v>
      </c>
      <c r="J6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</vt:lpstr>
      <vt:lpstr>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Yin, Liping</cp:lastModifiedBy>
  <dcterms:created xsi:type="dcterms:W3CDTF">2026-10-01T15:11:08Z</dcterms:created>
  <dcterms:modified xsi:type="dcterms:W3CDTF">2026-10-01T19:02:51Z</dcterms:modified>
</cp:coreProperties>
</file>