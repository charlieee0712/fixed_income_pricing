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BA113A40-FD94-47D8-BD18-CC5BEF9164A4}" xr6:coauthVersionLast="47" xr6:coauthVersionMax="47" xr10:uidLastSave="{00000000-0000-0000-0000-000000000000}"/>
  <bookViews>
    <workbookView xWindow="-24120" yWindow="-120" windowWidth="24240" windowHeight="13020" activeTab="2" xr2:uid="{00000000-000D-0000-FFFF-FFFF00000000}"/>
  </bookViews>
  <sheets>
    <sheet name="说明" sheetId="1" r:id="rId1"/>
    <sheet name="data" sheetId="2" r:id="rId2"/>
    <sheet name="Sheet1" sheetId="3" r:id="rId3"/>
  </sheets>
  <definedNames>
    <definedName name="_xlnm._FilterDatabase" localSheetId="2" hidden="1">Sheet1!$A$1:$P$1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9" i="2" l="1" a="1"/>
  <c r="K317" i="2" a="1"/>
  <c r="K325" i="2" a="1"/>
  <c r="K333" i="2" a="1"/>
  <c r="K341" i="2" a="1"/>
  <c r="K349" i="2" a="1"/>
  <c r="K357" i="2" a="1"/>
  <c r="K365" i="2" a="1"/>
  <c r="K373" i="2" a="1"/>
  <c r="K381" i="2" a="1"/>
  <c r="K389" i="2" a="1"/>
  <c r="K397" i="2" a="1"/>
  <c r="K405" i="2" a="1"/>
  <c r="K413" i="2" a="1"/>
  <c r="K421" i="2" a="1"/>
  <c r="K429" i="2" a="1"/>
  <c r="K445" i="2" a="1"/>
  <c r="K453" i="2" a="1"/>
  <c r="K469" i="2" a="1"/>
  <c r="K477" i="2" a="1"/>
  <c r="K485" i="2" a="1"/>
  <c r="K486" i="2" a="1"/>
  <c r="K494" i="2" a="1"/>
  <c r="K479" i="2" a="1"/>
  <c r="K487" i="2" a="1"/>
  <c r="K503" i="2" a="1"/>
  <c r="K457" i="2" a="1"/>
  <c r="K489" i="2" a="1"/>
  <c r="K403" i="2" a="1"/>
  <c r="K435" i="2" a="1"/>
  <c r="K451" i="2" a="1"/>
  <c r="K467" i="2" a="1"/>
  <c r="K499" i="2" a="1"/>
  <c r="K348" i="2" a="1"/>
  <c r="K396" i="2" a="1"/>
  <c r="K444" i="2" a="1"/>
  <c r="K500" i="2" a="1"/>
  <c r="K310" i="2" a="1"/>
  <c r="K318" i="2" a="1"/>
  <c r="K326" i="2" a="1"/>
  <c r="K334" i="2" a="1"/>
  <c r="K342" i="2" a="1"/>
  <c r="K350" i="2" a="1"/>
  <c r="K358" i="2" a="1"/>
  <c r="K374" i="2" a="1"/>
  <c r="K382" i="2" a="1"/>
  <c r="K390" i="2" a="1"/>
  <c r="K398" i="2" a="1"/>
  <c r="K406" i="2" a="1"/>
  <c r="K414" i="2" a="1"/>
  <c r="K422" i="2" a="1"/>
  <c r="K446" i="2" a="1"/>
  <c r="K462" i="2" a="1"/>
  <c r="K478" i="2" a="1"/>
  <c r="K387" i="2" a="1"/>
  <c r="K492" i="2" a="1"/>
  <c r="K366" i="2" a="1"/>
  <c r="K430" i="2" a="1"/>
  <c r="K438" i="2" a="1"/>
  <c r="K454" i="2" a="1"/>
  <c r="K502" i="2" a="1"/>
  <c r="K441" i="2" a="1"/>
  <c r="K482" i="2" a="1"/>
  <c r="K363" i="2" a="1"/>
  <c r="K356" i="2" a="1"/>
  <c r="K311" i="2" a="1"/>
  <c r="K319" i="2" a="1"/>
  <c r="K327" i="2" a="1"/>
  <c r="K335" i="2" a="1"/>
  <c r="K343" i="2" a="1"/>
  <c r="K351" i="2" a="1"/>
  <c r="K359" i="2" a="1"/>
  <c r="K367" i="2" a="1"/>
  <c r="K375" i="2" a="1"/>
  <c r="K391" i="2" a="1"/>
  <c r="K415" i="2" a="1"/>
  <c r="K431" i="2" a="1"/>
  <c r="K439" i="2" a="1"/>
  <c r="K455" i="2" a="1"/>
  <c r="K463" i="2" a="1"/>
  <c r="K471" i="2" a="1"/>
  <c r="K490" i="2" a="1"/>
  <c r="K395" i="2" a="1"/>
  <c r="K475" i="2" a="1"/>
  <c r="K340" i="2" a="1"/>
  <c r="K428" i="2" a="1"/>
  <c r="K383" i="2" a="1"/>
  <c r="K399" i="2" a="1"/>
  <c r="K407" i="2" a="1"/>
  <c r="K423" i="2" a="1"/>
  <c r="K447" i="2" a="1"/>
  <c r="K495" i="2" a="1"/>
  <c r="K433" i="2" a="1"/>
  <c r="K465" i="2" a="1"/>
  <c r="K481" i="2" a="1"/>
  <c r="K379" i="2" a="1"/>
  <c r="K316" i="2" a="1"/>
  <c r="K320" i="2" a="1"/>
  <c r="K352" i="2" a="1"/>
  <c r="K360" i="2" a="1"/>
  <c r="K376" i="2" a="1"/>
  <c r="K400" i="2" a="1"/>
  <c r="K408" i="2" a="1"/>
  <c r="K416" i="2" a="1"/>
  <c r="K424" i="2" a="1"/>
  <c r="K432" i="2" a="1"/>
  <c r="K440" i="2" a="1"/>
  <c r="K488" i="2" a="1"/>
  <c r="K496" i="2" a="1"/>
  <c r="K504" i="2" a="1"/>
  <c r="K361" i="2" a="1"/>
  <c r="K385" i="2" a="1"/>
  <c r="K401" i="2" a="1"/>
  <c r="K409" i="2" a="1"/>
  <c r="K449" i="2" a="1"/>
  <c r="K473" i="2" a="1"/>
  <c r="K497" i="2" a="1"/>
  <c r="K498" i="2" a="1"/>
  <c r="K347" i="2" a="1"/>
  <c r="K491" i="2" a="1"/>
  <c r="K332" i="2" a="1"/>
  <c r="K312" i="2" a="1"/>
  <c r="K328" i="2" a="1"/>
  <c r="K336" i="2" a="1"/>
  <c r="K344" i="2" a="1"/>
  <c r="K368" i="2" a="1"/>
  <c r="K384" i="2" a="1"/>
  <c r="K392" i="2" a="1"/>
  <c r="K448" i="2" a="1"/>
  <c r="K456" i="2" a="1"/>
  <c r="K464" i="2" a="1"/>
  <c r="K472" i="2" a="1"/>
  <c r="K480" i="2" a="1"/>
  <c r="K369" i="2" a="1"/>
  <c r="K377" i="2" a="1"/>
  <c r="K393" i="2" a="1"/>
  <c r="K417" i="2" a="1"/>
  <c r="K425" i="2" a="1"/>
  <c r="K505" i="2" a="1"/>
  <c r="K371" i="2" a="1"/>
  <c r="K419" i="2" a="1"/>
  <c r="K483" i="2" a="1"/>
  <c r="K324" i="2" a="1"/>
  <c r="K380" i="2" a="1"/>
  <c r="K476" i="2" a="1"/>
  <c r="K321" i="2" a="1"/>
  <c r="K329" i="2" a="1"/>
  <c r="K313" i="2" a="1"/>
  <c r="K337" i="2" a="1"/>
  <c r="K345" i="2" a="1"/>
  <c r="K353" i="2" a="1"/>
  <c r="K412" i="2" a="1"/>
  <c r="K452" i="2" a="1"/>
  <c r="K338" i="2" a="1"/>
  <c r="K378" i="2" a="1"/>
  <c r="K426" i="2" a="1"/>
  <c r="K466" i="2" a="1"/>
  <c r="K474" i="2" a="1"/>
  <c r="K506" i="2" a="1"/>
  <c r="K355" i="2" a="1"/>
  <c r="K427" i="2" a="1"/>
  <c r="K372" i="2" a="1"/>
  <c r="K404" i="2" a="1"/>
  <c r="K436" i="2" a="1"/>
  <c r="K460" i="2" a="1"/>
  <c r="K314" i="2" a="1"/>
  <c r="K322" i="2" a="1"/>
  <c r="K330" i="2" a="1"/>
  <c r="K346" i="2" a="1"/>
  <c r="K354" i="2" a="1"/>
  <c r="K362" i="2" a="1"/>
  <c r="K370" i="2" a="1"/>
  <c r="K386" i="2" a="1"/>
  <c r="K394" i="2" a="1"/>
  <c r="K402" i="2" a="1"/>
  <c r="K410" i="2" a="1"/>
  <c r="K418" i="2" a="1"/>
  <c r="K434" i="2" a="1"/>
  <c r="K442" i="2" a="1"/>
  <c r="K450" i="2" a="1"/>
  <c r="K458" i="2" a="1"/>
  <c r="K315" i="2" a="1"/>
  <c r="K323" i="2" a="1"/>
  <c r="K331" i="2" a="1"/>
  <c r="K339" i="2" a="1"/>
  <c r="K411" i="2" a="1"/>
  <c r="K443" i="2" a="1"/>
  <c r="K459" i="2" a="1"/>
  <c r="K364" i="2" a="1"/>
  <c r="K388" i="2" a="1"/>
  <c r="K420" i="2" a="1"/>
  <c r="K468" i="2" a="1"/>
  <c r="K484" i="2" a="1"/>
  <c r="K437" i="2" a="1"/>
  <c r="K461" i="2" a="1"/>
  <c r="K493" i="2" a="1"/>
  <c r="K501" i="2" a="1"/>
  <c r="K470" i="2" a="1"/>
  <c r="K308" i="2" a="1"/>
  <c r="P308" i="2" a="1"/>
  <c r="M308" i="2" a="1"/>
  <c r="M311" i="2" a="1"/>
  <c r="M310" i="2" a="1"/>
  <c r="M309" i="2" a="1"/>
  <c r="O121" i="2" a="1"/>
  <c r="O306" i="2" a="1"/>
  <c r="O452" i="2" a="1"/>
  <c r="O478" i="2" a="1"/>
  <c r="O446" i="2" a="1"/>
  <c r="O378" i="2" a="1"/>
  <c r="O144" i="2" a="1"/>
  <c r="O215" i="2" a="1"/>
  <c r="O41" i="2" a="1"/>
  <c r="O150" i="2" a="1"/>
  <c r="O309" i="2" a="1"/>
  <c r="O50" i="2" a="1"/>
  <c r="O36" i="2" a="1"/>
  <c r="O376" i="2" a="1"/>
  <c r="O268" i="2" a="1"/>
  <c r="O414" i="2" a="1"/>
  <c r="O393" i="2" a="1"/>
  <c r="O380" i="2" a="1"/>
  <c r="O226" i="2" a="1"/>
  <c r="O370" i="2" a="1"/>
  <c r="O146" i="2" a="1"/>
  <c r="O366" i="2" a="1"/>
  <c r="O8" i="2" a="1"/>
  <c r="O240" i="2" a="1"/>
  <c r="O168" i="2" a="1"/>
  <c r="O256" i="2" a="1"/>
  <c r="O245" i="2" a="1"/>
  <c r="O316" i="2" a="1"/>
  <c r="O178" i="2" a="1"/>
  <c r="O354" i="2" a="1"/>
  <c r="O467" i="2" a="1"/>
  <c r="O140" i="2" a="1"/>
  <c r="O332" i="2" a="1"/>
  <c r="N345" i="2" a="1"/>
  <c r="N12" i="2" a="1"/>
  <c r="O372" i="2" a="1"/>
  <c r="O72" i="2" a="1"/>
  <c r="O344" i="2" a="1"/>
  <c r="O116" i="2" a="1"/>
  <c r="O441" i="2" a="1"/>
  <c r="O439" i="2" a="1"/>
  <c r="O142" i="2" a="1"/>
  <c r="N487" i="2" a="1"/>
  <c r="N484" i="2" a="1"/>
  <c r="N478" i="2" a="1"/>
  <c r="N18" i="2" a="1"/>
  <c r="O491" i="2" a="1"/>
  <c r="O408" i="2" a="1"/>
  <c r="O377" i="2" a="1"/>
  <c r="O111" i="2" a="1"/>
  <c r="O365" i="2" a="1"/>
  <c r="O278" i="2" a="1"/>
  <c r="O325" i="2" a="1"/>
  <c r="O436" i="2" a="1"/>
  <c r="O286" i="2" a="1"/>
  <c r="O390" i="2" a="1"/>
  <c r="O413" i="2" a="1"/>
  <c r="O127" i="2" a="1"/>
  <c r="O33" i="2" a="1"/>
  <c r="O506" i="2" a="1"/>
  <c r="O501" i="2" a="1"/>
  <c r="O277" i="2" a="1"/>
  <c r="O400" i="2" a="1"/>
  <c r="O27" i="2" a="1"/>
  <c r="O489" i="2" a="1"/>
  <c r="O445" i="2" a="1"/>
  <c r="O305" i="2" a="1"/>
  <c r="O221" i="2" a="1"/>
  <c r="O4" i="2" a="1"/>
  <c r="O192" i="2" a="1"/>
  <c r="O105" i="2" a="1"/>
  <c r="O40" i="2" a="1"/>
  <c r="O383" i="2" a="1"/>
  <c r="O95" i="2" a="1"/>
  <c r="O247" i="2" a="1"/>
  <c r="O314" i="2" a="1"/>
  <c r="O374" i="2" a="1"/>
  <c r="O129" i="2" a="1"/>
  <c r="O476" i="2" a="1"/>
  <c r="O433" i="2" a="1"/>
  <c r="O483" i="2" a="1"/>
  <c r="O185" i="2" a="1"/>
  <c r="O191" i="2" a="1"/>
  <c r="N497" i="2" a="1"/>
  <c r="N346" i="2" a="1"/>
  <c r="O362" i="2" a="1"/>
  <c r="O75" i="2" a="1"/>
  <c r="O91" i="2" a="1"/>
  <c r="O206" i="2" a="1"/>
  <c r="O81" i="2" a="1"/>
  <c r="N398" i="2" a="1"/>
  <c r="O503" i="2" a="1"/>
  <c r="O396" i="2" a="1"/>
  <c r="O428" i="2" a="1"/>
  <c r="O128" i="2" a="1"/>
  <c r="O284" i="2" a="1"/>
  <c r="O355" i="2" a="1"/>
  <c r="O479" i="2" a="1"/>
  <c r="O399" i="2" a="1"/>
  <c r="O80" i="2" a="1"/>
  <c r="O78" i="2" a="1"/>
  <c r="O412" i="2" a="1"/>
  <c r="O115" i="2" a="1"/>
  <c r="O216" i="2" a="1"/>
  <c r="O241" i="2" a="1"/>
  <c r="O44" i="2" a="1"/>
  <c r="O358" i="2" a="1"/>
  <c r="O492" i="2" a="1"/>
  <c r="O496" i="2" a="1"/>
  <c r="O444" i="2" a="1"/>
  <c r="O269" i="2" a="1"/>
  <c r="O270" i="2" a="1"/>
  <c r="O48" i="2" a="1"/>
  <c r="O416" i="2" a="1"/>
  <c r="O23" i="2" a="1"/>
  <c r="O141" i="2" a="1"/>
  <c r="O106" i="2" a="1"/>
  <c r="O405" i="2" a="1"/>
  <c r="O229" i="2" a="1"/>
  <c r="O263" i="2" a="1"/>
  <c r="O443" i="2" a="1"/>
  <c r="O303" i="2" a="1"/>
  <c r="O384" i="2" a="1"/>
  <c r="O262" i="2" a="1"/>
  <c r="N435" i="2" a="1"/>
  <c r="N9" i="2" a="1"/>
  <c r="N8" i="2" a="1"/>
  <c r="O110" i="2" a="1"/>
  <c r="O409" i="2" a="1"/>
  <c r="O421" i="2" a="1"/>
  <c r="O177" i="2" a="1"/>
  <c r="O77" i="2" a="1"/>
  <c r="O14" i="2" a="1"/>
  <c r="O66" i="2" a="1"/>
  <c r="O39" i="2" a="1"/>
  <c r="O375" i="2" a="1"/>
  <c r="O68" i="2" a="1"/>
  <c r="O292" i="2" a="1"/>
  <c r="O76" i="2" a="1"/>
  <c r="O83" i="2" a="1"/>
  <c r="O419" i="2" a="1"/>
  <c r="O176" i="2" a="1"/>
  <c r="O171" i="2" a="1"/>
  <c r="O456" i="2" a="1"/>
  <c r="O158" i="2" a="1"/>
  <c r="O187" i="2" a="1"/>
  <c r="O453" i="2" a="1"/>
  <c r="O470" i="2" a="1"/>
  <c r="O205" i="2" a="1"/>
  <c r="O505" i="2" a="1"/>
  <c r="O345" i="2" a="1"/>
  <c r="O180" i="2" a="1"/>
  <c r="O394" i="2" a="1"/>
  <c r="O291" i="2" a="1"/>
  <c r="O348" i="2" a="1"/>
  <c r="O340" i="2" a="1"/>
  <c r="O315" i="2" a="1"/>
  <c r="O466" i="2" a="1"/>
  <c r="O233" i="2" a="1"/>
  <c r="N149" i="2" a="1"/>
  <c r="N122" i="2" a="1"/>
  <c r="O219" i="2" a="1"/>
  <c r="O152" i="2" a="1"/>
  <c r="O20" i="2" a="1"/>
  <c r="O334" i="2" a="1"/>
  <c r="O147" i="2" a="1"/>
  <c r="O392" i="2" a="1"/>
  <c r="O411" i="2" a="1"/>
  <c r="O62" i="2" a="1"/>
  <c r="N261" i="2" a="1"/>
  <c r="O434" i="2" a="1"/>
  <c r="O363" i="2" a="1"/>
  <c r="O260" i="2" a="1"/>
  <c r="O5" i="2" a="1"/>
  <c r="O465" i="2" a="1"/>
  <c r="O131" i="2" a="1"/>
  <c r="O225" i="2" a="1"/>
  <c r="O60" i="2" a="1"/>
  <c r="O237" i="2" a="1"/>
  <c r="O84" i="2" a="1"/>
  <c r="O389" i="2" a="1"/>
  <c r="O101" i="2" a="1"/>
  <c r="O79" i="2" a="1"/>
  <c r="O234" i="2" a="1"/>
  <c r="O371" i="2" a="1"/>
  <c r="O223" i="2" a="1"/>
  <c r="O153" i="2" a="1"/>
  <c r="O335" i="2" a="1"/>
  <c r="O276" i="2" a="1"/>
  <c r="O264" i="2" a="1"/>
  <c r="O251" i="2" a="1"/>
  <c r="O304" i="2" a="1"/>
  <c r="O220" i="2" a="1"/>
  <c r="O430" i="2" a="1"/>
  <c r="O71" i="2" a="1"/>
  <c r="O437" i="2" a="1"/>
  <c r="O484" i="2" a="1"/>
  <c r="O307" i="2" a="1"/>
  <c r="O138" i="2" a="1"/>
  <c r="O69" i="2" a="1"/>
  <c r="O208" i="2" a="1"/>
  <c r="O320" i="2" a="1"/>
  <c r="O454" i="2" a="1"/>
  <c r="O170" i="2" a="1"/>
  <c r="O287" i="2" a="1"/>
  <c r="O356" i="2" a="1"/>
  <c r="O16" i="2" a="1"/>
  <c r="O238" i="2" a="1"/>
  <c r="O88" i="2" a="1"/>
  <c r="O9" i="2" a="1"/>
  <c r="N128" i="2" a="1"/>
  <c r="N253" i="2" a="1"/>
  <c r="N127" i="2" a="1"/>
  <c r="O3" i="2" a="1"/>
  <c r="O360" i="2" a="1"/>
  <c r="O248" i="2" a="1"/>
  <c r="O407" i="2" a="1"/>
  <c r="O160" i="2" a="1"/>
  <c r="O242" i="2" a="1"/>
  <c r="O285" i="2" a="1"/>
  <c r="O504" i="2" a="1"/>
  <c r="O114" i="2" a="1"/>
  <c r="O224" i="2" a="1"/>
  <c r="N188" i="2" a="1"/>
  <c r="O415" i="2" a="1"/>
  <c r="O54" i="2" a="1"/>
  <c r="O319" i="2" a="1"/>
  <c r="O438" i="2" a="1"/>
  <c r="N248" i="2" a="1"/>
  <c r="O318" i="2" a="1"/>
  <c r="O227" i="2" a="1"/>
  <c r="O326" i="2" a="1"/>
  <c r="O65" i="2" a="1"/>
  <c r="N428" i="2" a="1"/>
  <c r="O431" i="2" a="1"/>
  <c r="O42" i="2" a="1"/>
  <c r="O423" i="2" a="1"/>
  <c r="O186" i="2" a="1"/>
  <c r="O373" i="2" a="1"/>
  <c r="O184" i="2" a="1"/>
  <c r="N483" i="2" a="1"/>
  <c r="O425" i="2" a="1"/>
  <c r="O282" i="2" a="1"/>
  <c r="O98" i="2" a="1"/>
  <c r="O102" i="2" a="1"/>
  <c r="O74" i="2" a="1"/>
  <c r="O261" i="2" a="1"/>
  <c r="O422" i="2" a="1"/>
  <c r="O113" i="2" a="1"/>
  <c r="O461" i="2" a="1"/>
  <c r="O258" i="2" a="1"/>
  <c r="O480" i="2" a="1"/>
  <c r="O204" i="2" a="1"/>
  <c r="O157" i="2" a="1"/>
  <c r="O253" i="2" a="1"/>
  <c r="O290" i="2" a="1"/>
  <c r="O15" i="2" a="1"/>
  <c r="O299" i="2" a="1"/>
  <c r="O455" i="2" a="1"/>
  <c r="O87" i="2" a="1"/>
  <c r="O457" i="2" a="1"/>
  <c r="O349" i="2" a="1"/>
  <c r="O427" i="2" a="1"/>
  <c r="O475" i="2" a="1"/>
  <c r="O43" i="2" a="1"/>
  <c r="O59" i="2" a="1"/>
  <c r="O502" i="2" a="1"/>
  <c r="O450" i="2" a="1"/>
  <c r="O231" i="2" a="1"/>
  <c r="O429" i="2" a="1"/>
  <c r="O381" i="2" a="1"/>
  <c r="O130" i="2" a="1"/>
  <c r="O166" i="2" a="1"/>
  <c r="N182" i="2" a="1"/>
  <c r="N290" i="2" a="1"/>
  <c r="N176" i="2" a="1"/>
  <c r="N200" i="2" a="1"/>
  <c r="O188" i="2" a="1"/>
  <c r="O322" i="2" a="1"/>
  <c r="O174" i="2" a="1"/>
  <c r="N6" i="2" a="1"/>
  <c r="N471" i="2" a="1"/>
  <c r="O391" i="2" a="1"/>
  <c r="O463" i="2" a="1"/>
  <c r="O165" i="2" a="1"/>
  <c r="O294" i="2" a="1"/>
  <c r="O353" i="2" a="1"/>
  <c r="O182" i="2" a="1"/>
  <c r="O490" i="2" a="1"/>
  <c r="O451" i="2" a="1"/>
  <c r="O295" i="2" a="1"/>
  <c r="N273" i="2" a="1"/>
  <c r="O266" i="2" a="1"/>
  <c r="N296" i="2" a="1"/>
  <c r="N319" i="2" a="1"/>
  <c r="O447" i="2" a="1"/>
  <c r="O255" i="2" a="1"/>
  <c r="O196" i="2" a="1"/>
  <c r="O267" i="2" a="1"/>
  <c r="O386" i="2" a="1"/>
  <c r="O10" i="2" a="1"/>
  <c r="O149" i="2" a="1"/>
  <c r="O26" i="2" a="1"/>
  <c r="O45" i="2" a="1"/>
  <c r="N109" i="2" a="1"/>
  <c r="O213" i="2" a="1"/>
  <c r="N226" i="2" a="1"/>
  <c r="O402" i="2" a="1"/>
  <c r="O382" i="2" a="1"/>
  <c r="O200" i="2" a="1"/>
  <c r="O257" i="2" a="1"/>
  <c r="O120" i="2" a="1"/>
  <c r="O477" i="2" a="1"/>
  <c r="O11" i="2" a="1"/>
  <c r="O198" i="2" a="1"/>
  <c r="O212" i="2" a="1"/>
  <c r="N359" i="2" a="1"/>
  <c r="O207" i="2" a="1"/>
  <c r="O246" i="2" a="1"/>
  <c r="N269" i="2" a="1"/>
  <c r="O173" i="2" a="1"/>
  <c r="O482" i="2" a="1"/>
  <c r="O403" i="2" a="1"/>
  <c r="O22" i="2" a="1"/>
  <c r="N244" i="2" a="1"/>
  <c r="O29" i="2" a="1"/>
  <c r="O100" i="2" a="1"/>
  <c r="O350" i="2" a="1"/>
  <c r="O347" i="2" a="1"/>
  <c r="O301" i="2" a="1"/>
  <c r="O481" i="2" a="1"/>
  <c r="O49" i="2" a="1"/>
  <c r="O338" i="2" a="1"/>
  <c r="O324" i="2" a="1"/>
  <c r="O500" i="2" a="1"/>
  <c r="O274" i="2" a="1"/>
  <c r="O297" i="2" a="1"/>
  <c r="O235" i="2" a="1"/>
  <c r="O339" i="2" a="1"/>
  <c r="O119" i="2" a="1"/>
  <c r="O398" i="2" a="1"/>
  <c r="O331" i="2" a="1"/>
  <c r="O336" i="2" a="1"/>
  <c r="O357" i="2" a="1"/>
  <c r="O271" i="2" a="1"/>
  <c r="O273" i="2" a="1"/>
  <c r="O312" i="2" a="1"/>
  <c r="O28" i="2" a="1"/>
  <c r="O217" i="2" a="1"/>
  <c r="O417" i="2" a="1"/>
  <c r="O6" i="2" a="1"/>
  <c r="O93" i="2" a="1"/>
  <c r="O37" i="2" a="1"/>
  <c r="O249" i="2" a="1"/>
  <c r="O134" i="2" a="1"/>
  <c r="O156" i="2" a="1"/>
  <c r="N213" i="2" a="1"/>
  <c r="N88" i="2" a="1"/>
  <c r="O281" i="2" a="1"/>
  <c r="O12" i="2" a="1"/>
  <c r="N305" i="2" a="1"/>
  <c r="O494" i="2" a="1"/>
  <c r="O228" i="2" a="1"/>
  <c r="O499" i="2" a="1"/>
  <c r="O254" i="2" a="1"/>
  <c r="O250" i="2" a="1"/>
  <c r="O272" i="2" a="1"/>
  <c r="O236" i="2" a="1"/>
  <c r="O420" i="2" a="1"/>
  <c r="O404" i="2" a="1"/>
  <c r="O25" i="2" a="1"/>
  <c r="N97" i="2" a="1"/>
  <c r="N43" i="2" a="1"/>
  <c r="O488" i="2" a="1"/>
  <c r="N336" i="2" a="1"/>
  <c r="O199" i="2" a="1"/>
  <c r="O448" i="2" a="1"/>
  <c r="O163" i="2" a="1"/>
  <c r="N36" i="2" a="1"/>
  <c r="O302" i="2" a="1"/>
  <c r="O90" i="2" a="1"/>
  <c r="O300" i="2" a="1"/>
  <c r="O145" i="2" a="1"/>
  <c r="O118" i="2" a="1"/>
  <c r="O209" i="2" a="1"/>
  <c r="O190" i="2" a="1"/>
  <c r="O135" i="2" a="1"/>
  <c r="O108" i="2" a="1"/>
  <c r="O172" i="2" a="1"/>
  <c r="O346" i="2" a="1"/>
  <c r="O280" i="2" a="1"/>
  <c r="O469" i="2" a="1"/>
  <c r="O194" i="2" a="1"/>
  <c r="O13" i="2" a="1"/>
  <c r="O395" i="2" a="1"/>
  <c r="O52" i="2" a="1"/>
  <c r="O126" i="2" a="1"/>
  <c r="O210" i="2" a="1"/>
  <c r="O94" i="2" a="1"/>
  <c r="O343" i="2" a="1"/>
  <c r="O361" i="2" a="1"/>
  <c r="O308" i="2" a="1"/>
  <c r="O352" i="2" a="1"/>
  <c r="O498" i="2" a="1"/>
  <c r="O330" i="2" a="1"/>
  <c r="O462" i="2" a="1"/>
  <c r="O67" i="2" a="1"/>
  <c r="N494" i="2" a="1"/>
  <c r="O18" i="2" a="1"/>
  <c r="O244" i="2" a="1"/>
  <c r="O296" i="2" a="1"/>
  <c r="N63" i="2" a="1"/>
  <c r="N280" i="2" a="1"/>
  <c r="O387" i="2" a="1"/>
  <c r="O351" i="2" a="1"/>
  <c r="O197" i="2" a="1"/>
  <c r="O32" i="2" a="1"/>
  <c r="O341" i="2" a="1"/>
  <c r="O214" i="2" a="1"/>
  <c r="O30" i="2" a="1"/>
  <c r="N352" i="2" a="1"/>
  <c r="O424" i="2" a="1"/>
  <c r="O265" i="2" a="1"/>
  <c r="O379" i="2" a="1"/>
  <c r="O161" i="2" a="1"/>
  <c r="O289" i="2" a="1"/>
  <c r="O55" i="2" a="1"/>
  <c r="O154" i="2" a="1"/>
  <c r="O167" i="2" a="1"/>
  <c r="O47" i="2" a="1"/>
  <c r="O406" i="2" a="1"/>
  <c r="O342" i="2" a="1"/>
  <c r="O82" i="2" a="1"/>
  <c r="O124" i="2" a="1"/>
  <c r="O471" i="2" a="1"/>
  <c r="O61" i="2" a="1"/>
  <c r="O179" i="2" a="1"/>
  <c r="O181" i="2" a="1"/>
  <c r="O31" i="2" a="1"/>
  <c r="O426" i="2" a="1"/>
  <c r="O364" i="2" a="1"/>
  <c r="O473" i="2" a="1"/>
  <c r="O132" i="2" a="1"/>
  <c r="O435" i="2" a="1"/>
  <c r="O201" i="2" a="1"/>
  <c r="O485" i="2" a="1"/>
  <c r="O368" i="2" a="1"/>
  <c r="O211" i="2" a="1"/>
  <c r="O293" i="2" a="1"/>
  <c r="O57" i="2" a="1"/>
  <c r="O317" i="2" a="1"/>
  <c r="O175" i="2" a="1"/>
  <c r="O311" i="2" a="1"/>
  <c r="O104" i="2" a="1"/>
  <c r="O19" i="2" a="1"/>
  <c r="O337" i="2" a="1"/>
  <c r="O327" i="2" a="1"/>
  <c r="O125" i="2" a="1"/>
  <c r="O151" i="2" a="1"/>
  <c r="O230" i="2" a="1"/>
  <c r="O487" i="2" a="1"/>
  <c r="O169" i="2" a="1"/>
  <c r="O164" i="2" a="1"/>
  <c r="O239" i="2" a="1"/>
  <c r="O218" i="2" a="1"/>
  <c r="O86" i="2" a="1"/>
  <c r="O46" i="2" a="1"/>
  <c r="O329" i="2" a="1"/>
  <c r="N104" i="2" a="1"/>
  <c r="O321" i="2" a="1"/>
  <c r="O133" i="2" a="1"/>
  <c r="O401" i="2" a="1"/>
  <c r="O56" i="2" a="1"/>
  <c r="O63" i="2" a="1"/>
  <c r="O243" i="2" a="1"/>
  <c r="O21" i="2" a="1"/>
  <c r="O34" i="2" a="1"/>
  <c r="O397" i="2" a="1"/>
  <c r="O85" i="2" a="1"/>
  <c r="O222" i="2" a="1"/>
  <c r="O323" i="2" a="1"/>
  <c r="O333" i="2" a="1"/>
  <c r="O189" i="2" a="1"/>
  <c r="O359" i="2" a="1"/>
  <c r="O155" i="2" a="1"/>
  <c r="O418" i="2" a="1"/>
  <c r="O313" i="2" a="1"/>
  <c r="O99" i="2" a="1"/>
  <c r="O183" i="2" a="1"/>
  <c r="O440" i="2" a="1"/>
  <c r="O53" i="2" a="1"/>
  <c r="O51" i="2" a="1"/>
  <c r="O107" i="2" a="1"/>
  <c r="O202" i="2" a="1"/>
  <c r="O38" i="2" a="1"/>
  <c r="O109" i="2" a="1"/>
  <c r="O92" i="2" a="1"/>
  <c r="O89" i="2" a="1"/>
  <c r="O288" i="2" a="1"/>
  <c r="O486" i="2" a="1"/>
  <c r="O252" i="2" a="1"/>
  <c r="O139" i="2" a="1"/>
  <c r="O298" i="2" a="1"/>
  <c r="O385" i="2" a="1"/>
  <c r="O458" i="2" a="1"/>
  <c r="O464" i="2" a="1"/>
  <c r="O103" i="2" a="1"/>
  <c r="O449" i="2" a="1"/>
  <c r="O193" i="2" a="1"/>
  <c r="O388" i="2" a="1"/>
  <c r="O159" i="2" a="1"/>
  <c r="N444" i="2" a="1"/>
  <c r="O148" i="2" a="1"/>
  <c r="O24" i="2" a="1"/>
  <c r="O143" i="2" a="1"/>
  <c r="O122" i="2" a="1"/>
  <c r="O203" i="2" a="1"/>
  <c r="O310" i="2" a="1"/>
  <c r="O73" i="2" a="1"/>
  <c r="O495" i="2" a="1"/>
  <c r="N423" i="2" a="1"/>
  <c r="O459" i="2" a="1"/>
  <c r="O136" i="2" a="1"/>
  <c r="O279" i="2" a="1"/>
  <c r="O468" i="2" a="1"/>
  <c r="O64" i="2" a="1"/>
  <c r="O70" i="2" a="1"/>
  <c r="O96" i="2" a="1"/>
  <c r="O367" i="2" a="1"/>
  <c r="O137" i="2" a="1"/>
  <c r="O112" i="2" a="1"/>
  <c r="O35" i="2" a="1"/>
  <c r="O97" i="2" a="1"/>
  <c r="O472" i="2" a="1"/>
  <c r="O259" i="2" a="1"/>
  <c r="O283" i="2" a="1"/>
  <c r="O460" i="2" a="1"/>
  <c r="O497" i="2" a="1"/>
  <c r="O195" i="2" a="1"/>
  <c r="O328" i="2" a="1"/>
  <c r="O369" i="2" a="1"/>
  <c r="O17" i="2" a="1"/>
  <c r="O493" i="2" a="1"/>
  <c r="O58" i="2" a="1"/>
  <c r="O442" i="2" a="1"/>
  <c r="O123" i="2" a="1"/>
  <c r="O117" i="2" a="1"/>
  <c r="O162" i="2" a="1"/>
  <c r="O410" i="2" a="1"/>
  <c r="O275" i="2" a="1"/>
  <c r="O474" i="2" a="1"/>
  <c r="O232" i="2" a="1"/>
  <c r="O432" i="2" a="1"/>
  <c r="O7" i="2" a="1"/>
  <c r="N250" i="2" a="1"/>
  <c r="N256" i="2" a="1"/>
  <c r="N500" i="2" a="1"/>
  <c r="N4" i="2" a="1"/>
  <c r="N157" i="2" a="1"/>
  <c r="N102" i="2" a="1"/>
  <c r="N61" i="2" a="1"/>
  <c r="N367" i="2" a="1"/>
  <c r="N117" i="2" a="1"/>
  <c r="N480" i="2" a="1"/>
  <c r="N199" i="2" a="1"/>
  <c r="N266" i="2" a="1"/>
  <c r="N168" i="2" a="1"/>
  <c r="N173" i="2" a="1"/>
  <c r="N7" i="2" a="1"/>
  <c r="N425" i="2" a="1"/>
  <c r="N433" i="2" a="1"/>
  <c r="N112" i="2" a="1"/>
  <c r="N125" i="2" a="1"/>
  <c r="N327" i="2" a="1"/>
  <c r="N298" i="2" a="1"/>
  <c r="N160" i="2" a="1"/>
  <c r="N22" i="2" a="1"/>
  <c r="N262" i="2" a="1"/>
  <c r="N288" i="2" a="1"/>
  <c r="N35" i="2" a="1"/>
  <c r="N79" i="2" a="1"/>
  <c r="N490" i="2" a="1"/>
  <c r="N10" i="2" a="1"/>
  <c r="N317" i="2" a="1"/>
  <c r="N159" i="2" a="1"/>
  <c r="N251" i="2" a="1"/>
  <c r="N414" i="2" a="1"/>
  <c r="N196" i="2" a="1"/>
  <c r="N330" i="2" a="1"/>
  <c r="N271" i="2" a="1"/>
  <c r="N312" i="2" a="1"/>
  <c r="N395" i="2" a="1"/>
  <c r="N453" i="2" a="1"/>
  <c r="N373" i="2" a="1"/>
  <c r="N383" i="2" a="1"/>
  <c r="N71" i="2" a="1"/>
  <c r="N230" i="2" a="1"/>
  <c r="N482" i="2" a="1"/>
  <c r="N223" i="2" a="1"/>
  <c r="N357" i="2" a="1"/>
  <c r="N300" i="2" a="1"/>
  <c r="N185" i="2" a="1"/>
  <c r="N331" i="2" a="1"/>
  <c r="N315" i="2" a="1"/>
  <c r="N100" i="2" a="1"/>
  <c r="N393" i="2" a="1"/>
  <c r="N374" i="2" a="1"/>
  <c r="N427" i="2" a="1"/>
  <c r="N436" i="2" a="1"/>
  <c r="N442" i="2" a="1"/>
  <c r="N324" i="2" a="1"/>
  <c r="N44" i="2" a="1"/>
  <c r="N82" i="2" a="1"/>
  <c r="N86" i="2" a="1"/>
  <c r="N219" i="2" a="1"/>
  <c r="N445" i="2" a="1"/>
  <c r="N434" i="2" a="1"/>
  <c r="N74" i="2" a="1"/>
  <c r="N440" i="2" a="1"/>
  <c r="N169" i="2" a="1"/>
  <c r="N56" i="2" a="1"/>
  <c r="N350" i="2" a="1"/>
  <c r="N39" i="2" a="1"/>
  <c r="N99" i="2" a="1"/>
  <c r="N237" i="2" a="1"/>
  <c r="N38" i="2" a="1"/>
  <c r="N164" i="2" a="1"/>
  <c r="N212" i="2" a="1"/>
  <c r="N263" i="2" a="1"/>
  <c r="N111" i="2" a="1"/>
  <c r="N415" i="2" a="1"/>
  <c r="N87" i="2" a="1"/>
  <c r="N167" i="2" a="1"/>
  <c r="N130" i="2" a="1"/>
  <c r="N323" i="2" a="1"/>
  <c r="N274" i="2" a="1"/>
  <c r="N347" i="2" a="1"/>
  <c r="N502" i="2" a="1"/>
  <c r="N285" i="2" a="1"/>
  <c r="N233" i="2" a="1"/>
  <c r="N438" i="2" a="1"/>
  <c r="N368" i="2" a="1"/>
  <c r="N366" i="2" a="1"/>
  <c r="N67" i="2" a="1"/>
  <c r="N229" i="2" a="1"/>
  <c r="N470" i="2" a="1"/>
  <c r="N203" i="2" a="1"/>
  <c r="N270" i="2" a="1"/>
  <c r="N311" i="2" a="1"/>
  <c r="N493" i="2" a="1"/>
  <c r="N77" i="2" a="1"/>
  <c r="N276" i="2" a="1"/>
  <c r="N55" i="2" a="1"/>
  <c r="N91" i="2" a="1"/>
  <c r="N450" i="2" a="1"/>
  <c r="N110" i="2" a="1"/>
  <c r="N150" i="2" a="1"/>
  <c r="N413" i="2" a="1"/>
  <c r="N85" i="2" a="1"/>
  <c r="N390" i="2" a="1"/>
  <c r="N81" i="2" a="1"/>
  <c r="N252" i="2" a="1"/>
  <c r="N227" i="2" a="1"/>
  <c r="N24" i="2" a="1"/>
  <c r="N278" i="2" a="1"/>
  <c r="N208" i="2" a="1"/>
  <c r="N492" i="2" a="1"/>
  <c r="N255" i="2" a="1"/>
  <c r="N19" i="2" a="1"/>
  <c r="N5" i="2" a="1"/>
  <c r="N239" i="2" a="1"/>
  <c r="N499" i="2" a="1"/>
  <c r="N268" i="2" a="1"/>
  <c r="N155" i="2" a="1"/>
  <c r="N488" i="2" a="1"/>
  <c r="N205" i="2" a="1"/>
  <c r="N491" i="2" a="1"/>
  <c r="N392" i="2" a="1"/>
  <c r="N328" i="2" a="1"/>
  <c r="N52" i="2" a="1"/>
  <c r="N84" i="2" a="1"/>
  <c r="N401" i="2" a="1"/>
  <c r="N354" i="2" a="1"/>
  <c r="N113" i="2" a="1"/>
  <c r="N301" i="2" a="1"/>
  <c r="N27" i="2" a="1"/>
  <c r="N254" i="2" a="1"/>
  <c r="N284" i="2" a="1"/>
  <c r="N260" i="2" a="1"/>
  <c r="N369" i="2" a="1"/>
  <c r="N69" i="2" a="1"/>
  <c r="N326" i="2" a="1"/>
  <c r="N283" i="2" a="1"/>
  <c r="N446" i="2" a="1"/>
  <c r="N242" i="2" a="1"/>
  <c r="N174" i="2" a="1"/>
  <c r="N364" i="2" a="1"/>
  <c r="N76" i="2" a="1"/>
  <c r="N469" i="2" a="1"/>
  <c r="N165" i="2" a="1"/>
  <c r="N181" i="2" a="1"/>
  <c r="N402" i="2" a="1"/>
  <c r="N228" i="2" a="1"/>
  <c r="N304" i="2" a="1"/>
  <c r="N365" i="2" a="1"/>
  <c r="N138" i="2" a="1"/>
  <c r="N341" i="2" a="1"/>
  <c r="N189" i="2" a="1"/>
  <c r="N234" i="2" a="1"/>
  <c r="N451" i="2" a="1"/>
  <c r="N246" i="2" a="1"/>
  <c r="N410" i="2" a="1"/>
  <c r="N137" i="2" a="1"/>
  <c r="N214" i="2" a="1"/>
  <c r="N505" i="2" a="1"/>
  <c r="N216" i="2" a="1"/>
  <c r="N430" i="2" a="1"/>
  <c r="N308" i="2" a="1"/>
  <c r="N72" i="2" a="1"/>
  <c r="N340" i="2" a="1"/>
  <c r="N64" i="2" a="1"/>
  <c r="N458" i="2" a="1"/>
  <c r="N342" i="2" a="1"/>
  <c r="N184" i="2" a="1"/>
  <c r="N218" i="2" a="1"/>
  <c r="N375" i="2" a="1"/>
  <c r="N316" i="2" a="1"/>
  <c r="N211" i="2" a="1"/>
  <c r="N41" i="2" a="1"/>
  <c r="N459" i="2" a="1"/>
  <c r="N57" i="2" a="1"/>
  <c r="N429" i="2" a="1"/>
  <c r="N466" i="2" a="1"/>
  <c r="N277" i="2" a="1"/>
  <c r="N407" i="2" a="1"/>
  <c r="N62" i="2" a="1"/>
  <c r="N172" i="2" a="1"/>
  <c r="N258" i="2" a="1"/>
  <c r="N33" i="2" a="1"/>
  <c r="N403" i="2" a="1"/>
  <c r="N292" i="2" a="1"/>
  <c r="N400" i="2" a="1"/>
  <c r="N426" i="2" a="1"/>
  <c r="N448" i="2" a="1"/>
  <c r="N126" i="2" a="1"/>
  <c r="N145" i="2" a="1"/>
  <c r="N191" i="2" a="1"/>
  <c r="N45" i="2" a="1"/>
  <c r="N338" i="2" a="1"/>
  <c r="N320" i="2" a="1"/>
  <c r="N194" i="2" a="1"/>
  <c r="N105" i="2" a="1"/>
  <c r="N119" i="2" a="1"/>
  <c r="N141" i="2" a="1"/>
  <c r="N53" i="2" a="1"/>
  <c r="N80" i="2" a="1"/>
  <c r="N206" i="2" a="1"/>
  <c r="N103" i="2" a="1"/>
  <c r="N131" i="2" a="1"/>
  <c r="N501" i="2" a="1"/>
  <c r="N282" i="2" a="1"/>
  <c r="N439" i="2" a="1"/>
  <c r="N391" i="2" a="1"/>
  <c r="N481" i="2" a="1"/>
  <c r="N118" i="2" a="1"/>
  <c r="N335" i="2" a="1"/>
  <c r="N485" i="2" a="1"/>
  <c r="N133" i="2" a="1"/>
  <c r="N337" i="2" a="1"/>
  <c r="N462" i="2" a="1"/>
  <c r="N455" i="2" a="1"/>
  <c r="N404" i="2" a="1"/>
  <c r="N240" i="2" a="1"/>
  <c r="N465" i="2" a="1"/>
  <c r="N441" i="2" a="1"/>
  <c r="N28" i="2" a="1"/>
  <c r="N382" i="2" a="1"/>
  <c r="N495" i="2" a="1"/>
  <c r="N120" i="2" a="1"/>
  <c r="N180" i="2" a="1"/>
  <c r="N95" i="2" a="1"/>
  <c r="N142" i="2" a="1"/>
  <c r="N66" i="2" a="1"/>
  <c r="N384" i="2" a="1"/>
  <c r="N419" i="2" a="1"/>
  <c r="N372" i="2" a="1"/>
  <c r="N171" i="2" a="1"/>
  <c r="N31" i="2" a="1"/>
  <c r="N479" i="2" a="1"/>
  <c r="N114" i="2" a="1"/>
  <c r="N452" i="2" a="1"/>
  <c r="N431" i="2" a="1"/>
  <c r="N334" i="2" a="1"/>
  <c r="N209" i="2" a="1"/>
  <c r="N291" i="2" a="1"/>
  <c r="N396" i="2" a="1"/>
  <c r="N371" i="2" a="1"/>
  <c r="N241" i="2" a="1"/>
  <c r="N332" i="2" a="1"/>
  <c r="N204" i="2" a="1"/>
  <c r="N92" i="2" a="1"/>
  <c r="N50" i="2" a="1"/>
  <c r="N333" i="2" a="1"/>
  <c r="N386" i="2" a="1"/>
  <c r="N294" i="2" a="1"/>
  <c r="N225" i="2" a="1"/>
  <c r="N65" i="2" a="1"/>
  <c r="N416" i="2" a="1"/>
  <c r="N397" i="2" a="1"/>
  <c r="N54" i="2" a="1"/>
  <c r="N306" i="2" a="1"/>
  <c r="N289" i="2" a="1"/>
  <c r="N83" i="2" a="1"/>
  <c r="N351" i="2" a="1"/>
  <c r="N98" i="2" a="1"/>
  <c r="N344" i="2" a="1"/>
  <c r="N215" i="2" a="1"/>
  <c r="N443" i="2" a="1"/>
  <c r="N310" i="2" a="1"/>
  <c r="N177" i="2" a="1"/>
  <c r="N249" i="2" a="1"/>
  <c r="N339" i="2" a="1"/>
  <c r="N329" i="2" a="1"/>
  <c r="N175" i="2" a="1"/>
  <c r="N424" i="2" a="1"/>
  <c r="N89" i="2" a="1"/>
  <c r="N68" i="2" a="1"/>
  <c r="N399" i="2" a="1"/>
  <c r="N447" i="2" a="1"/>
  <c r="N349" i="2" a="1"/>
  <c r="N297" i="2" a="1"/>
  <c r="N90" i="2" a="1"/>
  <c r="N379" i="2" a="1"/>
  <c r="N437" i="2" a="1"/>
  <c r="N477" i="2" a="1"/>
  <c r="N179" i="2" a="1"/>
  <c r="N42" i="2" a="1"/>
  <c r="N139" i="2" a="1"/>
  <c r="N3" i="2" a="1"/>
  <c r="N303" i="2" a="1"/>
  <c r="N129" i="2" a="1"/>
  <c r="N247" i="2" a="1"/>
  <c r="N377" i="2" a="1"/>
  <c r="N394" i="2" a="1"/>
  <c r="N49" i="2" a="1"/>
  <c r="N420" i="2" a="1"/>
  <c r="N192" i="2" a="1"/>
  <c r="N356" i="2" a="1"/>
  <c r="N96" i="2" a="1"/>
  <c r="N183" i="2" a="1"/>
  <c r="N70" i="2" a="1"/>
  <c r="N166" i="2" a="1"/>
  <c r="N287" i="2" a="1"/>
  <c r="N498" i="2" a="1"/>
  <c r="N418" i="2" a="1"/>
  <c r="N408" i="2" a="1"/>
  <c r="N385" i="2" a="1"/>
  <c r="N144" i="2" a="1"/>
  <c r="N473" i="2" a="1"/>
  <c r="N116" i="2" a="1"/>
  <c r="N409" i="2" a="1"/>
  <c r="N486" i="2" a="1"/>
  <c r="N221" i="2" a="1"/>
  <c r="N343" i="2" a="1"/>
  <c r="N14" i="2" a="1"/>
  <c r="N302" i="2" a="1"/>
  <c r="N162" i="2" a="1"/>
  <c r="N417" i="2" a="1"/>
  <c r="N124" i="2" a="1"/>
  <c r="N187" i="2" a="1"/>
  <c r="N380" i="2" a="1"/>
  <c r="N132" i="2" a="1"/>
  <c r="N73" i="2" a="1"/>
  <c r="N59" i="2" a="1"/>
  <c r="N107" i="2" a="1"/>
  <c r="N78" i="2" a="1"/>
  <c r="N11" i="2" a="1"/>
  <c r="N378" i="2" a="1"/>
  <c r="N489" i="2" a="1"/>
  <c r="N170" i="2" a="1"/>
  <c r="N504" i="2" a="1"/>
  <c r="N503" i="2" a="1"/>
  <c r="N238" i="2" a="1"/>
  <c r="N17" i="2" a="1"/>
  <c r="N75" i="2" a="1"/>
  <c r="N388" i="2" a="1"/>
  <c r="N134" i="2" a="1"/>
  <c r="N293" i="2" a="1"/>
  <c r="N405" i="2" a="1"/>
  <c r="N421" i="2" a="1"/>
  <c r="N158" i="2" a="1"/>
  <c r="N47" i="2" a="1"/>
  <c r="N264" i="2" a="1"/>
  <c r="N21" i="2" a="1"/>
  <c r="N267" i="2" a="1"/>
  <c r="N411" i="2" a="1"/>
  <c r="N108" i="2" a="1"/>
  <c r="N46" i="2" a="1"/>
  <c r="N461" i="2" a="1"/>
  <c r="N358" i="2" a="1"/>
  <c r="N362" i="2" a="1"/>
  <c r="N121" i="2" a="1"/>
  <c r="N476" i="2" a="1"/>
  <c r="N161" i="2" a="1"/>
  <c r="N16" i="2" a="1"/>
  <c r="N217" i="2" a="1"/>
  <c r="N51" i="2" a="1"/>
  <c r="O2" i="2" a="1"/>
  <c r="N37" i="2" a="1"/>
  <c r="N279" i="2" a="1"/>
  <c r="N93" i="2" a="1"/>
  <c r="N321" i="2" a="1"/>
  <c r="N153" i="2" a="1"/>
  <c r="N467" i="2" a="1"/>
  <c r="N60" i="2" a="1"/>
  <c r="N353" i="2" a="1"/>
  <c r="N207" i="2" a="1"/>
  <c r="N156" i="2" a="1"/>
  <c r="N363" i="2" a="1"/>
  <c r="N197" i="2" a="1"/>
  <c r="N135" i="2" a="1"/>
  <c r="N115" i="2" a="1"/>
  <c r="N220" i="2" a="1"/>
  <c r="N460" i="2" a="1"/>
  <c r="N147" i="2" a="1"/>
  <c r="N15" i="2" a="1"/>
  <c r="N313" i="2" a="1"/>
  <c r="N163" i="2" a="1"/>
  <c r="N295" i="2" a="1"/>
  <c r="N30" i="2" a="1"/>
  <c r="N348" i="2" a="1"/>
  <c r="N202" i="2" a="1"/>
  <c r="N472" i="2" a="1"/>
  <c r="N235" i="2" a="1"/>
  <c r="N325" i="2" a="1"/>
  <c r="N275" i="2" a="1"/>
  <c r="N58" i="2" a="1"/>
  <c r="N454" i="2" a="1"/>
  <c r="N309" i="2" a="1"/>
  <c r="N307" i="2" a="1"/>
  <c r="N34" i="2" a="1"/>
  <c r="N463" i="2" a="1"/>
  <c r="N136" i="2" a="1"/>
  <c r="N449" i="2" a="1"/>
  <c r="N94" i="2" a="1"/>
  <c r="N370" i="2" a="1"/>
  <c r="N224" i="2" a="1"/>
  <c r="N506" i="2" a="1"/>
  <c r="N432" i="2" a="1"/>
  <c r="N376" i="2" a="1"/>
  <c r="N422" i="2" a="1"/>
  <c r="N146" i="2" a="1"/>
  <c r="N193" i="2" a="1"/>
  <c r="N195" i="2" a="1"/>
  <c r="N236" i="2" a="1"/>
  <c r="N23" i="2" a="1"/>
  <c r="N387" i="2" a="1"/>
  <c r="N123" i="2" a="1"/>
  <c r="N232" i="2" a="1"/>
  <c r="N25" i="2" a="1"/>
  <c r="N40" i="2" a="1"/>
  <c r="N151" i="2" a="1"/>
  <c r="N152" i="2" a="1"/>
  <c r="N299" i="2" a="1"/>
  <c r="N20" i="2" a="1"/>
  <c r="N314" i="2" a="1"/>
  <c r="N389" i="2" a="1"/>
  <c r="N186" i="2" a="1"/>
  <c r="N178" i="2" a="1"/>
  <c r="N101" i="2" a="1"/>
  <c r="N148" i="2" a="1"/>
  <c r="N13" i="2" a="1"/>
  <c r="N468" i="2" a="1"/>
  <c r="N286" i="2" a="1"/>
  <c r="N281" i="2" a="1"/>
  <c r="N456" i="2" a="1"/>
  <c r="N245" i="2" a="1"/>
  <c r="N154" i="2" a="1"/>
  <c r="N29" i="2" a="1"/>
  <c r="N412" i="2" a="1"/>
  <c r="N464" i="2" a="1"/>
  <c r="N257" i="2" a="1"/>
  <c r="N265" i="2" a="1"/>
  <c r="N32" i="2" a="1"/>
  <c r="N222" i="2" a="1"/>
  <c r="N201" i="2" a="1"/>
  <c r="N322" i="2" a="1"/>
  <c r="N381" i="2" a="1"/>
  <c r="N210" i="2" a="1"/>
  <c r="N457" i="2" a="1"/>
  <c r="N475" i="2" a="1"/>
  <c r="N496" i="2" a="1"/>
  <c r="N318" i="2" a="1"/>
  <c r="N406" i="2" a="1"/>
  <c r="N140" i="2" a="1"/>
  <c r="N272" i="2" a="1"/>
  <c r="N190" i="2" a="1"/>
  <c r="N355" i="2" a="1"/>
  <c r="N231" i="2" a="1"/>
  <c r="N243" i="2" a="1"/>
  <c r="N198" i="2" a="1"/>
  <c r="N106" i="2" a="1"/>
  <c r="N360" i="2" a="1"/>
  <c r="N48" i="2" a="1"/>
  <c r="N474" i="2" a="1"/>
  <c r="N259" i="2" a="1"/>
  <c r="N26" i="2" a="1"/>
  <c r="N361" i="2" a="1"/>
  <c r="N143" i="2" a="1"/>
  <c r="N2" i="2" a="1"/>
  <c r="M353" i="2" a="1"/>
  <c r="M451" i="2" a="1"/>
  <c r="M97" i="2" a="1"/>
  <c r="M281" i="2" a="1"/>
  <c r="M358" i="2" a="1"/>
  <c r="M437" i="2" a="1"/>
  <c r="M345" i="2" a="1"/>
  <c r="M454" i="2" a="1"/>
  <c r="M278" i="2" a="1"/>
  <c r="M73" i="2" a="1"/>
  <c r="M450" i="2" a="1"/>
  <c r="M280" i="2" a="1"/>
  <c r="M223" i="2" a="1"/>
  <c r="M24" i="2" a="1"/>
  <c r="M295" i="2" a="1"/>
  <c r="M261" i="2" a="1"/>
  <c r="M496" i="2" a="1"/>
  <c r="M419" i="2" a="1"/>
  <c r="M447" i="2" a="1"/>
  <c r="M138" i="2" a="1"/>
  <c r="M125" i="2" a="1"/>
  <c r="M327" i="2" a="1"/>
  <c r="M481" i="2" a="1"/>
  <c r="M147" i="2" a="1"/>
  <c r="M219" i="2" a="1"/>
  <c r="M79" i="2" a="1"/>
  <c r="M77" i="2" a="1"/>
  <c r="M386" i="2" a="1"/>
  <c r="M114" i="2" a="1"/>
  <c r="M129" i="2" a="1"/>
  <c r="M422" i="2" a="1"/>
  <c r="M90" i="2" a="1"/>
  <c r="M4" i="2" a="1"/>
  <c r="M316" i="2" a="1"/>
  <c r="M431" i="2" a="1"/>
  <c r="M424" i="2" a="1"/>
  <c r="M254" i="2" a="1"/>
  <c r="M7" i="2" a="1"/>
  <c r="M83" i="2" a="1"/>
  <c r="M303" i="2" a="1"/>
  <c r="M349" i="2" a="1"/>
  <c r="M305" i="2" a="1"/>
  <c r="M350" i="2" a="1"/>
  <c r="M368" i="2" a="1"/>
  <c r="M123" i="2" a="1"/>
  <c r="M393" i="2" a="1"/>
  <c r="M238" i="2" a="1"/>
  <c r="M150" i="2" a="1"/>
  <c r="M319" i="2" a="1"/>
  <c r="M190" i="2" a="1"/>
  <c r="M399" i="2" a="1"/>
  <c r="M204" i="2" a="1"/>
  <c r="M44" i="2" a="1"/>
  <c r="M230" i="2" a="1"/>
  <c r="M87" i="2" a="1"/>
  <c r="M296" i="2" a="1"/>
  <c r="M288" i="2" a="1"/>
  <c r="M334" i="2" a="1"/>
  <c r="M229" i="2" a="1"/>
  <c r="M291" i="2" a="1"/>
  <c r="M314" i="2" a="1"/>
  <c r="M453" i="2" a="1"/>
  <c r="M429" i="2" a="1"/>
  <c r="M54" i="2" a="1"/>
  <c r="M253" i="2" a="1"/>
  <c r="M375" i="2" a="1"/>
  <c r="M409" i="2" a="1"/>
  <c r="M441" i="2" a="1"/>
  <c r="M116" i="2" a="1"/>
  <c r="M220" i="2" a="1"/>
  <c r="M371" i="2" a="1"/>
  <c r="M270" i="2" a="1"/>
  <c r="M100" i="2" a="1"/>
  <c r="M264" i="2" a="1"/>
  <c r="M273" i="2" a="1"/>
  <c r="M240" i="2" a="1"/>
  <c r="M74" i="2" a="1"/>
  <c r="M182" i="2" a="1"/>
  <c r="M8" i="2" a="1"/>
  <c r="M11" i="2" a="1"/>
  <c r="M377" i="2" a="1"/>
  <c r="M279" i="2" a="1"/>
  <c r="M126" i="2" a="1"/>
  <c r="M141" i="2" a="1"/>
  <c r="M408" i="2" a="1"/>
  <c r="M34" i="2" a="1"/>
  <c r="M199" i="2" a="1"/>
  <c r="M25" i="2" a="1"/>
  <c r="M186" i="2" a="1"/>
  <c r="M494" i="2" a="1"/>
  <c r="M57" i="2" a="1"/>
  <c r="M376" i="2" a="1"/>
  <c r="M66" i="2" a="1"/>
  <c r="M491" i="2" a="1"/>
  <c r="M407" i="2" a="1"/>
  <c r="M168" i="2" a="1"/>
  <c r="M448" i="2" a="1"/>
  <c r="M339" i="2" a="1"/>
  <c r="M196" i="2" a="1"/>
  <c r="M177" i="2" a="1"/>
  <c r="M65" i="2" a="1"/>
  <c r="M63" i="2" a="1"/>
  <c r="M159" i="2" a="1"/>
  <c r="M20" i="2" a="1"/>
  <c r="M427" i="2" a="1"/>
  <c r="M485" i="2" a="1"/>
  <c r="M134" i="2" a="1"/>
  <c r="M283" i="2" a="1"/>
  <c r="M164" i="2" a="1"/>
  <c r="M306" i="2" a="1"/>
  <c r="M189" i="2" a="1"/>
  <c r="M445" i="2" a="1"/>
  <c r="M259" i="2" a="1"/>
  <c r="M401" i="2" a="1"/>
  <c r="M455" i="2" a="1"/>
  <c r="M242" i="2" a="1"/>
  <c r="M412" i="2" a="1"/>
  <c r="M235" i="2" a="1"/>
  <c r="M505" i="2" a="1"/>
  <c r="M22" i="2" a="1"/>
  <c r="M198" i="2" a="1"/>
  <c r="M210" i="2" a="1"/>
  <c r="M128" i="2" a="1"/>
  <c r="M405" i="2" a="1"/>
  <c r="M140" i="2" a="1"/>
  <c r="M36" i="2" a="1"/>
  <c r="M452" i="2" a="1"/>
  <c r="M14" i="2" a="1"/>
  <c r="M241" i="2" a="1"/>
  <c r="M354" i="2" a="1"/>
  <c r="M444" i="2" a="1"/>
  <c r="M413" i="2" a="1"/>
  <c r="M59" i="2" a="1"/>
  <c r="M92" i="2" a="1"/>
  <c r="M459" i="2" a="1"/>
  <c r="M276" i="2" a="1"/>
  <c r="M394" i="2" a="1"/>
  <c r="M120" i="2" a="1"/>
  <c r="M194" i="2" a="1"/>
  <c r="M302" i="2" a="1"/>
  <c r="M56" i="2" a="1"/>
  <c r="M133" i="2" a="1"/>
  <c r="M160" i="2" a="1"/>
  <c r="M269" i="2" a="1"/>
  <c r="M274" i="2" a="1"/>
  <c r="M117" i="2" a="1"/>
  <c r="M361" i="2" a="1"/>
  <c r="M239" i="2" a="1"/>
  <c r="M330" i="2" a="1"/>
  <c r="M397" i="2" a="1"/>
  <c r="M152" i="2" a="1"/>
  <c r="M221" i="2" a="1"/>
  <c r="M165" i="2" a="1"/>
  <c r="M347" i="2" a="1"/>
  <c r="M490" i="2" a="1"/>
  <c r="M191" i="2" a="1"/>
  <c r="M184" i="2" a="1"/>
  <c r="M458" i="2" a="1"/>
  <c r="M356" i="2" a="1"/>
  <c r="M76" i="2" a="1"/>
  <c r="M103" i="2" a="1"/>
  <c r="M113" i="2" a="1"/>
  <c r="M15" i="2" a="1"/>
  <c r="M403" i="2" a="1"/>
  <c r="M449" i="2" a="1"/>
  <c r="M282" i="2" a="1"/>
  <c r="M29" i="2" a="1"/>
  <c r="M43" i="2" a="1"/>
  <c r="M293" i="2" a="1"/>
  <c r="M391" i="2" a="1"/>
  <c r="M16" i="2" a="1"/>
  <c r="M86" i="2" a="1"/>
  <c r="M91" i="2" a="1"/>
  <c r="M166" i="2" a="1"/>
  <c r="M250" i="2" a="1"/>
  <c r="M426" i="2" a="1"/>
  <c r="M201" i="2" a="1"/>
  <c r="M465" i="2" a="1"/>
  <c r="M203" i="2" a="1"/>
  <c r="M45" i="2" a="1"/>
  <c r="M69" i="2" a="1"/>
  <c r="M9" i="2" a="1"/>
  <c r="M226" i="2" a="1"/>
  <c r="M328" i="2" a="1"/>
  <c r="M245" i="2" a="1"/>
  <c r="M49" i="2" a="1"/>
  <c r="M428" i="2" a="1"/>
  <c r="M477" i="2" a="1"/>
  <c r="M156" i="2" a="1"/>
  <c r="M474" i="2" a="1"/>
  <c r="M122" i="2" a="1"/>
  <c r="M333" i="2" a="1"/>
  <c r="M3" i="2" a="1"/>
  <c r="M423" i="2" a="1"/>
  <c r="M482" i="2" a="1"/>
  <c r="M208" i="2" a="1"/>
  <c r="M324" i="2" a="1"/>
  <c r="M367" i="2" a="1"/>
  <c r="M464" i="2" a="1"/>
  <c r="M318" i="2" a="1"/>
  <c r="M33" i="2" a="1"/>
  <c r="M176" i="2" a="1"/>
  <c r="M105" i="2" a="1"/>
  <c r="M488" i="2" a="1"/>
  <c r="M38" i="2" a="1"/>
  <c r="M225" i="2" a="1"/>
  <c r="M410" i="2" a="1"/>
  <c r="M343" i="2" a="1"/>
  <c r="M398" i="2" a="1"/>
  <c r="M179" i="2" a="1"/>
  <c r="M301" i="2" a="1"/>
  <c r="M67" i="2" a="1"/>
  <c r="M472" i="2" a="1"/>
  <c r="M499" i="2" a="1"/>
  <c r="M51" i="2" a="1"/>
  <c r="M374" i="2" a="1"/>
  <c r="M28" i="2" a="1"/>
  <c r="M357" i="2" a="1"/>
  <c r="M173" i="2" a="1"/>
  <c r="M364" i="2" a="1"/>
  <c r="M487" i="2" a="1"/>
  <c r="M467" i="2" a="1"/>
  <c r="M382" i="2" a="1"/>
  <c r="M162" i="2" a="1"/>
  <c r="M185" i="2" a="1"/>
  <c r="M119" i="2" a="1"/>
  <c r="M26" i="2" a="1"/>
  <c r="M443" i="2" a="1"/>
  <c r="M370" i="2" a="1"/>
  <c r="M127" i="2" a="1"/>
  <c r="M209" i="2" a="1"/>
  <c r="M498" i="2" a="1"/>
  <c r="M404" i="2" a="1"/>
  <c r="M48" i="2" a="1"/>
  <c r="M271" i="2" a="1"/>
  <c r="M417" i="2" a="1"/>
  <c r="M352" i="2" a="1"/>
  <c r="M478" i="2" a="1"/>
  <c r="M6" i="2" a="1"/>
  <c r="M153" i="2" a="1"/>
  <c r="M415" i="2" a="1"/>
  <c r="M151" i="2" a="1"/>
  <c r="M27" i="2" a="1"/>
  <c r="M170" i="2" a="1"/>
  <c r="M251" i="2" a="1"/>
  <c r="M178" i="2" a="1"/>
  <c r="M359" i="2" a="1"/>
  <c r="M385" i="2" a="1"/>
  <c r="M81" i="2" a="1"/>
  <c r="M320" i="2" a="1"/>
  <c r="M463" i="2" a="1"/>
  <c r="M433" i="2" a="1"/>
  <c r="M503" i="2" a="1"/>
  <c r="M233" i="2" a="1"/>
  <c r="M228" i="2" a="1"/>
  <c r="M137" i="2" a="1"/>
  <c r="M470" i="2" a="1"/>
  <c r="M52" i="2" a="1"/>
  <c r="M500" i="2" a="1"/>
  <c r="M234" i="2" a="1"/>
  <c r="M17" i="2" a="1"/>
  <c r="M146" i="2" a="1"/>
  <c r="M381" i="2" a="1"/>
  <c r="M256" i="2" a="1"/>
  <c r="M31" i="2" a="1"/>
  <c r="M300" i="2" a="1"/>
  <c r="M95" i="2" a="1"/>
  <c r="M145" i="2" a="1"/>
  <c r="M341" i="2" a="1"/>
  <c r="M299" i="2" a="1"/>
  <c r="M135" i="2" a="1"/>
  <c r="M476" i="2" a="1"/>
  <c r="M181" i="2" a="1"/>
  <c r="M108" i="2" a="1"/>
  <c r="M440" i="2" a="1"/>
  <c r="M338" i="2" a="1"/>
  <c r="M175" i="2" a="1"/>
  <c r="M297" i="2" a="1"/>
  <c r="M340" i="2" a="1"/>
  <c r="M260" i="2" a="1"/>
  <c r="M227" i="2" a="1"/>
  <c r="M148" i="2" a="1"/>
  <c r="M96" i="2" a="1"/>
  <c r="M411" i="2" a="1"/>
  <c r="M169" i="2" a="1"/>
  <c r="M387" i="2" a="1"/>
  <c r="M55" i="2" a="1"/>
  <c r="M475" i="2" a="1"/>
  <c r="M154" i="2" a="1"/>
  <c r="M215" i="2" a="1"/>
  <c r="M107" i="2" a="1"/>
  <c r="M131" i="2" a="1"/>
  <c r="M109" i="2" a="1"/>
  <c r="M502" i="2" a="1"/>
  <c r="M493" i="2" a="1"/>
  <c r="M363" i="2" a="1"/>
  <c r="M61" i="2" a="1"/>
  <c r="M216" i="2" a="1"/>
  <c r="M237" i="2" a="1"/>
  <c r="M287" i="2" a="1"/>
  <c r="M286" i="2" a="1"/>
  <c r="M489" i="2" a="1"/>
  <c r="M430" i="2" a="1"/>
  <c r="M249" i="2" a="1"/>
  <c r="M47" i="2" a="1"/>
  <c r="M439" i="2" a="1"/>
  <c r="M421" i="2" a="1"/>
  <c r="M492" i="2" a="1"/>
  <c r="M285" i="2" a="1"/>
  <c r="M161" i="2" a="1"/>
  <c r="M267" i="2" a="1"/>
  <c r="M163" i="2" a="1"/>
  <c r="M369" i="2" a="1"/>
  <c r="M112" i="2" a="1"/>
  <c r="M101" i="2" a="1"/>
  <c r="M466" i="2" a="1"/>
  <c r="M118" i="2" a="1"/>
  <c r="M41" i="2" a="1"/>
  <c r="M231" i="2" a="1"/>
  <c r="M255" i="2" a="1"/>
  <c r="M224" i="2" a="1"/>
  <c r="M471" i="2" a="1"/>
  <c r="M442" i="2" a="1"/>
  <c r="M244" i="2" a="1"/>
  <c r="M462" i="2" a="1"/>
  <c r="M379" i="2" a="1"/>
  <c r="M174" i="2" a="1"/>
  <c r="M102" i="2" a="1"/>
  <c r="M501" i="2" a="1"/>
  <c r="M438" i="2" a="1"/>
  <c r="M315" i="2" a="1"/>
  <c r="M60" i="2" a="1"/>
  <c r="M35" i="2" a="1"/>
  <c r="M335" i="2" a="1"/>
  <c r="M389" i="2" a="1"/>
  <c r="M110" i="2" a="1"/>
  <c r="M392" i="2" a="1"/>
  <c r="M400" i="2" a="1"/>
  <c r="M18" i="2" a="1"/>
  <c r="M80" i="2" a="1"/>
  <c r="M436" i="2" a="1"/>
  <c r="M390" i="2" a="1"/>
  <c r="M205" i="2" a="1"/>
  <c r="M329" i="2" a="1"/>
  <c r="M246" i="2" a="1"/>
  <c r="M416" i="2" a="1"/>
  <c r="M248" i="2" a="1"/>
  <c r="M247" i="2" a="1"/>
  <c r="M78" i="2" a="1"/>
  <c r="M336" i="2" a="1"/>
  <c r="M143" i="2" a="1"/>
  <c r="M497" i="2" a="1"/>
  <c r="M85" i="2" a="1"/>
  <c r="M322" i="2" a="1"/>
  <c r="M115" i="2" a="1"/>
  <c r="M180" i="2" a="1"/>
  <c r="M195" i="2" a="1"/>
  <c r="M2" i="2" a="1"/>
  <c r="M39" i="2" a="1"/>
  <c r="M111" i="2" a="1"/>
  <c r="M62" i="2" a="1"/>
  <c r="M435" i="2" a="1"/>
  <c r="M372" i="2" a="1"/>
  <c r="M348" i="2" a="1"/>
  <c r="M383" i="2" a="1"/>
  <c r="M268" i="2" a="1"/>
  <c r="M275" i="2" a="1"/>
  <c r="M130" i="2" a="1"/>
  <c r="M384" i="2" a="1"/>
  <c r="M37" i="2" a="1"/>
  <c r="M289" i="2" a="1"/>
  <c r="M72" i="2" a="1"/>
  <c r="M53" i="2" a="1"/>
  <c r="M360" i="2" a="1"/>
  <c r="M193" i="2" a="1"/>
  <c r="M262" i="2" a="1"/>
  <c r="M326" i="2" a="1"/>
  <c r="M456" i="2" a="1"/>
  <c r="M355" i="2" a="1"/>
  <c r="M325" i="2" a="1"/>
  <c r="M13" i="2" a="1"/>
  <c r="M277" i="2" a="1"/>
  <c r="M155" i="2" a="1"/>
  <c r="M434" i="2" a="1"/>
  <c r="M32" i="2" a="1"/>
  <c r="M183" i="2" a="1"/>
  <c r="M378" i="2" a="1"/>
  <c r="M292" i="2" a="1"/>
  <c r="M64" i="2" a="1"/>
  <c r="M332" i="2" a="1"/>
  <c r="M82" i="2" a="1"/>
  <c r="M70" i="2" a="1"/>
  <c r="M99" i="2" a="1"/>
  <c r="M346" i="2" a="1"/>
  <c r="M84" i="2" a="1"/>
  <c r="M187" i="2" a="1"/>
  <c r="M104" i="2" a="1"/>
  <c r="M414" i="2" a="1"/>
  <c r="M473" i="2" a="1"/>
  <c r="M373" i="2" a="1"/>
  <c r="M317" i="2" a="1"/>
  <c r="M157" i="2" a="1"/>
  <c r="M121" i="2" a="1"/>
  <c r="M396" i="2" a="1"/>
  <c r="M124" i="2" a="1"/>
  <c r="M40" i="2" a="1"/>
  <c r="M212" i="2" a="1"/>
  <c r="M98" i="2" a="1"/>
  <c r="M167" i="2" a="1"/>
  <c r="M46" i="2" a="1"/>
  <c r="M365" i="2" a="1"/>
  <c r="M265" i="2" a="1"/>
  <c r="M486" i="2" a="1"/>
  <c r="M252" i="2" a="1"/>
  <c r="M290" i="2" a="1"/>
  <c r="M402" i="2" a="1"/>
  <c r="M483" i="2" a="1"/>
  <c r="M313" i="2" a="1"/>
  <c r="M197" i="2" a="1"/>
  <c r="M236" i="2" a="1"/>
  <c r="M380" i="2" a="1"/>
  <c r="M366" i="2" a="1"/>
  <c r="M337" i="2" a="1"/>
  <c r="M188" i="2" a="1"/>
  <c r="M202" i="2" a="1"/>
  <c r="M23" i="2" a="1"/>
  <c r="M425" i="2" a="1"/>
  <c r="M214" i="2" a="1"/>
  <c r="M294" i="2" a="1"/>
  <c r="M312" i="2" a="1"/>
  <c r="M21" i="2" a="1"/>
  <c r="M446" i="2" a="1"/>
  <c r="M89" i="2" a="1"/>
  <c r="M10" i="2" a="1"/>
  <c r="M218" i="2" a="1"/>
  <c r="M243" i="2" a="1"/>
  <c r="M19" i="2" a="1"/>
  <c r="M171" i="2" a="1"/>
  <c r="M207" i="2" a="1"/>
  <c r="M206" i="2" a="1"/>
  <c r="M342" i="2" a="1"/>
  <c r="M304" i="2" a="1"/>
  <c r="M468" i="2" a="1"/>
  <c r="M484" i="2" a="1"/>
  <c r="M200" i="2" a="1"/>
  <c r="M284" i="2" a="1"/>
  <c r="M460" i="2" a="1"/>
  <c r="M217" i="2" a="1"/>
  <c r="M213" i="2" a="1"/>
  <c r="M149" i="2" a="1"/>
  <c r="M479" i="2" a="1"/>
  <c r="M12" i="2" a="1"/>
  <c r="M323" i="2" a="1"/>
  <c r="M469" i="2" a="1"/>
  <c r="M5" i="2" a="1"/>
  <c r="M331" i="2" a="1"/>
  <c r="M232" i="2" a="1"/>
  <c r="M272" i="2" a="1"/>
  <c r="M406" i="2" a="1"/>
  <c r="M42" i="2" a="1"/>
  <c r="M257" i="2" a="1"/>
  <c r="M71" i="2" a="1"/>
  <c r="M266" i="2" a="1"/>
  <c r="M132" i="2" a="1"/>
  <c r="M506" i="2" a="1"/>
  <c r="M142" i="2" a="1"/>
  <c r="M362" i="2" a="1"/>
  <c r="M158" i="2" a="1"/>
  <c r="M139" i="2" a="1"/>
  <c r="M94" i="2" a="1"/>
  <c r="M136" i="2" a="1"/>
  <c r="M351" i="2" a="1"/>
  <c r="M388" i="2" a="1"/>
  <c r="M93" i="2" a="1"/>
  <c r="M420" i="2" a="1"/>
  <c r="M480" i="2" a="1"/>
  <c r="M344" i="2" a="1"/>
  <c r="M88" i="2" a="1"/>
  <c r="M263" i="2" a="1"/>
  <c r="M58" i="2" a="1"/>
  <c r="M457" i="2" a="1"/>
  <c r="M192" i="2" a="1"/>
  <c r="M395" i="2" a="1"/>
  <c r="M222" i="2" a="1"/>
  <c r="M495" i="2" a="1"/>
  <c r="M307" i="2" a="1"/>
  <c r="M432" i="2" a="1"/>
  <c r="M75" i="2" a="1"/>
  <c r="M418" i="2" a="1"/>
  <c r="M298" i="2" a="1"/>
  <c r="M461" i="2" a="1"/>
  <c r="M172" i="2" a="1"/>
  <c r="M106" i="2" a="1"/>
  <c r="M50" i="2" a="1"/>
  <c r="M68" i="2" a="1"/>
  <c r="M30" i="2" a="1"/>
  <c r="M144" i="2" a="1"/>
  <c r="M321" i="2" a="1"/>
  <c r="M211" i="2" a="1"/>
  <c r="M258" i="2" a="1"/>
  <c r="M504" i="2" a="1"/>
  <c r="L160" i="2" a="1"/>
  <c r="L483" i="2" a="1"/>
  <c r="L375" i="2" a="1"/>
  <c r="L472" i="2" a="1"/>
  <c r="L234" i="2" a="1"/>
  <c r="L254" i="2" a="1"/>
  <c r="L327" i="2" a="1"/>
  <c r="L259" i="2" a="1"/>
  <c r="L54" i="2" a="1"/>
  <c r="L321" i="2" a="1"/>
  <c r="L240" i="2" a="1"/>
  <c r="L47" i="2" a="1"/>
  <c r="L438" i="2" a="1"/>
  <c r="L388" i="2" a="1"/>
  <c r="L131" i="2" a="1"/>
  <c r="L193" i="2" a="1"/>
  <c r="L296" i="2" a="1"/>
  <c r="L323" i="2" a="1"/>
  <c r="L246" i="2" a="1"/>
  <c r="L340" i="2" a="1"/>
  <c r="L248" i="2" a="1"/>
  <c r="L373" i="2" a="1"/>
  <c r="L100" i="2" a="1"/>
  <c r="L112" i="2" a="1"/>
  <c r="L374" i="2" a="1"/>
  <c r="L173" i="2" a="1"/>
  <c r="L371" i="2" a="1"/>
  <c r="L244" i="2" a="1"/>
  <c r="L28" i="2" a="1"/>
  <c r="L436" i="2" a="1"/>
  <c r="L380" i="2" a="1"/>
  <c r="L191" i="2" a="1"/>
  <c r="L187" i="2" a="1"/>
  <c r="L2" i="2" a="1"/>
  <c r="L423" i="2" a="1"/>
  <c r="L486" i="2" a="1"/>
  <c r="L24" i="2" a="1"/>
  <c r="L314" i="2" a="1"/>
  <c r="L402" i="2" a="1"/>
  <c r="L393" i="2" a="1"/>
  <c r="L470" i="2" a="1"/>
  <c r="L405" i="2" a="1"/>
  <c r="L39" i="2" a="1"/>
  <c r="L5" i="2" a="1"/>
  <c r="L230" i="2" a="1"/>
  <c r="L170" i="2" a="1"/>
  <c r="L210" i="2" a="1"/>
  <c r="L392" i="2" a="1"/>
  <c r="L152" i="2" a="1"/>
  <c r="L201" i="2" a="1"/>
  <c r="L343" i="2" a="1"/>
  <c r="L179" i="2" a="1"/>
  <c r="L110" i="2" a="1"/>
  <c r="L417" i="2" a="1"/>
  <c r="L427" i="2" a="1"/>
  <c r="L105" i="2" a="1"/>
  <c r="L295" i="2" a="1"/>
  <c r="L491" i="2" a="1"/>
  <c r="L41" i="2" a="1"/>
  <c r="L284" i="2" a="1"/>
  <c r="L270" i="2" a="1"/>
  <c r="L298" i="2" a="1"/>
  <c r="L203" i="2" a="1"/>
  <c r="L138" i="2" a="1"/>
  <c r="L435" i="2" a="1"/>
  <c r="L404" i="2" a="1"/>
  <c r="L332" i="2" a="1"/>
  <c r="L88" i="2" a="1"/>
  <c r="L194" i="2" a="1"/>
  <c r="L430" i="2" a="1"/>
  <c r="L336" i="2" a="1"/>
  <c r="L261" i="2" a="1"/>
  <c r="L95" i="2" a="1"/>
  <c r="L379" i="2" a="1"/>
  <c r="L71" i="2" a="1"/>
  <c r="L221" i="2" a="1"/>
  <c r="L84" i="2" a="1"/>
  <c r="L406" i="2" a="1"/>
  <c r="L136" i="2" a="1"/>
  <c r="L106" i="2" a="1"/>
  <c r="L330" i="2" a="1"/>
  <c r="L11" i="2" a="1"/>
  <c r="L98" i="2" a="1"/>
  <c r="L79" i="2" a="1"/>
  <c r="L391" i="2" a="1"/>
  <c r="L447" i="2" a="1"/>
  <c r="L209" i="2" a="1"/>
  <c r="L168" i="2" a="1"/>
  <c r="L312" i="2" a="1"/>
  <c r="L18" i="2" a="1"/>
  <c r="L52" i="2" a="1"/>
  <c r="L269" i="2" a="1"/>
  <c r="L222" i="2" a="1"/>
  <c r="L31" i="2" a="1"/>
  <c r="L96" i="2" a="1"/>
  <c r="L477" i="2" a="1"/>
  <c r="L495" i="2" a="1"/>
  <c r="L109" i="2" a="1"/>
  <c r="L411" i="2" a="1"/>
  <c r="L57" i="2" a="1"/>
  <c r="L195" i="2" a="1"/>
  <c r="L465" i="2" a="1"/>
  <c r="L93" i="2" a="1"/>
  <c r="L335" i="2" a="1"/>
  <c r="L212" i="2" a="1"/>
  <c r="L390" i="2" a="1"/>
  <c r="L464" i="2" a="1"/>
  <c r="L85" i="2" a="1"/>
  <c r="L488" i="2" a="1"/>
  <c r="L75" i="2" a="1"/>
  <c r="L460" i="2" a="1"/>
  <c r="L505" i="2" a="1"/>
  <c r="L381" i="2" a="1"/>
  <c r="L157" i="2" a="1"/>
  <c r="L42" i="2" a="1"/>
  <c r="L451" i="2" a="1"/>
  <c r="L232" i="2" a="1"/>
  <c r="L268" i="2" a="1"/>
  <c r="L489" i="2" a="1"/>
  <c r="L441" i="2" a="1"/>
  <c r="L223" i="2" a="1"/>
  <c r="L70" i="2" a="1"/>
  <c r="L171" i="2" a="1"/>
  <c r="L450" i="2" a="1"/>
  <c r="L140" i="2" a="1"/>
  <c r="L420" i="2" a="1"/>
  <c r="L454" i="2" a="1"/>
  <c r="L150" i="2" a="1"/>
  <c r="L271" i="2" a="1"/>
  <c r="L94" i="2" a="1"/>
  <c r="L316" i="2" a="1"/>
  <c r="L384" i="2" a="1"/>
  <c r="L202" i="2" a="1"/>
  <c r="L229" i="2" a="1"/>
  <c r="L219" i="2" a="1"/>
  <c r="L341" i="2" a="1"/>
  <c r="L349" i="2" a="1"/>
  <c r="L476" i="2" a="1"/>
  <c r="L176" i="2" a="1"/>
  <c r="L329" i="2" a="1"/>
  <c r="L242" i="2" a="1"/>
  <c r="L206" i="2" a="1"/>
  <c r="L499" i="2" a="1"/>
  <c r="L154" i="2" a="1"/>
  <c r="L328" i="2" a="1"/>
  <c r="L10" i="2" a="1"/>
  <c r="L493" i="2" a="1"/>
  <c r="L49" i="2" a="1"/>
  <c r="L196" i="2" a="1"/>
  <c r="L354" i="2" a="1"/>
  <c r="L387" i="2" a="1"/>
  <c r="L178" i="2" a="1"/>
  <c r="L167" i="2" a="1"/>
  <c r="L29" i="2" a="1"/>
  <c r="L475" i="2" a="1"/>
  <c r="L169" i="2" a="1"/>
  <c r="L36" i="2" a="1"/>
  <c r="L301" i="2" a="1"/>
  <c r="L498" i="2" a="1"/>
  <c r="L424" i="2" a="1"/>
  <c r="L455" i="2" a="1"/>
  <c r="L303" i="2" a="1"/>
  <c r="L237" i="2" a="1"/>
  <c r="L294" i="2" a="1"/>
  <c r="L273" i="2" a="1"/>
  <c r="L208" i="2" a="1"/>
  <c r="L174" i="2" a="1"/>
  <c r="L56" i="2" a="1"/>
  <c r="L126" i="2" a="1"/>
  <c r="L44" i="2" a="1"/>
  <c r="L86" i="2" a="1"/>
  <c r="L283" i="2" a="1"/>
  <c r="L127" i="2" a="1"/>
  <c r="L407" i="2" a="1"/>
  <c r="L124" i="2" a="1"/>
  <c r="L26" i="2" a="1"/>
  <c r="L137" i="2" a="1"/>
  <c r="L200" i="2" a="1"/>
  <c r="L103" i="2" a="1"/>
  <c r="L363" i="2" a="1"/>
  <c r="L415" i="2" a="1"/>
  <c r="L422" i="2" a="1"/>
  <c r="L213" i="2" a="1"/>
  <c r="L123" i="2" a="1"/>
  <c r="L444" i="2" a="1"/>
  <c r="L66" i="2" a="1"/>
  <c r="L141" i="2" a="1"/>
  <c r="L385" i="2" a="1"/>
  <c r="L182" i="2" a="1"/>
  <c r="L249" i="2" a="1"/>
  <c r="L431" i="2" a="1"/>
  <c r="L304" i="2" a="1"/>
  <c r="L359" i="2" a="1"/>
  <c r="L334" i="2" a="1"/>
  <c r="L226" i="2" a="1"/>
  <c r="L51" i="2" a="1"/>
  <c r="L448" i="2" a="1"/>
  <c r="L116" i="2" a="1"/>
  <c r="L285" i="2" a="1"/>
  <c r="L278" i="2" a="1"/>
  <c r="L409" i="2" a="1"/>
  <c r="L426" i="2" a="1"/>
  <c r="L155" i="2" a="1"/>
  <c r="L338" i="2" a="1"/>
  <c r="L89" i="2" a="1"/>
  <c r="L220" i="2" a="1"/>
  <c r="L263" i="2" a="1"/>
  <c r="L180" i="2" a="1"/>
  <c r="L452" i="2" a="1"/>
  <c r="L377" i="2" a="1"/>
  <c r="L257" i="2" a="1"/>
  <c r="L325" i="2" a="1"/>
  <c r="L20" i="2" a="1"/>
  <c r="L395" i="2" a="1"/>
  <c r="L146" i="2" a="1"/>
  <c r="L17" i="2" a="1"/>
  <c r="L474" i="2" a="1"/>
  <c r="L61" i="2" a="1"/>
  <c r="L158" i="2" a="1"/>
  <c r="L4" i="2" a="1"/>
  <c r="L22" i="2" a="1"/>
  <c r="L145" i="2" a="1"/>
  <c r="L72" i="2" a="1"/>
  <c r="L310" i="2" a="1"/>
  <c r="L139" i="2" a="1"/>
  <c r="L264" i="2" a="1"/>
  <c r="L287" i="2" a="1"/>
  <c r="L467" i="2" a="1"/>
  <c r="L347" i="2" a="1"/>
  <c r="L280" i="2" a="1"/>
  <c r="L317" i="2" a="1"/>
  <c r="L228" i="2" a="1"/>
  <c r="L473" i="2" a="1"/>
  <c r="L130" i="2" a="1"/>
  <c r="L490" i="2" a="1"/>
  <c r="L247" i="2" a="1"/>
  <c r="L378" i="2" a="1"/>
  <c r="L433" i="2" a="1"/>
  <c r="L274" i="2" a="1"/>
  <c r="L113" i="2" a="1"/>
  <c r="L68" i="2" a="1"/>
  <c r="L40" i="2" a="1"/>
  <c r="L216" i="2" a="1"/>
  <c r="L64" i="2" a="1"/>
  <c r="L58" i="2" a="1"/>
  <c r="L458" i="2" a="1"/>
  <c r="L258" i="2" a="1"/>
  <c r="L74" i="2" a="1"/>
  <c r="L413" i="2" a="1"/>
  <c r="L429" i="2" a="1"/>
  <c r="L503" i="2" a="1"/>
  <c r="L8" i="2" a="1"/>
  <c r="L364" i="2" a="1"/>
  <c r="L245" i="2" a="1"/>
  <c r="L305" i="2" a="1"/>
  <c r="L479" i="2" a="1"/>
  <c r="L266" i="2" a="1"/>
  <c r="L297" i="2" a="1"/>
  <c r="L235" i="2" a="1"/>
  <c r="L16" i="2" a="1"/>
  <c r="L400" i="2" a="1"/>
  <c r="L500" i="2" a="1"/>
  <c r="L262" i="2" a="1"/>
  <c r="L449" i="2" a="1"/>
  <c r="L50" i="2" a="1"/>
  <c r="L45" i="2" a="1"/>
  <c r="L306" i="2" a="1"/>
  <c r="L469" i="2" a="1"/>
  <c r="L445" i="2" a="1"/>
  <c r="L292" i="2" a="1"/>
  <c r="L121" i="2" a="1"/>
  <c r="L15" i="2" a="1"/>
  <c r="L463" i="2" a="1"/>
  <c r="L482" i="2" a="1"/>
  <c r="L368" i="2" a="1"/>
  <c r="L83" i="2" a="1"/>
  <c r="L446" i="2" a="1"/>
  <c r="L494" i="2" a="1"/>
  <c r="L277" i="2" a="1"/>
  <c r="L478" i="2" a="1"/>
  <c r="L143" i="2" a="1"/>
  <c r="L355" i="2" a="1"/>
  <c r="L148" i="2" a="1"/>
  <c r="L73" i="2" a="1"/>
  <c r="L199" i="2" a="1"/>
  <c r="L342" i="2" a="1"/>
  <c r="L416" i="2" a="1"/>
  <c r="L190" i="2" a="1"/>
  <c r="L468" i="2" a="1"/>
  <c r="L358" i="2" a="1"/>
  <c r="L366" i="2" a="1"/>
  <c r="L175" i="2" a="1"/>
  <c r="L282" i="2" a="1"/>
  <c r="L62" i="2" a="1"/>
  <c r="L60" i="2" a="1"/>
  <c r="L396" i="2" a="1"/>
  <c r="L53" i="2" a="1"/>
  <c r="L162" i="2" a="1"/>
  <c r="L65" i="2" a="1"/>
  <c r="L410" i="2" a="1"/>
  <c r="L497" i="2" a="1"/>
  <c r="L149" i="2" a="1"/>
  <c r="L281" i="2" a="1"/>
  <c r="L360" i="2" a="1"/>
  <c r="L389" i="2" a="1"/>
  <c r="L101" i="2" a="1"/>
  <c r="L309" i="2" a="1"/>
  <c r="L204" i="2" a="1"/>
  <c r="L63" i="2" a="1"/>
  <c r="L443" i="2" a="1"/>
  <c r="L481" i="2" a="1"/>
  <c r="L345" i="2" a="1"/>
  <c r="L453" i="2" a="1"/>
  <c r="L48" i="2" a="1"/>
  <c r="L361" i="2" a="1"/>
  <c r="L350" i="2" a="1"/>
  <c r="L108" i="2" a="1"/>
  <c r="L34" i="2" a="1"/>
  <c r="L253" i="2" a="1"/>
  <c r="L496" i="2" a="1"/>
  <c r="L76" i="2" a="1"/>
  <c r="L300" i="2" a="1"/>
  <c r="L3" i="2" a="1"/>
  <c r="L128" i="2" a="1"/>
  <c r="L344" i="2" a="1"/>
  <c r="L480" i="2" a="1"/>
  <c r="L346" i="2" a="1"/>
  <c r="L293" i="2" a="1"/>
  <c r="L198" i="2" a="1"/>
  <c r="L357" i="2" a="1"/>
  <c r="L365" i="2" a="1"/>
  <c r="L32" i="2" a="1"/>
  <c r="L318" i="2" a="1"/>
  <c r="L421" i="2" a="1"/>
  <c r="L144" i="2" a="1"/>
  <c r="L132" i="2" a="1"/>
  <c r="L87" i="2" a="1"/>
  <c r="L215" i="2" a="1"/>
  <c r="L82" i="2" a="1"/>
  <c r="L181" i="2" a="1"/>
  <c r="L225" i="2" a="1"/>
  <c r="L233" i="2" a="1"/>
  <c r="L382" i="2" a="1"/>
  <c r="L502" i="2" a="1"/>
  <c r="L419" i="2" a="1"/>
  <c r="L120" i="2" a="1"/>
  <c r="L414" i="2" a="1"/>
  <c r="L122" i="2" a="1"/>
  <c r="L114" i="2" a="1"/>
  <c r="L142" i="2" a="1"/>
  <c r="L434" i="2" a="1"/>
  <c r="L401" i="2" a="1"/>
  <c r="L115" i="2" a="1"/>
  <c r="L23" i="2" a="1"/>
  <c r="L129" i="2" a="1"/>
  <c r="L265" i="2" a="1"/>
  <c r="L339" i="2" a="1"/>
  <c r="L192" i="2" a="1"/>
  <c r="L337" i="2" a="1"/>
  <c r="L77" i="2" a="1"/>
  <c r="L286" i="2" a="1"/>
  <c r="L111" i="2" a="1"/>
  <c r="L188" i="2" a="1"/>
  <c r="L238" i="2" a="1"/>
  <c r="L78" i="2" a="1"/>
  <c r="L159" i="2" a="1"/>
  <c r="L370" i="2" a="1"/>
  <c r="L67" i="2" a="1"/>
  <c r="L348" i="2" a="1"/>
  <c r="L205" i="2" a="1"/>
  <c r="L104" i="2" a="1"/>
  <c r="L46" i="2" a="1"/>
  <c r="L267" i="2" a="1"/>
  <c r="L161" i="2" a="1"/>
  <c r="L211" i="2" a="1"/>
  <c r="L412" i="2" a="1"/>
  <c r="L275" i="2" a="1"/>
  <c r="L177" i="2" a="1"/>
  <c r="L172" i="2" a="1"/>
  <c r="L501" i="2" a="1"/>
  <c r="L55" i="2" a="1"/>
  <c r="L81" i="2" a="1"/>
  <c r="L313" i="2" a="1"/>
  <c r="L189" i="2" a="1"/>
  <c r="L164" i="2" a="1"/>
  <c r="L30" i="2" a="1"/>
  <c r="L243" i="2" a="1"/>
  <c r="L256" i="2" a="1"/>
  <c r="L134" i="2" a="1"/>
  <c r="L80" i="2" a="1"/>
  <c r="L151" i="2" a="1"/>
  <c r="L279" i="2" a="1"/>
  <c r="L12" i="2" a="1"/>
  <c r="L428" i="2" a="1"/>
  <c r="L91" i="2" a="1"/>
  <c r="L456" i="2" a="1"/>
  <c r="L107" i="2" a="1"/>
  <c r="L352" i="2" a="1"/>
  <c r="L118" i="2" a="1"/>
  <c r="L386" i="2" a="1"/>
  <c r="L165" i="2" a="1"/>
  <c r="L119" i="2" a="1"/>
  <c r="L290" i="2" a="1"/>
  <c r="L97" i="2" a="1"/>
  <c r="L251" i="2" a="1"/>
  <c r="L315" i="2" a="1"/>
  <c r="L333" i="2" a="1"/>
  <c r="L13" i="2" a="1"/>
  <c r="L276" i="2" a="1"/>
  <c r="L252" i="2" a="1"/>
  <c r="L459" i="2" a="1"/>
  <c r="L353" i="2" a="1"/>
  <c r="L163" i="2" a="1"/>
  <c r="L437" i="2" a="1"/>
  <c r="L356" i="2" a="1"/>
  <c r="L418" i="2" a="1"/>
  <c r="L102" i="2" a="1"/>
  <c r="L185" i="2" a="1"/>
  <c r="L383" i="2" a="1"/>
  <c r="L331" i="2" a="1"/>
  <c r="L367" i="2" a="1"/>
  <c r="L484" i="2" a="1"/>
  <c r="L442" i="2" a="1"/>
  <c r="L320" i="2" a="1"/>
  <c r="L153" i="2" a="1"/>
  <c r="L322" i="2" a="1"/>
  <c r="L227" i="2" a="1"/>
  <c r="L457" i="2" a="1"/>
  <c r="L7" i="2" a="1"/>
  <c r="L241" i="2" a="1"/>
  <c r="L99" i="2" a="1"/>
  <c r="L21" i="2" a="1"/>
  <c r="L440" i="2" a="1"/>
  <c r="L506" i="2" a="1"/>
  <c r="L255" i="2" a="1"/>
  <c r="L372" i="2" a="1"/>
  <c r="L302" i="2" a="1"/>
  <c r="L485" i="2" a="1"/>
  <c r="L288" i="2" a="1"/>
  <c r="L289" i="2" a="1"/>
  <c r="L184" i="2" a="1"/>
  <c r="L307" i="2" a="1"/>
  <c r="L399" i="2" a="1"/>
  <c r="L504" i="2" a="1"/>
  <c r="L376" i="2" a="1"/>
  <c r="L466" i="2" a="1"/>
  <c r="L351" i="2" a="1"/>
  <c r="L197" i="2" a="1"/>
  <c r="L239" i="2" a="1"/>
  <c r="L319" i="2" a="1"/>
  <c r="L218" i="2" a="1"/>
  <c r="L6" i="2" a="1"/>
  <c r="L186" i="2" a="1"/>
  <c r="L133" i="2" a="1"/>
  <c r="L324" i="2" a="1"/>
  <c r="L207" i="2" a="1"/>
  <c r="L461" i="2" a="1"/>
  <c r="L90" i="2" a="1"/>
  <c r="L492" i="2" a="1"/>
  <c r="L25" i="2" a="1"/>
  <c r="L125" i="2" a="1"/>
  <c r="L35" i="2" a="1"/>
  <c r="L166" i="2" a="1"/>
  <c r="L398" i="2" a="1"/>
  <c r="L362" i="2" a="1"/>
  <c r="L369" i="2" a="1"/>
  <c r="L38" i="2" a="1"/>
  <c r="L236" i="2" a="1"/>
  <c r="L117" i="2" a="1"/>
  <c r="L214" i="2" a="1"/>
  <c r="L33" i="2" a="1"/>
  <c r="L272" i="2" a="1"/>
  <c r="L231" i="2" a="1"/>
  <c r="L92" i="2" a="1"/>
  <c r="L147" i="2" a="1"/>
  <c r="L43" i="2" a="1"/>
  <c r="L326" i="2" a="1"/>
  <c r="L217" i="2" a="1"/>
  <c r="L27" i="2" a="1"/>
  <c r="L299" i="2" a="1"/>
  <c r="L487" i="2" a="1"/>
  <c r="L308" i="2" a="1"/>
  <c r="L311" i="2" a="1"/>
  <c r="L59" i="2" a="1"/>
  <c r="L37" i="2" a="1"/>
  <c r="L69" i="2" a="1"/>
  <c r="L224" i="2" a="1"/>
  <c r="L14" i="2" a="1"/>
  <c r="L394" i="2" a="1"/>
  <c r="L135" i="2" a="1"/>
  <c r="L425" i="2" a="1"/>
  <c r="L432" i="2" a="1"/>
  <c r="L462" i="2" a="1"/>
  <c r="L250" i="2" a="1"/>
  <c r="L439" i="2" a="1"/>
  <c r="L183" i="2" a="1"/>
  <c r="L397" i="2" a="1"/>
  <c r="L471" i="2" a="1"/>
  <c r="L19" i="2" a="1"/>
  <c r="L403" i="2" a="1"/>
  <c r="L408" i="2" a="1"/>
  <c r="L291" i="2" a="1"/>
  <c r="L260" i="2" a="1"/>
  <c r="L156" i="2" a="1"/>
  <c r="L9" i="2" a="1"/>
  <c r="K44" i="2" a="1"/>
  <c r="K300" i="2" a="1"/>
  <c r="K132" i="2" a="1"/>
  <c r="K141" i="2" a="1"/>
  <c r="K62" i="2" a="1"/>
  <c r="K190" i="2" a="1"/>
  <c r="K167" i="2" a="1"/>
  <c r="K39" i="2" a="1"/>
  <c r="K120" i="2" a="1"/>
  <c r="K248" i="2" a="1"/>
  <c r="K52" i="2" a="1"/>
  <c r="K140" i="2" a="1"/>
  <c r="K149" i="2" a="1"/>
  <c r="K70" i="2" a="1"/>
  <c r="K198" i="2" a="1"/>
  <c r="K175" i="2" a="1"/>
  <c r="K47" i="2" a="1"/>
  <c r="K128" i="2" a="1"/>
  <c r="K256" i="2" a="1"/>
  <c r="K64" i="2" a="1"/>
  <c r="K193" i="2" a="1"/>
  <c r="K178" i="2" a="1"/>
  <c r="K106" i="2" a="1"/>
  <c r="K258" i="2" a="1"/>
  <c r="K227" i="2" a="1"/>
  <c r="K243" i="2" a="1"/>
  <c r="K249" i="2" a="1"/>
  <c r="K171" i="2" a="1"/>
  <c r="K173" i="2" a="1"/>
  <c r="K283" i="2" a="1"/>
  <c r="K253" i="2" a="1"/>
  <c r="K123" i="2" a="1"/>
  <c r="K15" i="2" a="1"/>
  <c r="K181" i="2" a="1"/>
  <c r="K277" i="2" a="1"/>
  <c r="K89" i="2" a="1"/>
  <c r="K217" i="2" a="1"/>
  <c r="K130" i="2" a="1"/>
  <c r="K282" i="2" a="1"/>
  <c r="K259" i="2" a="1"/>
  <c r="K189" i="2" a="1"/>
  <c r="K147" i="2" a="1"/>
  <c r="K299" i="2" a="1"/>
  <c r="K133" i="2" a="1"/>
  <c r="K31" i="2" a="1"/>
  <c r="K146" i="2" a="1"/>
  <c r="K99" i="2" a="1"/>
  <c r="K3" i="2" a="1"/>
  <c r="K60" i="2" a="1"/>
  <c r="K148" i="2" a="1"/>
  <c r="K157" i="2" a="1"/>
  <c r="K78" i="2" a="1"/>
  <c r="K206" i="2" a="1"/>
  <c r="K183" i="2" a="1"/>
  <c r="K71" i="2" a="1"/>
  <c r="K136" i="2" a="1"/>
  <c r="K264" i="2" a="1"/>
  <c r="K80" i="2" a="1"/>
  <c r="K201" i="2" a="1"/>
  <c r="K186" i="2" a="1"/>
  <c r="K114" i="2" a="1"/>
  <c r="K266" i="2" a="1"/>
  <c r="K275" i="2" a="1"/>
  <c r="K205" i="2" a="1"/>
  <c r="K274" i="2" a="1"/>
  <c r="K11" i="2" a="1"/>
  <c r="K68" i="2" a="1"/>
  <c r="K164" i="2" a="1"/>
  <c r="K165" i="2" a="1"/>
  <c r="K86" i="2" a="1"/>
  <c r="K214" i="2" a="1"/>
  <c r="K191" i="2" a="1"/>
  <c r="K87" i="2" a="1"/>
  <c r="K144" i="2" a="1"/>
  <c r="K272" i="2" a="1"/>
  <c r="K81" i="2" a="1"/>
  <c r="K209" i="2" a="1"/>
  <c r="K122" i="2" a="1"/>
  <c r="K131" i="2" a="1"/>
  <c r="K307" i="2" a="1"/>
  <c r="K285" i="2" a="1"/>
  <c r="K182" i="2" a="1"/>
  <c r="K40" i="2" a="1"/>
  <c r="K242" i="2" a="1"/>
  <c r="K19" i="2" a="1"/>
  <c r="K76" i="2" a="1"/>
  <c r="K172" i="2" a="1"/>
  <c r="K13" i="2" a="1"/>
  <c r="K5" i="2" a="1"/>
  <c r="K94" i="2" a="1"/>
  <c r="K222" i="2" a="1"/>
  <c r="K23" i="2" a="1"/>
  <c r="K199" i="2" a="1"/>
  <c r="K111" i="2" a="1"/>
  <c r="K152" i="2" a="1"/>
  <c r="K280" i="2" a="1"/>
  <c r="K221" i="2" a="1"/>
  <c r="K54" i="2" a="1"/>
  <c r="K27" i="2" a="1"/>
  <c r="K84" i="2" a="1"/>
  <c r="K188" i="2" a="1"/>
  <c r="K37" i="2" a="1"/>
  <c r="K21" i="2" a="1"/>
  <c r="K102" i="2" a="1"/>
  <c r="K230" i="2" a="1"/>
  <c r="K55" i="2" a="1"/>
  <c r="K207" i="2" a="1"/>
  <c r="K231" i="2" a="1"/>
  <c r="K160" i="2" a="1"/>
  <c r="K288" i="2" a="1"/>
  <c r="K97" i="2" a="1"/>
  <c r="K225" i="2" a="1"/>
  <c r="K10" i="2" a="1"/>
  <c r="K138" i="2" a="1"/>
  <c r="K290" i="2" a="1"/>
  <c r="K115" i="2" a="1"/>
  <c r="K291" i="2" a="1"/>
  <c r="K197" i="2" a="1"/>
  <c r="K124" i="2" a="1"/>
  <c r="K90" i="2" a="1"/>
  <c r="K48" i="2" a="1"/>
  <c r="K35" i="2" a="1"/>
  <c r="K92" i="2" a="1"/>
  <c r="K204" i="2" a="1"/>
  <c r="K45" i="2" a="1"/>
  <c r="K29" i="2" a="1"/>
  <c r="K110" i="2" a="1"/>
  <c r="K238" i="2" a="1"/>
  <c r="K63" i="2" a="1"/>
  <c r="K215" i="2" a="1"/>
  <c r="K239" i="2" a="1"/>
  <c r="K168" i="2" a="1"/>
  <c r="K296" i="2" a="1"/>
  <c r="K105" i="2" a="1"/>
  <c r="K9" i="2" a="1"/>
  <c r="K18" i="2" a="1"/>
  <c r="K154" i="2" a="1"/>
  <c r="K298" i="2" a="1"/>
  <c r="K219" i="2" a="1"/>
  <c r="K139" i="2" a="1"/>
  <c r="K241" i="2" a="1"/>
  <c r="K261" i="2" a="1"/>
  <c r="K127" i="2" a="1"/>
  <c r="K72" i="2" a="1"/>
  <c r="K145" i="2" a="1"/>
  <c r="K58" i="2" a="1"/>
  <c r="K297" i="2" a="1"/>
  <c r="K233" i="2" a="1"/>
  <c r="K98" i="2" a="1"/>
  <c r="K43" i="2" a="1"/>
  <c r="K100" i="2" a="1"/>
  <c r="K220" i="2" a="1"/>
  <c r="K61" i="2" a="1"/>
  <c r="K53" i="2" a="1"/>
  <c r="K118" i="2" a="1"/>
  <c r="K302" i="2" a="1"/>
  <c r="K79" i="2" a="1"/>
  <c r="K223" i="2" a="1"/>
  <c r="K247" i="2" a="1"/>
  <c r="K176" i="2" a="1"/>
  <c r="K304" i="2" a="1"/>
  <c r="K113" i="2" a="1"/>
  <c r="K17" i="2" a="1"/>
  <c r="K26" i="2" a="1"/>
  <c r="K162" i="2" a="1"/>
  <c r="K306" i="2" a="1"/>
  <c r="K257" i="2" a="1"/>
  <c r="K235" i="2" a="1"/>
  <c r="K273" i="2" a="1"/>
  <c r="K213" i="2" a="1"/>
  <c r="K163" i="2" a="1"/>
  <c r="K265" i="2" a="1"/>
  <c r="K244" i="2" a="1"/>
  <c r="K254" i="2" a="1"/>
  <c r="K14" i="2" a="1"/>
  <c r="K142" i="2" a="1"/>
  <c r="K56" i="2" a="1"/>
  <c r="K200" i="2" a="1"/>
  <c r="K137" i="2" a="1"/>
  <c r="K41" i="2" a="1"/>
  <c r="K202" i="2" a="1"/>
  <c r="K237" i="2" a="1"/>
  <c r="K262" i="2" a="1"/>
  <c r="K269" i="2" a="1"/>
  <c r="K159" i="2" a="1"/>
  <c r="K185" i="2" a="1"/>
  <c r="K51" i="2" a="1"/>
  <c r="K156" i="2" a="1"/>
  <c r="K228" i="2" a="1"/>
  <c r="K77" i="2" a="1"/>
  <c r="K69" i="2" a="1"/>
  <c r="K126" i="2" a="1"/>
  <c r="K95" i="2" a="1"/>
  <c r="K271" i="2" a="1"/>
  <c r="K255" i="2" a="1"/>
  <c r="K184" i="2" a="1"/>
  <c r="K121" i="2" a="1"/>
  <c r="K25" i="2" a="1"/>
  <c r="K34" i="2" a="1"/>
  <c r="K170" i="2" a="1"/>
  <c r="K289" i="2" a="1"/>
  <c r="K267" i="2" a="1"/>
  <c r="K305" i="2" a="1"/>
  <c r="K281" i="2" a="1"/>
  <c r="K293" i="2" a="1"/>
  <c r="K4" i="2" a="1"/>
  <c r="K93" i="2" a="1"/>
  <c r="K119" i="2" a="1"/>
  <c r="K50" i="2" a="1"/>
  <c r="K251" i="2" a="1"/>
  <c r="K2" i="2" a="1"/>
  <c r="K22" i="2" a="1"/>
  <c r="K150" i="2" a="1"/>
  <c r="K287" i="2" a="1"/>
  <c r="K208" i="2" a="1"/>
  <c r="K8" i="2" a="1"/>
  <c r="K49" i="2" a="1"/>
  <c r="K210" i="2" a="1"/>
  <c r="K245" i="2" a="1"/>
  <c r="K187" i="2" a="1"/>
  <c r="K112" i="2" a="1"/>
  <c r="K59" i="2" a="1"/>
  <c r="K180" i="2" a="1"/>
  <c r="K236" i="2" a="1"/>
  <c r="K85" i="2" a="1"/>
  <c r="K246" i="2" a="1"/>
  <c r="K6" i="2" a="1"/>
  <c r="K134" i="2" a="1"/>
  <c r="K103" i="2" a="1"/>
  <c r="K303" i="2" a="1"/>
  <c r="K263" i="2" a="1"/>
  <c r="K192" i="2" a="1"/>
  <c r="K129" i="2" a="1"/>
  <c r="K33" i="2" a="1"/>
  <c r="K42" i="2" a="1"/>
  <c r="K194" i="2" a="1"/>
  <c r="K195" i="2" a="1"/>
  <c r="K107" i="2" a="1"/>
  <c r="K279" i="2" a="1"/>
  <c r="K67" i="2" a="1"/>
  <c r="K196" i="2" a="1"/>
  <c r="K75" i="2" a="1"/>
  <c r="K212" i="2" a="1"/>
  <c r="K12" i="2" a="1"/>
  <c r="K260" i="2" a="1"/>
  <c r="K101" i="2" a="1"/>
  <c r="K203" i="2" a="1"/>
  <c r="K83" i="2" a="1"/>
  <c r="K252" i="2" a="1"/>
  <c r="K28" i="2" a="1"/>
  <c r="K292" i="2" a="1"/>
  <c r="K109" i="2" a="1"/>
  <c r="K270" i="2" a="1"/>
  <c r="K30" i="2" a="1"/>
  <c r="K158" i="2" a="1"/>
  <c r="K135" i="2" a="1"/>
  <c r="K295" i="2" a="1"/>
  <c r="K88" i="2" a="1"/>
  <c r="K216" i="2" a="1"/>
  <c r="K16" i="2" a="1"/>
  <c r="K153" i="2" a="1"/>
  <c r="K57" i="2" a="1"/>
  <c r="K66" i="2" a="1"/>
  <c r="K218" i="2" a="1"/>
  <c r="K301" i="2" a="1"/>
  <c r="K211" i="2" a="1"/>
  <c r="K229" i="2" a="1"/>
  <c r="K20" i="2" a="1"/>
  <c r="K286" i="2" a="1"/>
  <c r="K174" i="2" a="1"/>
  <c r="K151" i="2" a="1"/>
  <c r="K7" i="2" a="1"/>
  <c r="K104" i="2" a="1"/>
  <c r="K232" i="2" a="1"/>
  <c r="K32" i="2" a="1"/>
  <c r="K169" i="2" a="1"/>
  <c r="K73" i="2" a="1"/>
  <c r="K234" i="2" a="1"/>
  <c r="K179" i="2" a="1"/>
  <c r="K240" i="2" a="1"/>
  <c r="K155" i="2" a="1"/>
  <c r="K250" i="2" a="1"/>
  <c r="K91" i="2" a="1"/>
  <c r="K268" i="2" a="1"/>
  <c r="K108" i="2" a="1"/>
  <c r="K117" i="2" a="1"/>
  <c r="K278" i="2" a="1"/>
  <c r="K38" i="2" a="1"/>
  <c r="K166" i="2" a="1"/>
  <c r="K143" i="2" a="1"/>
  <c r="K96" i="2" a="1"/>
  <c r="K224" i="2" a="1"/>
  <c r="K24" i="2" a="1"/>
  <c r="K161" i="2" a="1"/>
  <c r="K65" i="2" a="1"/>
  <c r="K74" i="2" a="1"/>
  <c r="K226" i="2" a="1"/>
  <c r="K276" i="2" a="1"/>
  <c r="K116" i="2" a="1"/>
  <c r="K125" i="2" a="1"/>
  <c r="K46" i="2" a="1"/>
  <c r="K82" i="2" a="1"/>
  <c r="K294" i="2" a="1"/>
  <c r="K177" i="2" a="1"/>
  <c r="K36" i="2" a="1"/>
  <c r="K284" i="2" a="1"/>
  <c r="G487" i="2" a="1"/>
  <c r="E90" i="2" a="1"/>
  <c r="F317" i="2" a="1"/>
  <c r="G42" i="2" a="1"/>
  <c r="E224" i="2" a="1"/>
  <c r="G134" i="2" a="1"/>
  <c r="G25" i="2" a="1"/>
  <c r="F126" i="2" a="1"/>
  <c r="F398" i="2" a="1"/>
  <c r="G63" i="2" a="1"/>
  <c r="G275" i="2" a="1"/>
  <c r="E256" i="2" a="1"/>
  <c r="E402" i="2" a="1"/>
  <c r="E370" i="2" a="1"/>
  <c r="G372" i="2" a="1"/>
  <c r="F480" i="2" a="1"/>
  <c r="G460" i="2" a="1"/>
  <c r="G188" i="2" a="1"/>
  <c r="G233" i="2" a="1"/>
  <c r="G241" i="2" a="1"/>
  <c r="F216" i="2" a="1"/>
  <c r="G5" i="2" a="1"/>
  <c r="E225" i="2" a="1"/>
  <c r="F8" i="2" a="1"/>
  <c r="F97" i="2" a="1"/>
  <c r="F429" i="2" a="1"/>
  <c r="E97" i="2" a="1"/>
  <c r="E98" i="2" a="1"/>
  <c r="F450" i="2" a="1"/>
  <c r="E235" i="2" a="1"/>
  <c r="F411" i="2" a="1"/>
  <c r="E20" i="2" a="1"/>
  <c r="E226" i="2" a="1"/>
  <c r="G435" i="2" a="1"/>
  <c r="G9" i="2" a="1"/>
  <c r="G345" i="2" a="1"/>
  <c r="F70" i="2" a="1"/>
  <c r="F54" i="2" a="1"/>
  <c r="E51" i="2" a="1"/>
  <c r="F386" i="2" a="1"/>
  <c r="E314" i="2" a="1"/>
  <c r="F75" i="2" a="1"/>
  <c r="G389" i="2" a="1"/>
  <c r="G352" i="2" a="1"/>
  <c r="E158" i="2" a="1"/>
  <c r="F25" i="2" a="1"/>
  <c r="G280" i="2" a="1"/>
  <c r="G149" i="2" a="1"/>
  <c r="F482" i="2" a="1"/>
  <c r="F460" i="2" a="1"/>
  <c r="F275" i="2" a="1"/>
  <c r="F299" i="2" a="1"/>
  <c r="G184" i="2" a="1"/>
  <c r="G251" i="2" a="1"/>
  <c r="E372" i="2" a="1"/>
  <c r="G84" i="2" a="1"/>
  <c r="G420" i="2" a="1"/>
  <c r="E228" i="2" a="1"/>
  <c r="G113" i="2" a="1"/>
  <c r="G69" i="2" a="1"/>
  <c r="G41" i="2" a="1"/>
  <c r="F341" i="2" a="1"/>
  <c r="G501" i="2" a="1"/>
  <c r="E454" i="2" a="1"/>
  <c r="E129" i="2" a="1"/>
  <c r="F454" i="2" a="1"/>
  <c r="E466" i="2" a="1"/>
  <c r="F263" i="2" a="1"/>
  <c r="F61" i="2" a="1"/>
  <c r="G155" i="2" a="1"/>
  <c r="F85" i="2" a="1"/>
  <c r="E85" i="2" a="1"/>
  <c r="G170" i="2" a="1"/>
  <c r="F475" i="2" a="1"/>
  <c r="E367" i="2" a="1"/>
  <c r="F394" i="2" a="1"/>
  <c r="E54" i="2" a="1"/>
  <c r="E169" i="2" a="1"/>
  <c r="G103" i="2" a="1"/>
  <c r="G393" i="2" a="1"/>
  <c r="E32" i="2" a="1"/>
  <c r="G141" i="2" a="1"/>
  <c r="G121" i="2" a="1"/>
  <c r="E311" i="2" a="1"/>
  <c r="G79" i="2" a="1"/>
  <c r="E7" i="2" a="1"/>
  <c r="E339" i="2" a="1"/>
  <c r="G64" i="2" a="1"/>
  <c r="G142" i="2" a="1"/>
  <c r="F355" i="2" a="1"/>
  <c r="F285" i="2" a="1"/>
  <c r="G285" i="2" a="1"/>
  <c r="F189" i="2" a="1"/>
  <c r="G222" i="2" a="1"/>
  <c r="G139" i="2" a="1"/>
  <c r="F502" i="2" a="1"/>
  <c r="G150" i="2" a="1"/>
  <c r="F354" i="2" a="1"/>
  <c r="E28" i="2" a="1"/>
  <c r="F236" i="2" a="1"/>
  <c r="E46" i="2" a="1"/>
  <c r="G368" i="2" a="1"/>
  <c r="F46" i="2" a="1"/>
  <c r="F382" i="2" a="1"/>
  <c r="F160" i="2" a="1"/>
  <c r="F410" i="2" a="1"/>
  <c r="G37" i="2" a="1"/>
  <c r="E487" i="2" a="1"/>
  <c r="G317" i="2" a="1"/>
  <c r="E422" i="2" a="1"/>
  <c r="F158" i="2" a="1"/>
  <c r="G386" i="2" a="1"/>
  <c r="G208" i="2" a="1"/>
  <c r="F456" i="2" a="1"/>
  <c r="G148" i="2" a="1"/>
  <c r="F214" i="2" a="1"/>
  <c r="E134" i="2" a="1"/>
  <c r="G126" i="2" a="1"/>
  <c r="F282" i="2" a="1"/>
  <c r="F190" i="2" a="1"/>
  <c r="E357" i="2" a="1"/>
  <c r="E191" i="2" a="1"/>
  <c r="E114" i="2" a="1"/>
  <c r="E415" i="2" a="1"/>
  <c r="E157" i="2" a="1"/>
  <c r="F417" i="2" a="1"/>
  <c r="E325" i="2" a="1"/>
  <c r="F186" i="2" a="1"/>
  <c r="G469" i="2" a="1"/>
  <c r="E217" i="2" a="1"/>
  <c r="G186" i="2" a="1"/>
  <c r="G338" i="2" a="1"/>
  <c r="G125" i="2" a="1"/>
  <c r="F12" i="2" a="1"/>
  <c r="G81" i="2" a="1"/>
  <c r="E450" i="2" a="1"/>
  <c r="E18" i="2" a="1"/>
  <c r="G3" i="2" a="1"/>
  <c r="F159" i="2" a="1"/>
  <c r="G335" i="2" a="1"/>
  <c r="F202" i="2" a="1"/>
  <c r="E214" i="2" a="1"/>
  <c r="F123" i="2" a="1"/>
  <c r="F504" i="2" a="1"/>
  <c r="F204" i="2" a="1"/>
  <c r="G480" i="2" a="1"/>
  <c r="G399" i="2" a="1"/>
  <c r="G171" i="2" a="1"/>
  <c r="F63" i="2" a="1"/>
  <c r="E333" i="2" a="1"/>
  <c r="F415" i="2" a="1"/>
  <c r="E6" i="2" a="1"/>
  <c r="G264" i="2" a="1"/>
  <c r="F260" i="2" a="1"/>
  <c r="G216" i="2" a="1"/>
  <c r="E216" i="2" a="1"/>
  <c r="F469" i="2" a="1"/>
  <c r="G8" i="2" a="1"/>
  <c r="E5" i="2" a="1"/>
  <c r="E16" i="2" a="1"/>
  <c r="G263" i="2" a="1"/>
  <c r="F503" i="2" a="1"/>
  <c r="G98" i="2" a="1"/>
  <c r="G454" i="2" a="1"/>
  <c r="G198" i="2" a="1"/>
  <c r="G429" i="2" a="1"/>
  <c r="G330" i="2" a="1"/>
  <c r="F144" i="2" a="1"/>
  <c r="E330" i="2" a="1"/>
  <c r="F215" i="2" a="1"/>
  <c r="G367" i="2" a="1"/>
  <c r="E194" i="2" a="1"/>
  <c r="E320" i="2" a="1"/>
  <c r="G326" i="2" a="1"/>
  <c r="G51" i="2" a="1"/>
  <c r="F242" i="2" a="1"/>
  <c r="E50" i="2" a="1"/>
  <c r="G32" i="2" a="1"/>
  <c r="F309" i="2" a="1"/>
  <c r="F179" i="2" a="1"/>
  <c r="G17" i="2" a="1"/>
  <c r="F308" i="2" a="1"/>
  <c r="E323" i="2" a="1"/>
  <c r="F492" i="2" a="1"/>
  <c r="F328" i="2" a="1"/>
  <c r="G355" i="2" a="1"/>
  <c r="E476" i="2" a="1"/>
  <c r="E243" i="2" a="1"/>
  <c r="F337" i="2" a="1"/>
  <c r="G296" i="2" a="1"/>
  <c r="E201" i="2" a="1"/>
  <c r="E493" i="2" a="1"/>
  <c r="F493" i="2" a="1"/>
  <c r="F249" i="2" a="1"/>
  <c r="E346" i="2" a="1"/>
  <c r="E59" i="2" a="1"/>
  <c r="F384" i="2" a="1"/>
  <c r="G178" i="2" a="1"/>
  <c r="E322" i="2" a="1"/>
  <c r="G373" i="2" a="1"/>
  <c r="E327" i="2" a="1"/>
  <c r="F310" i="2" a="1"/>
  <c r="E130" i="2" a="1"/>
  <c r="F176" i="2" a="1"/>
  <c r="F327" i="2" a="1"/>
  <c r="G327" i="2" a="1"/>
  <c r="F19" i="2" a="1"/>
  <c r="G382" i="2" a="1"/>
  <c r="F336" i="2" a="1"/>
  <c r="F120" i="2" a="1"/>
  <c r="G111" i="2" a="1"/>
  <c r="G66" i="2" a="1"/>
  <c r="E342" i="2" a="1"/>
  <c r="E223" i="2" a="1"/>
  <c r="G248" i="2" a="1"/>
  <c r="G90" i="2" a="1"/>
  <c r="E75" i="2" a="1"/>
  <c r="F422" i="2" a="1"/>
  <c r="E335" i="2" a="1"/>
  <c r="G246" i="2" a="1"/>
  <c r="E202" i="2" a="1"/>
  <c r="E505" i="2" a="1"/>
  <c r="E266" i="2" a="1"/>
  <c r="E204" i="2" a="1"/>
  <c r="F284" i="2" a="1"/>
  <c r="E480" i="2" a="1"/>
  <c r="F372" i="2" a="1"/>
  <c r="E460" i="2" a="1"/>
  <c r="F166" i="2" a="1"/>
  <c r="F277" i="2" a="1"/>
  <c r="G370" i="2" a="1"/>
  <c r="F457" i="2" a="1"/>
  <c r="F188" i="2" a="1"/>
  <c r="F264" i="2" a="1"/>
  <c r="E241" i="2" a="1"/>
  <c r="E293" i="2" a="1"/>
  <c r="F208" i="2" a="1"/>
  <c r="E317" i="2" a="1"/>
  <c r="F42" i="2" a="1"/>
  <c r="F484" i="2" a="1"/>
  <c r="E389" i="2" a="1"/>
  <c r="E25" i="2" a="1"/>
  <c r="G398" i="2" a="1"/>
  <c r="E282" i="2" a="1"/>
  <c r="F191" i="2" a="1"/>
  <c r="G116" i="2" a="1"/>
  <c r="F402" i="2" a="1"/>
  <c r="E93" i="2" a="1"/>
  <c r="G325" i="2" a="1"/>
  <c r="G203" i="2" a="1"/>
  <c r="G442" i="2" a="1"/>
  <c r="F87" i="2" a="1"/>
  <c r="E469" i="2" a="1"/>
  <c r="E457" i="2" a="1"/>
  <c r="E128" i="2" a="1"/>
  <c r="G260" i="2" a="1"/>
  <c r="F14" i="2" a="1"/>
  <c r="G273" i="2" a="1"/>
  <c r="F52" i="2" a="1"/>
  <c r="F301" i="2" a="1"/>
  <c r="F129" i="2" a="1"/>
  <c r="G301" i="2" a="1"/>
  <c r="G375" i="2" a="1"/>
  <c r="F10" i="2" a="1"/>
  <c r="G426" i="2" a="1"/>
  <c r="G144" i="2" a="1"/>
  <c r="G286" i="2" a="1"/>
  <c r="G192" i="2" a="1"/>
  <c r="E303" i="2" a="1"/>
  <c r="G289" i="2" a="1"/>
  <c r="G506" i="2" a="1"/>
  <c r="F320" i="2" a="1"/>
  <c r="G390" i="2" a="1"/>
  <c r="E147" i="2" a="1"/>
  <c r="F103" i="2" a="1"/>
  <c r="F50" i="2" a="1"/>
  <c r="G462" i="2" a="1"/>
  <c r="F121" i="2" a="1"/>
  <c r="F350" i="2" a="1"/>
  <c r="F102" i="2" a="1"/>
  <c r="G492" i="2" a="1"/>
  <c r="F89" i="2" a="1"/>
  <c r="G287" i="2" a="1"/>
  <c r="E355" i="2" a="1"/>
  <c r="E473" i="2" a="1"/>
  <c r="E48" i="2" a="1"/>
  <c r="G107" i="2" a="1"/>
  <c r="E92" i="2" a="1"/>
  <c r="F151" i="2" a="1"/>
  <c r="E167" i="2" a="1"/>
  <c r="G347" i="2" a="1"/>
  <c r="E347" i="2" a="1"/>
  <c r="E447" i="2" a="1"/>
  <c r="G86" i="2" a="1"/>
  <c r="F131" i="2" a="1"/>
  <c r="G384" i="2" a="1"/>
  <c r="F437" i="2" a="1"/>
  <c r="E343" i="2" a="1"/>
  <c r="F343" i="2" a="1"/>
  <c r="E19" i="2" a="1"/>
  <c r="E176" i="2" a="1"/>
  <c r="E491" i="2" a="1"/>
  <c r="F499" i="2" a="1"/>
  <c r="G452" i="2" a="1"/>
  <c r="G143" i="2" a="1"/>
  <c r="G124" i="2" a="1"/>
  <c r="E410" i="2" a="1"/>
  <c r="F140" i="2" a="1"/>
  <c r="G240" i="2" a="1"/>
  <c r="E418" i="2" a="1"/>
  <c r="E208" i="2" a="1"/>
  <c r="E456" i="2" a="1"/>
  <c r="F246" i="2" a="1"/>
  <c r="F174" i="2" a="1"/>
  <c r="G99" i="2" a="1"/>
  <c r="F306" i="2" a="1"/>
  <c r="E504" i="2" a="1"/>
  <c r="G190" i="2" a="1"/>
  <c r="F157" i="2" a="1"/>
  <c r="G6" i="2" a="1"/>
  <c r="G166" i="2" a="1"/>
  <c r="F357" i="2" a="1"/>
  <c r="G93" i="2" a="1"/>
  <c r="E184" i="2" a="1"/>
  <c r="F145" i="2" a="1"/>
  <c r="E87" i="2" a="1"/>
  <c r="G474" i="2" a="1"/>
  <c r="G87" i="2" a="1"/>
  <c r="G250" i="2" a="1"/>
  <c r="E264" i="2" a="1"/>
  <c r="G341" i="2" a="1"/>
  <c r="F100" i="2" a="1"/>
  <c r="F445" i="2" a="1"/>
  <c r="F483" i="2" a="1"/>
  <c r="E265" i="2" a="1"/>
  <c r="E483" i="2" a="1"/>
  <c r="E263" i="2" a="1"/>
  <c r="G385" i="2" a="1"/>
  <c r="G53" i="2" a="1"/>
  <c r="E15" i="2" a="1"/>
  <c r="E192" i="2" a="1"/>
  <c r="G226" i="2" a="1"/>
  <c r="F9" i="2" a="1"/>
  <c r="E289" i="2" a="1"/>
  <c r="E345" i="2" a="1"/>
  <c r="E400" i="2" a="1"/>
  <c r="G173" i="2" a="1"/>
  <c r="E440" i="2" a="1"/>
  <c r="E383" i="2" a="1"/>
  <c r="F252" i="2" a="1"/>
  <c r="F313" i="2" a="1"/>
  <c r="G179" i="2" a="1"/>
  <c r="F362" i="2" a="1"/>
  <c r="G102" i="2" a="1"/>
  <c r="G378" i="2" a="1"/>
  <c r="F418" i="2" a="1"/>
  <c r="G159" i="2" a="1"/>
  <c r="E159" i="2" a="1"/>
  <c r="G158" i="2" a="1"/>
  <c r="E99" i="2" a="1"/>
  <c r="F224" i="2" a="1"/>
  <c r="E306" i="2" a="1"/>
  <c r="F149" i="2" a="1"/>
  <c r="E416" i="2" a="1"/>
  <c r="F256" i="2" a="1"/>
  <c r="F376" i="2" a="1"/>
  <c r="G415" i="2" a="1"/>
  <c r="E399" i="2" a="1"/>
  <c r="F195" i="2" a="1"/>
  <c r="E166" i="2" a="1"/>
  <c r="F6" i="2" a="1"/>
  <c r="F420" i="2" a="1"/>
  <c r="G228" i="2" a="1"/>
  <c r="F448" i="2" a="1"/>
  <c r="F113" i="2" a="1"/>
  <c r="F241" i="2" a="1"/>
  <c r="F225" i="2" a="1"/>
  <c r="G74" i="2" a="1"/>
  <c r="F273" i="2" a="1"/>
  <c r="F127" i="2" a="1"/>
  <c r="E429" i="2" a="1"/>
  <c r="G65" i="2" a="1"/>
  <c r="F206" i="2" a="1"/>
  <c r="G235" i="2" a="1"/>
  <c r="F265" i="2" a="1"/>
  <c r="G20" i="2" a="1"/>
  <c r="G22" i="2" a="1"/>
  <c r="F192" i="2" a="1"/>
  <c r="E475" i="2" a="1"/>
  <c r="F194" i="2" a="1"/>
  <c r="F177" i="2" a="1"/>
  <c r="E394" i="2" a="1"/>
  <c r="G383" i="2" a="1"/>
  <c r="F383" i="2" a="1"/>
  <c r="G440" i="2" a="1"/>
  <c r="F440" i="2" a="1"/>
  <c r="F32" i="2" a="1"/>
  <c r="G309" i="2" a="1"/>
  <c r="E291" i="2" a="1"/>
  <c r="F498" i="2" a="1"/>
  <c r="F7" i="2" a="1"/>
  <c r="E464" i="2" a="1"/>
  <c r="G308" i="2" a="1"/>
  <c r="E2" i="2" a="1"/>
  <c r="F21" i="2" a="1"/>
  <c r="E3" i="2" a="1"/>
  <c r="G456" i="2" a="1"/>
  <c r="F148" i="2" a="1"/>
  <c r="F349" i="2" a="1"/>
  <c r="F134" i="2" a="1"/>
  <c r="F280" i="2" a="1"/>
  <c r="E398" i="2" a="1"/>
  <c r="G204" i="2" a="1"/>
  <c r="E63" i="2" a="1"/>
  <c r="F488" i="2" a="1"/>
  <c r="F325" i="2" a="1"/>
  <c r="G191" i="2" a="1"/>
  <c r="F114" i="2" a="1"/>
  <c r="E417" i="2" a="1"/>
  <c r="E171" i="2" a="1"/>
  <c r="G315" i="2" a="1"/>
  <c r="F474" i="2" a="1"/>
  <c r="F315" i="2" a="1"/>
  <c r="G220" i="2" a="1"/>
  <c r="G414" i="2" a="1"/>
  <c r="E14" i="2" a="1"/>
  <c r="G16" i="2" a="1"/>
  <c r="E52" i="2" a="1"/>
  <c r="E503" i="2" a="1"/>
  <c r="F466" i="2" a="1"/>
  <c r="F391" i="2" a="1"/>
  <c r="F108" i="2" a="1"/>
  <c r="E375" i="2" a="1"/>
  <c r="G331" i="2" a="1"/>
  <c r="F104" i="2" a="1"/>
  <c r="G255" i="2" a="1"/>
  <c r="G91" i="2" a="1"/>
  <c r="F379" i="2" a="1"/>
  <c r="G418" i="2" a="1"/>
  <c r="G314" i="2" a="1"/>
  <c r="G75" i="2" a="1"/>
  <c r="F432" i="2" a="1"/>
  <c r="F99" i="2" a="1"/>
  <c r="E42" i="2" a="1"/>
  <c r="G306" i="2" a="1"/>
  <c r="E123" i="2" a="1"/>
  <c r="E190" i="2" a="1"/>
  <c r="E21" i="2" a="1"/>
  <c r="G18" i="2" a="1"/>
  <c r="F3" i="2" a="1"/>
  <c r="G214" i="2" a="1"/>
  <c r="G349" i="2" a="1"/>
  <c r="E484" i="2" a="1"/>
  <c r="E371" i="2" a="1"/>
  <c r="G505" i="2" a="1"/>
  <c r="E149" i="2" a="1"/>
  <c r="F84" i="2" a="1"/>
  <c r="E145" i="2" a="1"/>
  <c r="E116" i="2" a="1"/>
  <c r="F333" i="2" a="1"/>
  <c r="E47" i="2" a="1"/>
  <c r="F171" i="2" a="1"/>
  <c r="G195" i="2" a="1"/>
  <c r="E84" i="2" a="1"/>
  <c r="G217" i="2" a="1"/>
  <c r="E338" i="2" a="1"/>
  <c r="F69" i="2" a="1"/>
  <c r="E220" i="2" a="1"/>
  <c r="F16" i="2" a="1"/>
  <c r="G12" i="2" a="1"/>
  <c r="E81" i="2" a="1"/>
  <c r="E10" i="2" a="1"/>
  <c r="G366" i="2" a="1"/>
  <c r="E366" i="2" a="1"/>
  <c r="E312" i="2" a="1"/>
  <c r="F314" i="2" a="1"/>
  <c r="F18" i="2" a="1"/>
  <c r="G397" i="2" a="1"/>
  <c r="F389" i="2" a="1"/>
  <c r="E349" i="2" a="1"/>
  <c r="E174" i="2" a="1"/>
  <c r="E126" i="2" a="1"/>
  <c r="F505" i="2" a="1"/>
  <c r="G416" i="2" a="1"/>
  <c r="F116" i="2" a="1"/>
  <c r="F399" i="2" a="1"/>
  <c r="E299" i="2" a="1"/>
  <c r="E195" i="2" a="1"/>
  <c r="F110" i="2" a="1"/>
  <c r="F442" i="2" a="1"/>
  <c r="E376" i="2" a="1"/>
  <c r="F251" i="2" a="1"/>
  <c r="E260" i="2" a="1"/>
  <c r="E420" i="2" a="1"/>
  <c r="E250" i="2" a="1"/>
  <c r="G128" i="2" a="1"/>
  <c r="G52" i="2" a="1"/>
  <c r="E445" i="2" a="1"/>
  <c r="G225" i="2" a="1"/>
  <c r="G500" i="2" a="1"/>
  <c r="E61" i="2" a="1"/>
  <c r="E433" i="2" a="1"/>
  <c r="F98" i="2" a="1"/>
  <c r="F198" i="2" a="1"/>
  <c r="E489" i="2" a="1"/>
  <c r="F232" i="2" a="1"/>
  <c r="E144" i="2" a="1"/>
  <c r="F226" i="2" a="1"/>
  <c r="F435" i="2" a="1"/>
  <c r="F403" i="2" a="1"/>
  <c r="G177" i="2" a="1"/>
  <c r="G210" i="2" a="1"/>
  <c r="E210" i="2" a="1"/>
  <c r="E409" i="2" a="1"/>
  <c r="F169" i="2" a="1"/>
  <c r="G461" i="2" a="1"/>
  <c r="F463" i="2" a="1"/>
  <c r="E268" i="2" a="1"/>
  <c r="G350" i="2" a="1"/>
  <c r="E498" i="2" a="1"/>
  <c r="F141" i="2" a="1"/>
  <c r="G495" i="2" a="1"/>
  <c r="E209" i="2" a="1"/>
  <c r="F287" i="2" a="1"/>
  <c r="F425" i="2" a="1"/>
  <c r="G427" i="2" a="1"/>
  <c r="E443" i="2" a="1"/>
  <c r="F243" i="2" a="1"/>
  <c r="E386" i="2" a="1"/>
  <c r="F90" i="2" a="1"/>
  <c r="G422" i="2" a="1"/>
  <c r="F352" i="2" a="1"/>
  <c r="E246" i="2" a="1"/>
  <c r="F335" i="2" a="1"/>
  <c r="G324" i="2" a="1"/>
  <c r="G123" i="2" a="1"/>
  <c r="G282" i="2" a="1"/>
  <c r="G299" i="2" a="1"/>
  <c r="G284" i="2" a="1"/>
  <c r="E110" i="2" a="1"/>
  <c r="G212" i="2" a="1"/>
  <c r="G145" i="2" a="1"/>
  <c r="F162" i="2" a="1"/>
  <c r="E162" i="2" a="1"/>
  <c r="E27" i="2" a="1"/>
  <c r="E69" i="2" a="1"/>
  <c r="F137" i="2" a="1"/>
  <c r="E315" i="2" a="1"/>
  <c r="E233" i="2" a="1"/>
  <c r="F41" i="2" a="1"/>
  <c r="F74" i="2" a="1"/>
  <c r="G14" i="2" a="1"/>
  <c r="E301" i="2" a="1"/>
  <c r="G10" i="2" a="1"/>
  <c r="G450" i="2" a="1"/>
  <c r="G483" i="2" a="1"/>
  <c r="E53" i="2" a="1"/>
  <c r="G187" i="2" a="1"/>
  <c r="E387" i="2" a="1"/>
  <c r="G232" i="2" a="1"/>
  <c r="F330" i="2" a="1"/>
  <c r="G379" i="2" a="1"/>
  <c r="E170" i="2" a="1"/>
  <c r="F289" i="2" a="1"/>
  <c r="G320" i="2" a="1"/>
  <c r="G54" i="2" a="1"/>
  <c r="G258" i="2" a="1"/>
  <c r="E390" i="2" a="1"/>
  <c r="E258" i="2" a="1"/>
  <c r="F51" i="2" a="1"/>
  <c r="F83" i="2" a="1"/>
  <c r="G478" i="2" a="1"/>
  <c r="E83" i="2" a="1"/>
  <c r="F378" i="2" a="1"/>
  <c r="G464" i="2" a="1"/>
  <c r="G89" i="2" a="1"/>
  <c r="F4" i="2" a="1"/>
  <c r="G49" i="2" a="1"/>
  <c r="G328" i="2" a="1"/>
  <c r="F443" i="2" a="1"/>
  <c r="F487" i="2" a="1"/>
  <c r="F293" i="2" a="1"/>
  <c r="F397" i="2" a="1"/>
  <c r="E352" i="2" a="1"/>
  <c r="G484" i="2" a="1"/>
  <c r="G202" i="2" a="1"/>
  <c r="E280" i="2" a="1"/>
  <c r="E324" i="2" a="1"/>
  <c r="G504" i="2" a="1"/>
  <c r="G27" i="2" a="1"/>
  <c r="E275" i="2" a="1"/>
  <c r="E212" i="2" a="1"/>
  <c r="E488" i="2" a="1"/>
  <c r="F203" i="2" a="1"/>
  <c r="E482" i="2" a="1"/>
  <c r="G277" i="2" a="1"/>
  <c r="G417" i="2" a="1"/>
  <c r="G457" i="2" a="1"/>
  <c r="E113" i="2" a="1"/>
  <c r="F250" i="2" a="1"/>
  <c r="E474" i="2" a="1"/>
  <c r="E74" i="2" a="1"/>
  <c r="E41" i="2" a="1"/>
  <c r="E100" i="2" a="1"/>
  <c r="E385" i="2" a="1"/>
  <c r="E108" i="2" a="1"/>
  <c r="G108" i="2" a="1"/>
  <c r="G391" i="2" a="1"/>
  <c r="F187" i="2" a="1"/>
  <c r="E500" i="2" a="1"/>
  <c r="E411" i="2" a="1"/>
  <c r="F22" i="2" a="1"/>
  <c r="G411" i="2" a="1"/>
  <c r="E403" i="2" a="1"/>
  <c r="F303" i="2" a="1"/>
  <c r="F351" i="2" a="1"/>
  <c r="G70" i="2" a="1"/>
  <c r="F326" i="2" a="1"/>
  <c r="G268" i="2" a="1"/>
  <c r="E294" i="2" a="1"/>
  <c r="F88" i="2" a="1"/>
  <c r="G293" i="2" a="1"/>
  <c r="G482" i="2" a="1"/>
  <c r="G256" i="2" a="1"/>
  <c r="E448" i="2" a="1"/>
  <c r="F433" i="2" a="1"/>
  <c r="E426" i="2" a="1"/>
  <c r="F387" i="2" a="1"/>
  <c r="G303" i="2" a="1"/>
  <c r="G194" i="2" a="1"/>
  <c r="G252" i="2" a="1"/>
  <c r="G409" i="2" a="1"/>
  <c r="E494" i="2" a="1"/>
  <c r="E434" i="2" a="1"/>
  <c r="F395" i="2" a="1"/>
  <c r="F163" i="2" a="1"/>
  <c r="F112" i="2" a="1"/>
  <c r="F473" i="2" a="1"/>
  <c r="G281" i="2" a="1"/>
  <c r="G92" i="2" a="1"/>
  <c r="E101" i="2" a="1"/>
  <c r="G201" i="2" a="1"/>
  <c r="G493" i="2" a="1"/>
  <c r="G447" i="2" a="1"/>
  <c r="F485" i="2" a="1"/>
  <c r="E360" i="2" a="1"/>
  <c r="E178" i="2" a="1"/>
  <c r="E373" i="2" a="1"/>
  <c r="F276" i="2" a="1"/>
  <c r="F124" i="2" a="1"/>
  <c r="E430" i="2" a="1"/>
  <c r="E358" i="2" a="1"/>
  <c r="G231" i="2" a="1"/>
  <c r="G130" i="2" a="1"/>
  <c r="F172" i="2" a="1"/>
  <c r="E26" i="2" a="1"/>
  <c r="G205" i="2" a="1"/>
  <c r="G407" i="2" a="1"/>
  <c r="E380" i="2" a="1"/>
  <c r="F175" i="2" a="1"/>
  <c r="E154" i="2" a="1"/>
  <c r="F458" i="2" a="1"/>
  <c r="E455" i="2" a="1"/>
  <c r="F365" i="2" a="1"/>
  <c r="F278" i="2" a="1"/>
  <c r="F35" i="2" a="1"/>
  <c r="G13" i="2" a="1"/>
  <c r="G35" i="2" a="1"/>
  <c r="G43" i="2" a="1"/>
  <c r="F468" i="2" a="1"/>
  <c r="G199" i="2" a="1"/>
  <c r="J435" i="2" a="1"/>
  <c r="F62" i="2" a="1"/>
  <c r="F239" i="2" a="1"/>
  <c r="E364" i="2" a="1"/>
  <c r="E441" i="2" a="1"/>
  <c r="F76" i="2" a="1"/>
  <c r="F23" i="2" a="1"/>
  <c r="G446" i="2" a="1"/>
  <c r="E183" i="2" a="1"/>
  <c r="E200" i="2" a="1"/>
  <c r="G369" i="2" a="1"/>
  <c r="I120" i="2" a="1"/>
  <c r="J321" i="2" a="1"/>
  <c r="J494" i="2" a="1"/>
  <c r="J416" i="2" a="1"/>
  <c r="J116" i="2" a="1"/>
  <c r="J318" i="2" a="1"/>
  <c r="I283" i="2" a="1"/>
  <c r="H417" i="2" a="1"/>
  <c r="I54" i="2" a="1"/>
  <c r="I172" i="2" a="1"/>
  <c r="J82" i="2" a="1"/>
  <c r="J76" i="2" a="1"/>
  <c r="J124" i="2" a="1"/>
  <c r="H140" i="2" a="1"/>
  <c r="J98" i="2" a="1"/>
  <c r="J458" i="2" a="1"/>
  <c r="J67" i="2" a="1"/>
  <c r="J377" i="2" a="1"/>
  <c r="J241" i="2" a="1"/>
  <c r="J171" i="2" a="1"/>
  <c r="H368" i="2" a="1"/>
  <c r="H173" i="2" a="1"/>
  <c r="J360" i="2" a="1"/>
  <c r="J127" i="2" a="1"/>
  <c r="I251" i="2" a="1"/>
  <c r="H451" i="2" a="1"/>
  <c r="J443" i="2" a="1"/>
  <c r="J55" i="2" a="1"/>
  <c r="H324" i="2" a="1"/>
  <c r="J390" i="2" a="1"/>
  <c r="H390" i="2" a="1"/>
  <c r="J132" i="2" a="1"/>
  <c r="I175" i="2" a="1"/>
  <c r="J123" i="2" a="1"/>
  <c r="I415" i="2" a="1"/>
  <c r="J490" i="2" a="1"/>
  <c r="H30" i="2" a="1"/>
  <c r="I412" i="2" a="1"/>
  <c r="I220" i="2" a="1"/>
  <c r="I264" i="2" a="1"/>
  <c r="H264" i="2" a="1"/>
  <c r="I24" i="2" a="1"/>
  <c r="H323" i="2" a="1"/>
  <c r="I137" i="2" a="1"/>
  <c r="H8" i="2" a="1"/>
  <c r="H244" i="2" a="1"/>
  <c r="J29" i="2" a="1"/>
  <c r="I151" i="2" a="1"/>
  <c r="I433" i="2" a="1"/>
  <c r="J371" i="2" a="1"/>
  <c r="H320" i="2" a="1"/>
  <c r="E397" i="2" a="1"/>
  <c r="F184" i="2" a="1"/>
  <c r="E251" i="2" a="1"/>
  <c r="E186" i="2" a="1"/>
  <c r="F500" i="2" a="1"/>
  <c r="E127" i="2" a="1"/>
  <c r="G104" i="2" a="1"/>
  <c r="G403" i="2" a="1"/>
  <c r="E351" i="2" a="1"/>
  <c r="G313" i="2" a="1"/>
  <c r="F268" i="2" a="1"/>
  <c r="F390" i="2" a="1"/>
  <c r="F17" i="2" a="1"/>
  <c r="F323" i="2" a="1"/>
  <c r="G163" i="2" a="1"/>
  <c r="G48" i="2" a="1"/>
  <c r="F82" i="2" a="1"/>
  <c r="F107" i="2" a="1"/>
  <c r="E296" i="2" a="1"/>
  <c r="F80" i="2" a="1"/>
  <c r="E38" i="2" a="1"/>
  <c r="G502" i="2" a="1"/>
  <c r="G485" i="2" a="1"/>
  <c r="E249" i="2" a="1"/>
  <c r="E437" i="2" a="1"/>
  <c r="F360" i="2" a="1"/>
  <c r="F29" i="2" a="1"/>
  <c r="G193" i="2" a="1"/>
  <c r="F292" i="2" a="1"/>
  <c r="G106" i="2" a="1"/>
  <c r="E452" i="2" a="1"/>
  <c r="E234" i="2" a="1"/>
  <c r="E292" i="2" a="1"/>
  <c r="E37" i="2" a="1"/>
  <c r="F205" i="2" a="1"/>
  <c r="F467" i="2" a="1"/>
  <c r="E470" i="2" a="1"/>
  <c r="F361" i="2" a="1"/>
  <c r="E36" i="2" a="1"/>
  <c r="F342" i="2" a="1"/>
  <c r="F248" i="2" a="1"/>
  <c r="G72" i="2" a="1"/>
  <c r="G77" i="2" a="1"/>
  <c r="F305" i="2" a="1"/>
  <c r="E270" i="2" a="1"/>
  <c r="E238" i="2" a="1"/>
  <c r="F153" i="2" a="1"/>
  <c r="E496" i="2" a="1"/>
  <c r="F304" i="2" a="1"/>
  <c r="J420" i="2" a="1"/>
  <c r="E438" i="2" a="1"/>
  <c r="H311" i="2" a="1"/>
  <c r="G329" i="2" a="1"/>
  <c r="G364" i="2" a="1"/>
  <c r="I253" i="2" a="1"/>
  <c r="G431" i="2" a="1"/>
  <c r="H328" i="2" a="1"/>
  <c r="F332" i="2" a="1"/>
  <c r="I328" i="2" a="1"/>
  <c r="G182" i="2" a="1"/>
  <c r="G200" i="2" a="1"/>
  <c r="H248" i="2" a="1"/>
  <c r="I395" i="2" a="1"/>
  <c r="I439" i="2" a="1"/>
  <c r="H134" i="2" a="1"/>
  <c r="I373" i="2" a="1"/>
  <c r="H292" i="2" a="1"/>
  <c r="H501" i="2" a="1"/>
  <c r="J457" i="2" a="1"/>
  <c r="H191" i="2" a="1"/>
  <c r="I440" i="2" a="1"/>
  <c r="H491" i="2" a="1"/>
  <c r="J191" i="2" a="1"/>
  <c r="H411" i="2" a="1"/>
  <c r="H396" i="2" a="1"/>
  <c r="J34" i="2" a="1"/>
  <c r="I147" i="2" a="1"/>
  <c r="I460" i="2" a="1"/>
  <c r="H305" i="2" a="1"/>
  <c r="I189" i="2" a="1"/>
  <c r="I278" i="2" a="1"/>
  <c r="J121" i="2" a="1"/>
  <c r="H57" i="2" a="1"/>
  <c r="J330" i="2" a="1"/>
  <c r="H372" i="2" a="1"/>
  <c r="I255" i="2" a="1"/>
  <c r="H503" i="2" a="1"/>
  <c r="H234" i="2" a="1"/>
  <c r="J384" i="2" a="1"/>
  <c r="J324" i="2" a="1"/>
  <c r="J335" i="2" a="1"/>
  <c r="J118" i="2" a="1"/>
  <c r="I426" i="2" a="1"/>
  <c r="I455" i="2" a="1"/>
  <c r="J461" i="2" a="1"/>
  <c r="I356" i="2" a="1"/>
  <c r="H386" i="2" a="1"/>
  <c r="J294" i="2" a="1"/>
  <c r="J376" i="2" a="1"/>
  <c r="H505" i="2" a="1"/>
  <c r="J264" i="2" a="1"/>
  <c r="J475" i="2" a="1"/>
  <c r="I471" i="2" a="1"/>
  <c r="J323" i="2" a="1"/>
  <c r="I8" i="2" a="1"/>
  <c r="J162" i="2" a="1"/>
  <c r="J90" i="2" a="1"/>
  <c r="J151" i="2" a="1"/>
  <c r="J49" i="2" a="1"/>
  <c r="H314" i="2" a="1"/>
  <c r="I276" i="2" a="1"/>
  <c r="I176" i="2" a="1"/>
  <c r="I119" i="2" a="1"/>
  <c r="J284" i="2" a="1"/>
  <c r="J21" i="2" a="1"/>
  <c r="H61" i="2" a="1"/>
  <c r="H444" i="2" a="1"/>
  <c r="H73" i="2" a="1"/>
  <c r="I504" i="2" a="1"/>
  <c r="I99" i="2" a="1"/>
  <c r="I197" i="2" a="1"/>
  <c r="H40" i="2" a="1"/>
  <c r="I73" i="2" a="1"/>
  <c r="J2" i="2" a="1"/>
  <c r="G432" i="2" a="1"/>
  <c r="E284" i="2" a="1"/>
  <c r="E442" i="2" a="1"/>
  <c r="E12" i="2" a="1"/>
  <c r="G489" i="2" a="1"/>
  <c r="E65" i="2" a="1"/>
  <c r="E104" i="2" a="1"/>
  <c r="E435" i="2" a="1"/>
  <c r="E506" i="2" a="1"/>
  <c r="G242" i="2" a="1"/>
  <c r="G50" i="2" a="1"/>
  <c r="F393" i="2" a="1"/>
  <c r="E362" i="2" a="1"/>
  <c r="E163" i="2" a="1"/>
  <c r="G453" i="2" a="1"/>
  <c r="F64" i="2" a="1"/>
  <c r="G425" i="2" a="1"/>
  <c r="F218" i="2" a="1"/>
  <c r="G151" i="2" a="1"/>
  <c r="F167" i="2" a="1"/>
  <c r="E465" i="2" a="1"/>
  <c r="F247" i="2" a="1"/>
  <c r="E131" i="2" a="1"/>
  <c r="F346" i="2" a="1"/>
  <c r="G68" i="2" a="1"/>
  <c r="F373" i="2" a="1"/>
  <c r="G180" i="2" a="1"/>
  <c r="G29" i="2" a="1"/>
  <c r="F392" i="2" a="1"/>
  <c r="E45" i="2" a="1"/>
  <c r="E283" i="2" a="1"/>
  <c r="G283" i="2" a="1"/>
  <c r="G30" i="2" a="1"/>
  <c r="G57" i="2" a="1"/>
  <c r="E140" i="2" a="1"/>
  <c r="G467" i="2" a="1"/>
  <c r="G451" i="2" a="1"/>
  <c r="F164" i="2" a="1"/>
  <c r="G271" i="2" a="1"/>
  <c r="E185" i="2" a="1"/>
  <c r="F223" i="2" a="1"/>
  <c r="F133" i="2" a="1"/>
  <c r="E168" i="2" a="1"/>
  <c r="F31" i="2" a="1"/>
  <c r="G254" i="2" a="1"/>
  <c r="F297" i="2" a="1"/>
  <c r="F43" i="2" a="1"/>
  <c r="E477" i="2" a="1"/>
  <c r="G262" i="2" a="1"/>
  <c r="I319" i="2" a="1"/>
  <c r="J313" i="2" a="1"/>
  <c r="H319" i="2" a="1"/>
  <c r="F348" i="2" a="1"/>
  <c r="F364" i="2" a="1"/>
  <c r="F441" i="2" a="1"/>
  <c r="E40" i="2" a="1"/>
  <c r="E472" i="2" a="1"/>
  <c r="F431" i="2" a="1"/>
  <c r="G33" i="2" a="1"/>
  <c r="E138" i="2" a="1"/>
  <c r="E359" i="2" a="1"/>
  <c r="J481" i="2" a="1"/>
  <c r="H439" i="2" a="1"/>
  <c r="J95" i="2" a="1"/>
  <c r="I379" i="2" a="1"/>
  <c r="I11" i="2" a="1"/>
  <c r="H110" i="2" a="1"/>
  <c r="I191" i="2" a="1"/>
  <c r="H168" i="2" a="1"/>
  <c r="J327" i="2" a="1"/>
  <c r="I327" i="2" a="1"/>
  <c r="J54" i="2" a="1"/>
  <c r="I76" i="2" a="1"/>
  <c r="J438" i="2" a="1"/>
  <c r="J147" i="2" a="1"/>
  <c r="I223" i="2" a="1"/>
  <c r="H98" i="2" a="1"/>
  <c r="I194" i="2" a="1"/>
  <c r="I267" i="2" a="1"/>
  <c r="I22" i="2" a="1"/>
  <c r="I360" i="2" a="1"/>
  <c r="J3" i="2" a="1"/>
  <c r="I138" i="2" a="1"/>
  <c r="J291" i="2" a="1"/>
  <c r="I127" i="2" a="1"/>
  <c r="H108" i="2" a="1"/>
  <c r="H398" i="2" a="1"/>
  <c r="I55" i="2" a="1"/>
  <c r="H384" i="2" a="1"/>
  <c r="J476" i="2" a="1"/>
  <c r="H46" i="2" a="1"/>
  <c r="J252" i="2" a="1"/>
  <c r="I132" i="2" a="1"/>
  <c r="I476" i="2" a="1"/>
  <c r="J315" i="2" a="1"/>
  <c r="I448" i="2" a="1"/>
  <c r="E148" i="2" a="1"/>
  <c r="F47" i="2" a="1"/>
  <c r="G162" i="2" a="1"/>
  <c r="G100" i="2" a="1"/>
  <c r="F489" i="2" a="1"/>
  <c r="G312" i="2" a="1"/>
  <c r="F15" i="2" a="1"/>
  <c r="E9" i="2" a="1"/>
  <c r="F11" i="2" a="1"/>
  <c r="G294" i="2" a="1"/>
  <c r="G152" i="2" a="1"/>
  <c r="E244" i="2" a="1"/>
  <c r="G434" i="2" a="1"/>
  <c r="E89" i="2" a="1"/>
  <c r="E395" i="2" a="1"/>
  <c r="E328" i="2" a="1"/>
  <c r="F427" i="2" a="1"/>
  <c r="E107" i="2" a="1"/>
  <c r="F132" i="2" a="1"/>
  <c r="G167" i="2" a="1"/>
  <c r="F101" i="2" a="1"/>
  <c r="F161" i="2" a="1"/>
  <c r="G95" i="2" a="1"/>
  <c r="G302" i="2" a="1"/>
  <c r="F180" i="2" a="1"/>
  <c r="F318" i="2" a="1"/>
  <c r="G55" i="2" a="1"/>
  <c r="E196" i="2" a="1"/>
  <c r="E34" i="2" a="1"/>
  <c r="F30" i="2" a="1"/>
  <c r="F452" i="2" a="1"/>
  <c r="E459" i="2" a="1"/>
  <c r="E56" i="2" a="1"/>
  <c r="E67" i="2" a="1"/>
  <c r="G356" i="2" a="1"/>
  <c r="F26" i="2" a="1"/>
  <c r="G406" i="2" a="1"/>
  <c r="E221" i="2" a="1"/>
  <c r="F136" i="2" a="1"/>
  <c r="G486" i="2" a="1"/>
  <c r="F261" i="2" a="1"/>
  <c r="G300" i="2" a="1"/>
  <c r="E72" i="2" a="1"/>
  <c r="F477" i="2" a="1"/>
  <c r="F165" i="2" a="1"/>
  <c r="F377" i="2" a="1"/>
  <c r="F428" i="2" a="1"/>
  <c r="E153" i="2" a="1"/>
  <c r="E468" i="2" a="1"/>
  <c r="F438" i="2" a="1"/>
  <c r="H420" i="2" a="1"/>
  <c r="J474" i="2" a="1"/>
  <c r="F24" i="2" a="1"/>
  <c r="E94" i="2" a="1"/>
  <c r="H401" i="2" a="1"/>
  <c r="I347" i="2" a="1"/>
  <c r="G332" i="2" a="1"/>
  <c r="E353" i="2" a="1"/>
  <c r="E446" i="2" a="1"/>
  <c r="E182" i="2" a="1"/>
  <c r="G359" i="2" a="1"/>
  <c r="I12" i="2" a="1"/>
  <c r="I321" i="2" a="1"/>
  <c r="J442" i="2" a="1"/>
  <c r="E432" i="2" a="1"/>
  <c r="G357" i="2" a="1"/>
  <c r="F217" i="2" a="1"/>
  <c r="E341" i="2" a="1"/>
  <c r="E391" i="2" a="1"/>
  <c r="F53" i="2" a="1"/>
  <c r="F286" i="2" a="1"/>
  <c r="G475" i="2" a="1"/>
  <c r="F210" i="2" a="1"/>
  <c r="F294" i="2" a="1"/>
  <c r="F173" i="2" a="1"/>
  <c r="G344" i="2" a="1"/>
  <c r="G498" i="2" a="1"/>
  <c r="E4" i="2" a="1"/>
  <c r="F117" i="2" a="1"/>
  <c r="E425" i="2" a="1"/>
  <c r="F105" i="2" a="1"/>
  <c r="E285" i="2" a="1"/>
  <c r="E337" i="2" a="1"/>
  <c r="F201" i="2" a="1"/>
  <c r="G319" i="2" a="1"/>
  <c r="G247" i="2" a="1"/>
  <c r="F95" i="2" a="1"/>
  <c r="F481" i="2" a="1"/>
  <c r="E316" i="2" a="1"/>
  <c r="G276" i="2" a="1"/>
  <c r="G360" i="2" a="1"/>
  <c r="G392" i="2" a="1"/>
  <c r="F412" i="2" a="1"/>
  <c r="G412" i="2" a="1"/>
  <c r="E497" i="2" a="1"/>
  <c r="E231" i="2" a="1"/>
  <c r="E160" i="2" a="1"/>
  <c r="E57" i="2" a="1"/>
  <c r="F135" i="2" a="1"/>
  <c r="G470" i="2" a="1"/>
  <c r="E240" i="2" a="1"/>
  <c r="G197" i="2" a="1"/>
  <c r="G44" i="2" a="1"/>
  <c r="G175" i="2" a="1"/>
  <c r="E261" i="2" a="1"/>
  <c r="E133" i="2" a="1"/>
  <c r="E300" i="2" a="1"/>
  <c r="G119" i="2" a="1"/>
  <c r="E31" i="2" a="1"/>
  <c r="E165" i="2" a="1"/>
  <c r="F73" i="2" a="1"/>
  <c r="F423" i="2" a="1"/>
  <c r="E35" i="2" a="1"/>
  <c r="I435" i="2" a="1"/>
  <c r="G438" i="2" a="1"/>
  <c r="G118" i="2" a="1"/>
  <c r="G146" i="2" a="1"/>
  <c r="J190" i="2" a="1"/>
  <c r="J401" i="2" a="1"/>
  <c r="J502" i="2" a="1"/>
  <c r="G76" i="2" a="1"/>
  <c r="I498" i="2" a="1"/>
  <c r="F353" i="2" a="1"/>
  <c r="G58" i="2" a="1"/>
  <c r="F479" i="2" a="1"/>
  <c r="H481" i="2" a="1"/>
  <c r="J395" i="2" a="1"/>
  <c r="I47" i="2" a="1"/>
  <c r="I158" i="2" a="1"/>
  <c r="H11" i="2" a="1"/>
  <c r="I378" i="2" a="1"/>
  <c r="J71" i="2" a="1"/>
  <c r="J270" i="2" a="1"/>
  <c r="I450" i="2" a="1"/>
  <c r="H199" i="2" a="1"/>
  <c r="H327" i="2" a="1"/>
  <c r="H43" i="2" a="1"/>
  <c r="H33" i="2" a="1"/>
  <c r="J109" i="2" a="1"/>
  <c r="H212" i="2" a="1"/>
  <c r="J223" i="2" a="1"/>
  <c r="I33" i="2" a="1"/>
  <c r="I25" i="2" a="1"/>
  <c r="H165" i="2" a="1"/>
  <c r="I37" i="2" a="1"/>
  <c r="J372" i="2" a="1"/>
  <c r="I279" i="2" a="1"/>
  <c r="J188" i="2" a="1"/>
  <c r="I453" i="2" a="1"/>
  <c r="I431" i="2" a="1"/>
  <c r="H130" i="2" a="1"/>
  <c r="I53" i="2" a="1"/>
  <c r="J275" i="2" a="1"/>
  <c r="H461" i="2" a="1"/>
  <c r="J343" i="2" a="1"/>
  <c r="I160" i="2" a="1"/>
  <c r="I485" i="2" a="1"/>
  <c r="H146" i="2" a="1"/>
  <c r="J117" i="2" a="1"/>
  <c r="J356" i="2" a="1"/>
  <c r="I490" i="2" a="1"/>
  <c r="J409" i="2" a="1"/>
  <c r="H256" i="2" a="1"/>
  <c r="I68" i="2" a="1"/>
  <c r="J68" i="2" a="1"/>
  <c r="J254" i="2" a="1"/>
  <c r="H376" i="2" a="1"/>
  <c r="I7" i="2" a="1"/>
  <c r="H464" i="2" a="1"/>
  <c r="I418" i="2" a="1"/>
  <c r="H367" i="2" a="1"/>
  <c r="J456" i="2" a="1"/>
  <c r="H218" i="2" a="1"/>
  <c r="J154" i="2" a="1"/>
  <c r="J447" i="2" a="1"/>
  <c r="I156" i="2" a="1"/>
  <c r="I139" i="2" a="1"/>
  <c r="H299" i="2" a="1"/>
  <c r="I56" i="2" a="1"/>
  <c r="G174" i="2" a="1"/>
  <c r="F27" i="2" a="1"/>
  <c r="E137" i="2" a="1"/>
  <c r="F501" i="2" a="1"/>
  <c r="F366" i="2" a="1"/>
  <c r="F65" i="2" a="1"/>
  <c r="G15" i="2" a="1"/>
  <c r="G215" i="2" a="1"/>
  <c r="G394" i="2" a="1"/>
  <c r="G147" i="2" a="1"/>
  <c r="E252" i="2" a="1"/>
  <c r="E350" i="2" a="1"/>
  <c r="F478" i="2" a="1"/>
  <c r="F79" i="2" a="1"/>
  <c r="G209" i="2" a="1"/>
  <c r="E112" i="2" a="1"/>
  <c r="E82" i="2" a="1"/>
  <c r="E281" i="2" a="1"/>
  <c r="F413" i="2" a="1"/>
  <c r="F38" i="2" a="1"/>
  <c r="E247" i="2" a="1"/>
  <c r="F257" i="2" a="1"/>
  <c r="E259" i="2" a="1"/>
  <c r="G346" i="2" a="1"/>
  <c r="G316" i="2" a="1"/>
  <c r="E180" i="2" a="1"/>
  <c r="G343" i="2" a="1"/>
  <c r="G292" i="2" a="1"/>
  <c r="F181" i="2" a="1"/>
  <c r="E253" i="2" a="1"/>
  <c r="E334" i="2" a="1"/>
  <c r="F196" i="2" a="1"/>
  <c r="G321" i="2" a="1"/>
  <c r="E382" i="2" a="1"/>
  <c r="G135" i="2" a="1"/>
  <c r="E406" i="2" a="1"/>
  <c r="F407" i="2" a="1"/>
  <c r="G164" i="2" a="1"/>
  <c r="G458" i="2" a="1"/>
  <c r="G36" i="2" a="1"/>
  <c r="G261" i="2" a="1"/>
  <c r="E77" i="2" a="1"/>
  <c r="F262" i="2" a="1"/>
  <c r="E262" i="2" a="1"/>
  <c r="E424" i="2" a="1"/>
  <c r="G31" i="2" a="1"/>
  <c r="E421" i="2" a="1"/>
  <c r="E122" i="2" a="1"/>
  <c r="G62" i="2" a="1"/>
  <c r="J308" i="2" a="1"/>
  <c r="I313" i="2" a="1"/>
  <c r="G348" i="2" a="1"/>
  <c r="F60" i="2" a="1"/>
  <c r="J161" i="2" a="1"/>
  <c r="H462" i="2" a="1"/>
  <c r="J328" i="2" a="1"/>
  <c r="F40" i="2" a="1"/>
  <c r="H502" i="2" a="1"/>
  <c r="E332" i="2" a="1"/>
  <c r="E369" i="2" a="1"/>
  <c r="J449" i="2" a="1"/>
  <c r="J12" i="2" a="1"/>
  <c r="H95" i="2" a="1"/>
  <c r="J307" i="2" a="1"/>
  <c r="H354" i="2" a="1"/>
  <c r="J340" i="2" a="1"/>
  <c r="H450" i="2" a="1"/>
  <c r="I413" i="2" a="1"/>
  <c r="J351" i="2" a="1"/>
  <c r="H246" i="2" a="1"/>
  <c r="H452" i="2" a="1"/>
  <c r="H54" i="2" a="1"/>
  <c r="I34" i="2" a="1"/>
  <c r="H223" i="2" a="1"/>
  <c r="J97" i="2" a="1"/>
  <c r="H31" i="2" a="1"/>
  <c r="H97" i="2" a="1"/>
  <c r="H326" i="2" a="1"/>
  <c r="I333" i="2" a="1"/>
  <c r="J369" i="2" a="1"/>
  <c r="I258" i="2" a="1"/>
  <c r="I296" i="2" a="1"/>
  <c r="H37" i="2" a="1"/>
  <c r="H3" i="2" a="1"/>
  <c r="H127" i="2" a="1"/>
  <c r="I472" i="2" a="1"/>
  <c r="J251" i="2" a="1"/>
  <c r="J130" i="2" a="1"/>
  <c r="I392" i="2" a="1"/>
  <c r="J14" i="2" a="1"/>
  <c r="J96" i="2" a="1"/>
  <c r="J160" i="2" a="1"/>
  <c r="G224" i="2" a="1"/>
  <c r="F93" i="2" a="1"/>
  <c r="E188" i="2" a="1"/>
  <c r="E273" i="2" a="1"/>
  <c r="E187" i="2" a="1"/>
  <c r="F375" i="2" a="1"/>
  <c r="E91" i="2" a="1"/>
  <c r="F170" i="2" a="1"/>
  <c r="E326" i="2" a="1"/>
  <c r="G169" i="2" a="1"/>
  <c r="E461" i="2" a="1"/>
  <c r="E179" i="2" a="1"/>
  <c r="E309" i="2" a="1"/>
  <c r="G339" i="2" a="1"/>
  <c r="F495" i="2" a="1"/>
  <c r="F142" i="2" a="1"/>
  <c r="E298" i="2" a="1"/>
  <c r="G288" i="2" a="1"/>
  <c r="G413" i="2" a="1"/>
  <c r="G465" i="2" a="1"/>
  <c r="G39" i="2" a="1"/>
  <c r="F39" i="2" a="1"/>
  <c r="G131" i="2" a="1"/>
  <c r="E237" i="2" a="1"/>
  <c r="G227" i="2" a="1"/>
  <c r="F316" i="2" a="1"/>
  <c r="E29" i="2" a="1"/>
  <c r="F67" i="2" a="1"/>
  <c r="G497" i="2" a="1"/>
  <c r="F231" i="2" a="1"/>
  <c r="G196" i="2" a="1"/>
  <c r="G67" i="2" a="1"/>
  <c r="G499" i="2" a="1"/>
  <c r="F491" i="2" a="1"/>
  <c r="G140" i="2" a="1"/>
  <c r="E407" i="2" a="1"/>
  <c r="G120" i="2" a="1"/>
  <c r="E439" i="2" a="1"/>
  <c r="G185" i="2" a="1"/>
  <c r="F271" i="2" a="1"/>
  <c r="F486" i="2" a="1"/>
  <c r="G455" i="2" a="1"/>
  <c r="F238" i="2" a="1"/>
  <c r="E297" i="2" a="1"/>
  <c r="F396" i="2" a="1"/>
  <c r="E396" i="2" a="1"/>
  <c r="F471" i="2" a="1"/>
  <c r="G165" i="2" a="1"/>
  <c r="F199" i="2" a="1"/>
  <c r="F371" i="2" a="1"/>
  <c r="G47" i="2" a="1"/>
  <c r="F228" i="2" a="1"/>
  <c r="F125" i="2" a="1"/>
  <c r="G129" i="2" a="1"/>
  <c r="G206" i="2" a="1"/>
  <c r="E22" i="2" a="1"/>
  <c r="E215" i="2" a="1"/>
  <c r="G400" i="2" a="1"/>
  <c r="E242" i="2" a="1"/>
  <c r="G463" i="2" a="1"/>
  <c r="G362" i="2" a="1"/>
  <c r="F244" i="2" a="1"/>
  <c r="E495" i="2" a="1"/>
  <c r="E117" i="2" a="1"/>
  <c r="G473" i="2" a="1"/>
  <c r="G476" i="2" a="1"/>
  <c r="E419" i="2" a="1"/>
  <c r="E189" i="2" a="1"/>
  <c r="G101" i="2" a="1"/>
  <c r="E161" i="2" a="1"/>
  <c r="G354" i="2" a="1"/>
  <c r="E150" i="2" a="1"/>
  <c r="F405" i="2" a="1"/>
  <c r="E236" i="2" a="1"/>
  <c r="F368" i="2" a="1"/>
  <c r="E384" i="2" a="1"/>
  <c r="G160" i="2" a="1"/>
  <c r="G279" i="2" a="1"/>
  <c r="F430" i="2" a="1"/>
  <c r="F45" i="2" a="1"/>
  <c r="E392" i="2" a="1"/>
  <c r="E219" i="2" a="1"/>
  <c r="E172" i="2" a="1"/>
  <c r="G336" i="2" a="1"/>
  <c r="F406" i="2" a="1"/>
  <c r="F451" i="2" a="1"/>
  <c r="G439" i="2" a="1"/>
  <c r="E486" i="2" a="1"/>
  <c r="E175" i="2" a="1"/>
  <c r="E449" i="2" a="1"/>
  <c r="E365" i="2" a="1"/>
  <c r="G122" i="2" a="1"/>
  <c r="G377" i="2" a="1"/>
  <c r="E290" i="2" a="1"/>
  <c r="E119" i="2" a="1"/>
  <c r="G238" i="2" a="1"/>
  <c r="F211" i="2" a="1"/>
  <c r="E199" i="2" a="1"/>
  <c r="I311" i="2" a="1"/>
  <c r="F115" i="2" a="1"/>
  <c r="E329" i="2" a="1"/>
  <c r="G60" i="2" a="1"/>
  <c r="I161" i="2" a="1"/>
  <c r="J105" i="2" a="1"/>
  <c r="I419" i="2" a="1"/>
  <c r="I502" i="2" a="1"/>
  <c r="I302" i="2" a="1"/>
  <c r="I391" i="2" a="1"/>
  <c r="F369" i="2" a="1"/>
  <c r="I248" i="2" a="1"/>
  <c r="H449" i="2" a="1"/>
  <c r="I442" i="2" a="1"/>
  <c r="I354" i="2" a="1"/>
  <c r="I134" i="2" a="1"/>
  <c r="H340" i="2" a="1"/>
  <c r="I417" i="2" a="1"/>
  <c r="I501" i="2" a="1"/>
  <c r="H167" i="2" a="1"/>
  <c r="I457" i="2" a="1"/>
  <c r="H331" i="2" a="1"/>
  <c r="J167" i="2" a="1"/>
  <c r="J326" i="2" a="1"/>
  <c r="J460" i="2" a="1"/>
  <c r="I393" i="2" a="1"/>
  <c r="H393" i="2" a="1"/>
  <c r="J393" i="2" a="1"/>
  <c r="I157" i="2" a="1"/>
  <c r="J204" i="2" a="1"/>
  <c r="J231" i="2" a="1"/>
  <c r="H121" i="2" a="1"/>
  <c r="J138" i="2" a="1"/>
  <c r="H495" i="2" a="1"/>
  <c r="J111" i="2" a="1"/>
  <c r="H188" i="2" a="1"/>
  <c r="J10" i="2" a="1"/>
  <c r="J136" i="2" a="1"/>
  <c r="H431" i="2" a="1"/>
  <c r="J38" i="2" a="1"/>
  <c r="I46" i="2" a="1"/>
  <c r="H485" i="2" a="1"/>
  <c r="I343" i="2" a="1"/>
  <c r="I42" i="2" a="1"/>
  <c r="H160" i="2" a="1"/>
  <c r="H455" i="2" a="1"/>
  <c r="J386" i="2" a="1"/>
  <c r="I386" i="2" a="1"/>
  <c r="J178" i="2" a="1"/>
  <c r="I468" i="2" a="1"/>
  <c r="J150" i="2" a="1"/>
  <c r="J24" i="2" a="1"/>
  <c r="J79" i="2" a="1"/>
  <c r="J482" i="2" a="1"/>
  <c r="H150" i="2" a="1"/>
  <c r="J418" i="2" a="1"/>
  <c r="I200" i="2" a="1"/>
  <c r="J407" i="2" a="1"/>
  <c r="H21" i="2" a="1"/>
  <c r="H430" i="2" a="1"/>
  <c r="H183" i="2" a="1"/>
  <c r="H329" i="2" a="1"/>
  <c r="G371" i="2" a="1"/>
  <c r="G110" i="2" a="1"/>
  <c r="E414" i="2" a="1"/>
  <c r="E501" i="2" a="1"/>
  <c r="E331" i="2" a="1"/>
  <c r="F385" i="2" a="1"/>
  <c r="G85" i="2" a="1"/>
  <c r="F367" i="2" a="1"/>
  <c r="G11" i="2" a="1"/>
  <c r="F462" i="2" a="1"/>
  <c r="F409" i="2" a="1"/>
  <c r="G311" i="2" a="1"/>
  <c r="E141" i="2" a="1"/>
  <c r="E378" i="2" a="1"/>
  <c r="G7" i="2" a="1"/>
  <c r="G112" i="2" a="1"/>
  <c r="G105" i="2" a="1"/>
  <c r="E218" i="2" a="1"/>
  <c r="G337" i="2" a="1"/>
  <c r="G38" i="2" a="1"/>
  <c r="E39" i="2" a="1"/>
  <c r="E481" i="2" a="1"/>
  <c r="G237" i="2" a="1"/>
  <c r="E485" i="2" a="1"/>
  <c r="F55" i="2" a="1"/>
  <c r="F68" i="2" a="1"/>
  <c r="G437" i="2" a="1"/>
  <c r="E321" i="2" a="1"/>
  <c r="F490" i="2" a="1"/>
  <c r="F334" i="2" a="1"/>
  <c r="G45" i="2" a="1"/>
  <c r="E30" i="2" a="1"/>
  <c r="E143" i="2" a="1"/>
  <c r="E499" i="2" a="1"/>
  <c r="F363" i="2" a="1"/>
  <c r="F470" i="2" a="1"/>
  <c r="F111" i="2" a="1"/>
  <c r="G380" i="2" a="1"/>
  <c r="G449" i="2" a="1"/>
  <c r="E271" i="2" a="1"/>
  <c r="F449" i="2" a="1"/>
  <c r="F168" i="2" a="1"/>
  <c r="G428" i="2" a="1"/>
  <c r="E428" i="2" a="1"/>
  <c r="G229" i="2" a="1"/>
  <c r="G278" i="2" a="1"/>
  <c r="E377" i="2" a="1"/>
  <c r="G396" i="2" a="1"/>
  <c r="G444" i="2" a="1"/>
  <c r="F118" i="2" a="1"/>
  <c r="J311" i="2" a="1"/>
  <c r="G239" i="2" a="1"/>
  <c r="E239" i="2" a="1"/>
  <c r="H161" i="2" a="1"/>
  <c r="I462" i="2" a="1"/>
  <c r="G374" i="2" a="1"/>
  <c r="H419" i="2" a="1"/>
  <c r="F446" i="2" a="1"/>
  <c r="E213" i="2" a="1"/>
  <c r="G479" i="2" a="1"/>
  <c r="H408" i="2" a="1"/>
  <c r="J120" i="2" a="1"/>
  <c r="H442" i="2" a="1"/>
  <c r="I307" i="2" a="1"/>
  <c r="J201" i="2" a="1"/>
  <c r="J292" i="2" a="1"/>
  <c r="H457" i="2" a="1"/>
  <c r="J107" i="2" a="1"/>
  <c r="J283" i="2" a="1"/>
  <c r="I168" i="2" a="1"/>
  <c r="J501" i="2" a="1"/>
  <c r="I331" i="2" a="1"/>
  <c r="I249" i="2" a="1"/>
  <c r="I109" i="2" a="1"/>
  <c r="H332" i="2" a="1"/>
  <c r="J396" i="2" a="1"/>
  <c r="F324" i="2" a="1"/>
  <c r="G376" i="2" a="1"/>
  <c r="F338" i="2" a="1"/>
  <c r="G445" i="2" a="1"/>
  <c r="G61" i="2" a="1"/>
  <c r="G265" i="2" a="1"/>
  <c r="F91" i="2" a="1"/>
  <c r="G351" i="2" a="1"/>
  <c r="E230" i="2" a="1"/>
  <c r="E463" i="2" a="1"/>
  <c r="E173" i="2" a="1"/>
  <c r="F291" i="2" a="1"/>
  <c r="E102" i="2" a="1"/>
  <c r="F339" i="2" a="1"/>
  <c r="E453" i="2" a="1"/>
  <c r="F49" i="2" a="1"/>
  <c r="G82" i="2" a="1"/>
  <c r="G443" i="2" a="1"/>
  <c r="E413" i="2" a="1"/>
  <c r="F465" i="2" a="1"/>
  <c r="F347" i="2" a="1"/>
  <c r="E354" i="2" a="1"/>
  <c r="G259" i="2" a="1"/>
  <c r="G28" i="2" a="1"/>
  <c r="E227" i="2" a="1"/>
  <c r="E55" i="2" a="1"/>
  <c r="E295" i="2" a="1"/>
  <c r="F37" i="2" a="1"/>
  <c r="G459" i="2" a="1"/>
  <c r="F219" i="2" a="1"/>
  <c r="G34" i="2" a="1"/>
  <c r="E404" i="2" a="1"/>
  <c r="F234" i="2" a="1"/>
  <c r="F358" i="2" a="1"/>
  <c r="G26" i="2" a="1"/>
  <c r="E451" i="2" a="1"/>
  <c r="E164" i="2" a="1"/>
  <c r="E197" i="2" a="1"/>
  <c r="G136" i="2" a="1"/>
  <c r="E44" i="2" a="1"/>
  <c r="E245" i="2" a="1"/>
  <c r="G168" i="2" a="1"/>
  <c r="E471" i="2" a="1"/>
  <c r="G424" i="2" a="1"/>
  <c r="E278" i="2" a="1"/>
  <c r="F496" i="2" a="1"/>
  <c r="G266" i="2" a="1"/>
  <c r="G114" i="2" a="1"/>
  <c r="G448" i="2" a="1"/>
  <c r="F81" i="2" a="1"/>
  <c r="F426" i="2" a="1"/>
  <c r="E206" i="2" a="1"/>
  <c r="E232" i="2" a="1"/>
  <c r="F345" i="2" a="1"/>
  <c r="G230" i="2" a="1"/>
  <c r="F147" i="2" a="1"/>
  <c r="E462" i="2" a="1"/>
  <c r="F344" i="2" a="1"/>
  <c r="E344" i="2" a="1"/>
  <c r="E79" i="2" a="1"/>
  <c r="E287" i="2" a="1"/>
  <c r="F2" i="2" a="1"/>
  <c r="F48" i="2" a="1"/>
  <c r="F419" i="2" a="1"/>
  <c r="E151" i="2" a="1"/>
  <c r="E80" i="2" a="1"/>
  <c r="G161" i="2" a="1"/>
  <c r="F86" i="2" a="1"/>
  <c r="F150" i="2" a="1"/>
  <c r="G481" i="2" a="1"/>
  <c r="F106" i="2" a="1"/>
  <c r="E368" i="2" a="1"/>
  <c r="G46" i="2" a="1"/>
  <c r="F497" i="2" a="1"/>
  <c r="E310" i="2" a="1"/>
  <c r="G490" i="2" a="1"/>
  <c r="F404" i="2" a="1"/>
  <c r="G56" i="2" a="1"/>
  <c r="E279" i="2" a="1"/>
  <c r="F143" i="2" a="1"/>
  <c r="F356" i="2" a="1"/>
  <c r="E120" i="2" a="1"/>
  <c r="F197" i="2" a="1"/>
  <c r="F380" i="2" a="1"/>
  <c r="F245" i="2" a="1"/>
  <c r="E248" i="2" a="1"/>
  <c r="G223" i="2" a="1"/>
  <c r="F266" i="2" a="1"/>
  <c r="G157" i="2" a="1"/>
  <c r="F233" i="2" a="1"/>
  <c r="F5" i="2" a="1"/>
  <c r="G466" i="2" a="1"/>
  <c r="E198" i="2" a="1"/>
  <c r="E155" i="2" a="1"/>
  <c r="E381" i="2" a="1"/>
  <c r="F400" i="2" a="1"/>
  <c r="F152" i="2" a="1"/>
  <c r="E393" i="2" a="1"/>
  <c r="E17" i="2" a="1"/>
  <c r="G291" i="2" a="1"/>
  <c r="E308" i="2" a="1"/>
  <c r="G4" i="2" a="1"/>
  <c r="G2" i="2" a="1"/>
  <c r="F476" i="2" a="1"/>
  <c r="G419" i="2" a="1"/>
  <c r="F296" i="2" a="1"/>
  <c r="F222" i="2" a="1"/>
  <c r="F319" i="2" a="1"/>
  <c r="G249" i="2" a="1"/>
  <c r="F259" i="2" a="1"/>
  <c r="E86" i="2" a="1"/>
  <c r="G295" i="2" a="1"/>
  <c r="F295" i="2" a="1"/>
  <c r="E193" i="2" a="1"/>
  <c r="E96" i="2" a="1"/>
  <c r="F96" i="2" a="1"/>
  <c r="F459" i="2" a="1"/>
  <c r="G404" i="2" a="1"/>
  <c r="E412" i="2" a="1"/>
  <c r="F57" i="2" a="1"/>
  <c r="G176" i="2" a="1"/>
  <c r="E336" i="2" a="1"/>
  <c r="G408" i="2" a="1"/>
  <c r="E361" i="2" a="1"/>
  <c r="E71" i="2" a="1"/>
  <c r="G154" i="2" a="1"/>
  <c r="F109" i="2" a="1"/>
  <c r="F154" i="2" a="1"/>
  <c r="G133" i="2" a="1"/>
  <c r="F421" i="2" a="1"/>
  <c r="G270" i="2" a="1"/>
  <c r="E307" i="2" a="1"/>
  <c r="E423" i="2" a="1"/>
  <c r="F424" i="2" a="1"/>
  <c r="E211" i="2" a="1"/>
  <c r="J319" i="2" a="1"/>
  <c r="E444" i="2" a="1"/>
  <c r="E272" i="2" a="1"/>
  <c r="E269" i="2" a="1"/>
  <c r="G269" i="2" a="1"/>
  <c r="F94" i="2" a="1"/>
  <c r="H44" i="2" a="1"/>
  <c r="J347" i="2" a="1"/>
  <c r="E431" i="2" a="1"/>
  <c r="H391" i="2" a="1"/>
  <c r="G40" i="2" a="1"/>
  <c r="E479" i="2" a="1"/>
  <c r="I408" i="2" a="1"/>
  <c r="H12" i="2" a="1"/>
  <c r="I494" i="2" a="1"/>
  <c r="J354" i="2" a="1"/>
  <c r="H416" i="2" a="1"/>
  <c r="H318" i="2" a="1"/>
  <c r="J440" i="2" a="1"/>
  <c r="I452" i="2" a="1"/>
  <c r="H440" i="2" a="1"/>
  <c r="J277" i="2" a="1"/>
  <c r="I380" i="2" a="1"/>
  <c r="J39" i="2" a="1"/>
  <c r="I140" i="2" a="1"/>
  <c r="F416" i="2" a="1"/>
  <c r="F370" i="2" a="1"/>
  <c r="F414" i="2" a="1"/>
  <c r="E8" i="2" a="1"/>
  <c r="F331" i="2" a="1"/>
  <c r="G433" i="2" a="1"/>
  <c r="G387" i="2" a="1"/>
  <c r="F381" i="2" a="1"/>
  <c r="E70" i="2" a="1"/>
  <c r="F461" i="2" a="1"/>
  <c r="F494" i="2" a="1"/>
  <c r="E121" i="2" a="1"/>
  <c r="E478" i="2" a="1"/>
  <c r="G117" i="2" a="1"/>
  <c r="G323" i="2" a="1"/>
  <c r="E427" i="2" a="1"/>
  <c r="E288" i="2" a="1"/>
  <c r="F281" i="2" a="1"/>
  <c r="G78" i="2" a="1"/>
  <c r="E222" i="2" a="1"/>
  <c r="E502" i="2" a="1"/>
  <c r="F447" i="2" a="1"/>
  <c r="F302" i="2" a="1"/>
  <c r="G405" i="2" a="1"/>
  <c r="G436" i="2" a="1"/>
  <c r="G322" i="2" a="1"/>
  <c r="G318" i="2" a="1"/>
  <c r="E401" i="2" a="1"/>
  <c r="G253" i="2" a="1"/>
  <c r="F56" i="2" a="1"/>
  <c r="G172" i="2" a="1"/>
  <c r="G219" i="2" a="1"/>
  <c r="F130" i="2" a="1"/>
  <c r="F401" i="2" a="1"/>
  <c r="E356" i="2" a="1"/>
  <c r="E111" i="2" a="1"/>
  <c r="F221" i="2" a="1"/>
  <c r="F439" i="2" a="1"/>
  <c r="G342" i="2" a="1"/>
  <c r="G109" i="2" a="1"/>
  <c r="E109" i="2" a="1"/>
  <c r="G267" i="2" a="1"/>
  <c r="F119" i="2" a="1"/>
  <c r="F270" i="2" a="1"/>
  <c r="F13" i="2" a="1"/>
  <c r="G297" i="2" a="1"/>
  <c r="F207" i="2" a="1"/>
  <c r="G421" i="2" a="1"/>
  <c r="H474" i="2" a="1"/>
  <c r="E340" i="2" a="1"/>
  <c r="H94" i="2" a="1"/>
  <c r="G24" i="2" a="1"/>
  <c r="E60" i="2" a="1"/>
  <c r="G94" i="2" a="1"/>
  <c r="J462" i="2" a="1"/>
  <c r="F374" i="2" a="1"/>
  <c r="J391" i="2" a="1"/>
  <c r="G183" i="2" a="1"/>
  <c r="E76" i="2" a="1"/>
  <c r="G138" i="2" a="1"/>
  <c r="I436" i="2" a="1"/>
  <c r="J436" i="2" a="1"/>
  <c r="H47" i="2" a="1"/>
  <c r="J158" i="2" a="1"/>
  <c r="I416" i="2" a="1"/>
  <c r="I116" i="2" a="1"/>
  <c r="I199" i="2" a="1"/>
  <c r="J331" i="2" a="1"/>
  <c r="H380" i="2" a="1"/>
  <c r="J172" i="2" a="1"/>
  <c r="J43" i="2" a="1"/>
  <c r="J491" i="2" a="1"/>
  <c r="J50" i="2" a="1"/>
  <c r="I326" i="2" a="1"/>
  <c r="J480" i="2" a="1"/>
  <c r="I438" i="2" a="1"/>
  <c r="I458" i="2" a="1"/>
  <c r="H124" i="2" a="1"/>
  <c r="H25" i="2" a="1"/>
  <c r="J267" i="2" a="1"/>
  <c r="H296" i="2" a="1"/>
  <c r="I368" i="2" a="1"/>
  <c r="I495" i="2" a="1"/>
  <c r="I291" i="2" a="1"/>
  <c r="G488" i="2" a="1"/>
  <c r="G333" i="2" a="1"/>
  <c r="F220" i="2" a="1"/>
  <c r="E125" i="2" a="1"/>
  <c r="F312" i="2" a="1"/>
  <c r="E286" i="2" a="1"/>
  <c r="F20" i="2" a="1"/>
  <c r="G381" i="2" a="1"/>
  <c r="F230" i="2" a="1"/>
  <c r="G88" i="2" a="1"/>
  <c r="E313" i="2" a="1"/>
  <c r="F311" i="2" a="1"/>
  <c r="F434" i="2" a="1"/>
  <c r="F209" i="2" a="1"/>
  <c r="E142" i="2" a="1"/>
  <c r="E64" i="2" a="1"/>
  <c r="G218" i="2" a="1"/>
  <c r="E132" i="2" a="1"/>
  <c r="F78" i="2" a="1"/>
  <c r="G80" i="2" a="1"/>
  <c r="E319" i="2" a="1"/>
  <c r="E95" i="2" a="1"/>
  <c r="F28" i="2" a="1"/>
  <c r="E302" i="2" a="1"/>
  <c r="E276" i="2" a="1"/>
  <c r="F227" i="2" a="1"/>
  <c r="F322" i="2" a="1"/>
  <c r="G410" i="2" a="1"/>
  <c r="F279" i="2" a="1"/>
  <c r="E181" i="2" a="1"/>
  <c r="G181" i="2" a="1"/>
  <c r="F253" i="2" a="1"/>
  <c r="F34" i="2" a="1"/>
  <c r="G234" i="2" a="1"/>
  <c r="E467" i="2" a="1"/>
  <c r="F240" i="2" a="1"/>
  <c r="G361" i="2" a="1"/>
  <c r="E66" i="2" a="1"/>
  <c r="F36" i="2" a="1"/>
  <c r="E136" i="2" a="1"/>
  <c r="F300" i="2" a="1"/>
  <c r="F72" i="2" a="1"/>
  <c r="G153" i="2" a="1"/>
  <c r="G290" i="2" a="1"/>
  <c r="G496" i="2" a="1"/>
  <c r="G468" i="2" a="1"/>
  <c r="G477" i="2" a="1"/>
  <c r="E305" i="2" a="1"/>
  <c r="J94" i="2" a="1"/>
  <c r="I308" i="2" a="1"/>
  <c r="E118" i="2" a="1"/>
  <c r="F269" i="2" a="1"/>
  <c r="J488" i="2" a="1"/>
  <c r="J44" i="2" a="1"/>
  <c r="H190" i="2" a="1"/>
  <c r="F183" i="2" a="1"/>
  <c r="F213" i="2" a="1"/>
  <c r="E374" i="2" a="1"/>
  <c r="F200" i="2" a="1"/>
  <c r="E156" i="2" a="1"/>
  <c r="I449" i="2" a="1"/>
  <c r="H321" i="2" a="1"/>
  <c r="I36" i="2" a="1"/>
  <c r="J345" i="2" a="1"/>
  <c r="H116" i="2" a="1"/>
  <c r="J11" i="2" a="1"/>
  <c r="J413" i="2" a="1"/>
  <c r="H39" i="2" a="1"/>
  <c r="J129" i="2" a="1"/>
  <c r="H82" i="2" a="1"/>
  <c r="H348" i="2" a="1"/>
  <c r="J199" i="2" a="1"/>
  <c r="I332" i="2" a="1"/>
  <c r="H249" i="2" a="1"/>
  <c r="I98" i="2" a="1"/>
  <c r="I124" i="2" a="1"/>
  <c r="J212" i="2" a="1"/>
  <c r="I212" i="2" a="1"/>
  <c r="J189" i="2" a="1"/>
  <c r="I369" i="2" a="1"/>
  <c r="I375" i="2" a="1"/>
  <c r="J346" i="2" a="1"/>
  <c r="H258" i="2" a="1"/>
  <c r="H111" i="2" a="1"/>
  <c r="I51" i="2" a="1"/>
  <c r="H275" i="2" a="1"/>
  <c r="J431" i="2" a="1"/>
  <c r="H285" i="2" a="1"/>
  <c r="J53" i="2" a="1"/>
  <c r="H506" i="2" a="1"/>
  <c r="J46" i="2" a="1"/>
  <c r="I14" i="2" a="1"/>
  <c r="I123" i="2" a="1"/>
  <c r="H118" i="2" a="1"/>
  <c r="F212" i="2" a="1"/>
  <c r="G402" i="2" a="1"/>
  <c r="F128" i="2" a="1"/>
  <c r="G97" i="2" a="1"/>
  <c r="G127" i="2" a="1"/>
  <c r="F155" i="2" a="1"/>
  <c r="E255" i="2" a="1"/>
  <c r="F506" i="2" a="1"/>
  <c r="E11" i="2" a="1"/>
  <c r="F258" i="2" a="1"/>
  <c r="E103" i="2" a="1"/>
  <c r="G244" i="2" a="1"/>
  <c r="F464" i="2" a="1"/>
  <c r="E492" i="2" a="1"/>
  <c r="E105" i="2" a="1"/>
  <c r="G298" i="2" a="1"/>
  <c r="F288" i="2" a="1"/>
  <c r="G189" i="2" a="1"/>
  <c r="E78" i="2" a="1"/>
  <c r="F139" i="2" a="1"/>
  <c r="E257" i="2" a="1"/>
  <c r="F237" i="2" a="1"/>
  <c r="E405" i="2" a="1"/>
  <c r="F436" i="2" a="1"/>
  <c r="F178" i="2" a="1"/>
  <c r="F193" i="2" a="1"/>
  <c r="E68" i="2" a="1"/>
  <c r="F283" i="2" a="1"/>
  <c r="G358" i="2" a="1"/>
  <c r="G310" i="2" a="1"/>
  <c r="G401" i="2" a="1"/>
  <c r="E490" i="2" a="1"/>
  <c r="G491" i="2" a="1"/>
  <c r="E205" i="2" a="1"/>
  <c r="E363" i="2" a="1"/>
  <c r="F408" i="2" a="1"/>
  <c r="F66" i="2" a="1"/>
  <c r="G71" i="2" a="1"/>
  <c r="G245" i="2" a="1"/>
  <c r="F185" i="2" a="1"/>
  <c r="G365" i="2" a="1"/>
  <c r="F455" i="2" a="1"/>
  <c r="F229" i="2" a="1"/>
  <c r="F254" i="2" a="1"/>
  <c r="E43" i="2" a="1"/>
  <c r="G211" i="2" a="1"/>
  <c r="E13" i="2" a="1"/>
  <c r="G73" i="2" a="1"/>
  <c r="I94" i="2" a="1"/>
  <c r="I474" i="2" a="1"/>
  <c r="H435" i="2" a="1"/>
  <c r="F146" i="2" a="1"/>
  <c r="J253" i="2" a="1"/>
  <c r="I488" i="2" a="1"/>
  <c r="F274" i="2" a="1"/>
  <c r="H302" i="2" a="1"/>
  <c r="H498" i="2" a="1"/>
  <c r="G353" i="2" a="1"/>
  <c r="F58" i="2" a="1"/>
  <c r="F182" i="2" a="1"/>
  <c r="J248" i="2" a="1"/>
  <c r="J36" i="2" a="1"/>
  <c r="H395" i="2" a="1"/>
  <c r="H379" i="2" a="1"/>
  <c r="H378" i="2" a="1"/>
  <c r="I292" i="2" a="1"/>
  <c r="H277" i="2" a="1"/>
  <c r="J450" i="2" a="1"/>
  <c r="I71" i="2" a="1"/>
  <c r="I270" i="2" a="1"/>
  <c r="H107" i="2" a="1"/>
  <c r="H413" i="2" a="1"/>
  <c r="J33" i="2" a="1"/>
  <c r="I31" i="2" a="1"/>
  <c r="H458" i="2" a="1"/>
  <c r="H50" i="2" a="1"/>
  <c r="J194" i="2" a="1"/>
  <c r="H89" i="2" a="1"/>
  <c r="I165" i="2" a="1"/>
  <c r="J25" i="2" a="1"/>
  <c r="F298" i="2" a="1"/>
  <c r="G430" i="2" a="1"/>
  <c r="G305" i="2" a="1"/>
  <c r="E115" i="2" a="1"/>
  <c r="H105" i="2" a="1"/>
  <c r="H174" i="2" a="1"/>
  <c r="I481" i="2" a="1"/>
  <c r="H373" i="2" a="1"/>
  <c r="I43" i="2" a="1"/>
  <c r="J348" i="2" a="1"/>
  <c r="H194" i="2" a="1"/>
  <c r="I50" i="2" a="1"/>
  <c r="H231" i="2" a="1"/>
  <c r="J368" i="2" a="1"/>
  <c r="H279" i="2" a="1"/>
  <c r="I38" i="2" a="1"/>
  <c r="I398" i="2" a="1"/>
  <c r="J487" i="2" a="1"/>
  <c r="I315" i="2" a="1"/>
  <c r="I118" i="2" a="1"/>
  <c r="I32" i="2" a="1"/>
  <c r="H164" i="2" a="1"/>
  <c r="J195" i="2" a="1"/>
  <c r="I254" i="2" a="1"/>
  <c r="H48" i="2" a="1"/>
  <c r="J247" i="2" a="1"/>
  <c r="I247" i="2" a="1"/>
  <c r="J412" i="2" a="1"/>
  <c r="J137" i="2" a="1"/>
  <c r="H334" i="2" a="1"/>
  <c r="I489" i="2" a="1"/>
  <c r="I66" i="2" a="1"/>
  <c r="I45" i="2" a="1"/>
  <c r="J320" i="2" a="1"/>
  <c r="H237" i="2" a="1"/>
  <c r="J344" i="2" a="1"/>
  <c r="H182" i="2" a="1"/>
  <c r="I154" i="2" a="1"/>
  <c r="J492" i="2" a="1"/>
  <c r="I228" i="2" a="1"/>
  <c r="J444" i="2" a="1"/>
  <c r="H289" i="2" a="1"/>
  <c r="I403" i="2" a="1"/>
  <c r="H20" i="2" a="1"/>
  <c r="H63" i="2" a="1"/>
  <c r="J186" i="2" a="1"/>
  <c r="I322" i="2" a="1"/>
  <c r="J500" i="2" a="1"/>
  <c r="J35" i="2" a="1"/>
  <c r="J363" i="2" a="1"/>
  <c r="J72" i="2" a="1"/>
  <c r="H235" i="2" a="1"/>
  <c r="J298" i="2" a="1"/>
  <c r="H463" i="2" a="1"/>
  <c r="H499" i="2" a="1"/>
  <c r="I113" i="2" a="1"/>
  <c r="I240" i="2" a="1"/>
  <c r="J445" i="2" a="1"/>
  <c r="H479" i="2" a="1"/>
  <c r="I26" i="2" a="1"/>
  <c r="J459" i="2" a="1"/>
  <c r="H445" i="2" a="1"/>
  <c r="H74" i="2" a="1"/>
  <c r="H397" i="2" a="1"/>
  <c r="H483" i="2" a="1"/>
  <c r="J399" i="2" a="1"/>
  <c r="I203" i="2" a="1"/>
  <c r="J499" i="2" a="1"/>
  <c r="H385" i="2" a="1"/>
  <c r="I306" i="2" a="1"/>
  <c r="I48" i="2" a="1"/>
  <c r="I2" i="2" a="1"/>
  <c r="I478" i="2" a="1"/>
  <c r="H338" i="2" a="1"/>
  <c r="I425" i="2" a="1"/>
  <c r="H422" i="2" a="1"/>
  <c r="H286" i="2" a="1"/>
  <c r="G21" i="2" a="1"/>
  <c r="E49" i="2" a="1"/>
  <c r="E106" i="2" a="1"/>
  <c r="G304" i="2" a="1"/>
  <c r="G272" i="2" a="1"/>
  <c r="G441" i="2" a="1"/>
  <c r="E23" i="2" a="1"/>
  <c r="J439" i="2" a="1"/>
  <c r="J378" i="2" a="1"/>
  <c r="J168" i="2" a="1"/>
  <c r="J417" i="2" a="1"/>
  <c r="J140" i="2" a="1"/>
  <c r="I421" i="2" a="1"/>
  <c r="H333" i="2" a="1"/>
  <c r="I173" i="2" a="1"/>
  <c r="I171" i="2" a="1"/>
  <c r="H251" i="2" a="1"/>
  <c r="H265" i="2" a="1"/>
  <c r="H255" i="2" a="1"/>
  <c r="J42" i="2" a="1"/>
  <c r="H117" i="2" a="1"/>
  <c r="H42" i="2" a="1"/>
  <c r="J261" i="2" a="1"/>
  <c r="J5" i="2" a="1"/>
  <c r="J429" i="2" a="1"/>
  <c r="I213" i="2" a="1"/>
  <c r="J77" i="2" a="1"/>
  <c r="J207" i="2" a="1"/>
  <c r="J213" i="2" a="1"/>
  <c r="J8" i="2" a="1"/>
  <c r="I244" i="2" a="1"/>
  <c r="H221" i="2" a="1"/>
  <c r="I341" i="2" a="1"/>
  <c r="J433" i="2" a="1"/>
  <c r="J257" i="2" a="1"/>
  <c r="I221" i="2" a="1"/>
  <c r="H405" i="2" a="1"/>
  <c r="H176" i="2" a="1"/>
  <c r="J441" i="2" a="1"/>
  <c r="I282" i="2" a="1"/>
  <c r="I106" i="2" a="1"/>
  <c r="J226" i="2" a="1"/>
  <c r="I274" i="2" a="1"/>
  <c r="I402" i="2" a="1"/>
  <c r="I133" i="2" a="1"/>
  <c r="J208" i="2" a="1"/>
  <c r="J414" i="2" a="1"/>
  <c r="J65" i="2" a="1"/>
  <c r="I91" i="2" a="1"/>
  <c r="J297" i="2" a="1"/>
  <c r="I235" i="2" a="1"/>
  <c r="J466" i="2" a="1"/>
  <c r="H35" i="2" a="1"/>
  <c r="J18" i="2" a="1"/>
  <c r="H353" i="2" a="1"/>
  <c r="J187" i="2" a="1"/>
  <c r="I211" i="2" a="1"/>
  <c r="J225" i="2" a="1"/>
  <c r="H181" i="2" a="1"/>
  <c r="I224" i="2" a="1"/>
  <c r="I58" i="2" a="1"/>
  <c r="H113" i="2" a="1"/>
  <c r="H64" i="2" a="1"/>
  <c r="J266" i="2" a="1"/>
  <c r="I397" i="2" a="1"/>
  <c r="H222" i="2" a="1"/>
  <c r="H484" i="2" a="1"/>
  <c r="J148" i="2" a="1"/>
  <c r="J280" i="2" a="1"/>
  <c r="H126" i="2" a="1"/>
  <c r="I229" i="2" a="1"/>
  <c r="J355" i="2" a="1"/>
  <c r="J114" i="2" a="1"/>
  <c r="J468" i="2" a="1"/>
  <c r="I84" i="2" a="1"/>
  <c r="H482" i="2" a="1"/>
  <c r="H359" i="2" a="1"/>
  <c r="I86" i="2" a="1"/>
  <c r="H66" i="2" a="1"/>
  <c r="J218" i="2" a="1"/>
  <c r="H151" i="2" a="1"/>
  <c r="I314" i="2" a="1"/>
  <c r="H119" i="2" a="1"/>
  <c r="H290" i="2" a="1"/>
  <c r="J316" i="2" a="1"/>
  <c r="J197" i="2" a="1"/>
  <c r="H166" i="2" a="1"/>
  <c r="I208" i="2" a="1"/>
  <c r="J230" i="2" a="1"/>
  <c r="J206" i="2" a="1"/>
  <c r="J81" i="2" a="1"/>
  <c r="I236" i="2" a="1"/>
  <c r="I463" i="2" a="1"/>
  <c r="I427" i="2" a="1"/>
  <c r="J428" i="2" a="1"/>
  <c r="J353" i="2" a="1"/>
  <c r="J366" i="2" a="1"/>
  <c r="H187" i="2" a="1"/>
  <c r="I424" i="2" a="1"/>
  <c r="H350" i="2" a="1"/>
  <c r="H225" i="2" a="1"/>
  <c r="H410" i="2" a="1"/>
  <c r="I484" i="2" a="1"/>
  <c r="J235" i="2" a="1"/>
  <c r="J469" i="2" a="1"/>
  <c r="I446" i="2" a="1"/>
  <c r="J477" i="2" a="1"/>
  <c r="I506" i="2" a="1"/>
  <c r="E277" i="2" a="1"/>
  <c r="G243" i="2" a="1"/>
  <c r="F321" i="2" a="1"/>
  <c r="E229" i="2" a="1"/>
  <c r="E62" i="2" a="1"/>
  <c r="H488" i="2" a="1"/>
  <c r="F33" i="2" a="1"/>
  <c r="H494" i="2" a="1"/>
  <c r="I318" i="2" a="1"/>
  <c r="H83" i="2" a="1"/>
  <c r="J380" i="2" a="1"/>
  <c r="J31" i="2" a="1"/>
  <c r="J249" i="2" a="1"/>
  <c r="J22" i="2" a="1"/>
  <c r="H360" i="2" a="1"/>
  <c r="H346" i="2" a="1"/>
  <c r="I467" i="2" a="1"/>
  <c r="I108" i="2" a="1"/>
  <c r="J383" i="2" a="1"/>
  <c r="J426" i="2" a="1"/>
  <c r="H143" i="2" a="1"/>
  <c r="J309" i="2" a="1"/>
  <c r="J141" i="2" a="1"/>
  <c r="I475" i="2" a="1"/>
  <c r="H104" i="2" a="1"/>
  <c r="J473" i="2" a="1"/>
  <c r="I183" i="2" a="1"/>
  <c r="J133" i="2" a="1"/>
  <c r="J13" i="2" a="1"/>
  <c r="I434" i="2" a="1"/>
  <c r="E203" i="2" a="1"/>
  <c r="F92" i="2" a="1"/>
  <c r="G363" i="2" a="1"/>
  <c r="E254" i="2" a="1"/>
  <c r="F272" i="2" a="1"/>
  <c r="I190" i="2" a="1"/>
  <c r="G274" i="2" a="1"/>
  <c r="I95" i="2" a="1"/>
  <c r="I340" i="2" a="1"/>
  <c r="H283" i="2" a="1"/>
  <c r="H157" i="2" a="1"/>
  <c r="H438" i="2" a="1"/>
  <c r="H170" i="2" a="1"/>
  <c r="H241" i="2" a="1"/>
  <c r="H171" i="2" a="1"/>
  <c r="H352" i="2" a="1"/>
  <c r="H487" i="2" a="1"/>
  <c r="J255" i="2" a="1"/>
  <c r="H315" i="2" a="1"/>
  <c r="J506" i="2" a="1"/>
  <c r="J455" i="2" a="1"/>
  <c r="H335" i="2" a="1"/>
  <c r="H261" i="2" a="1"/>
  <c r="J342" i="2" a="1"/>
  <c r="J104" i="2" a="1"/>
  <c r="J84" i="2" a="1"/>
  <c r="H412" i="2" a="1"/>
  <c r="I303" i="2" a="1"/>
  <c r="J273" i="2" a="1"/>
  <c r="I464" i="2" a="1"/>
  <c r="I334" i="2" a="1"/>
  <c r="J300" i="2" a="1"/>
  <c r="H310" i="2" a="1"/>
  <c r="H154" i="2" a="1"/>
  <c r="H49" i="2" a="1"/>
  <c r="I329" i="2" a="1"/>
  <c r="J149" i="2" a="1"/>
  <c r="H23" i="2" a="1"/>
  <c r="J40" i="2" a="1"/>
  <c r="H128" i="2" a="1"/>
  <c r="H269" i="2" a="1"/>
  <c r="H80" i="2" a="1"/>
  <c r="H2" i="2" a="1"/>
  <c r="H41" i="2" a="1"/>
  <c r="J290" i="2" a="1"/>
  <c r="I13" i="2" a="1"/>
  <c r="I153" i="2" a="1"/>
  <c r="H226" i="2" a="1"/>
  <c r="J427" i="2" a="1"/>
  <c r="I177" i="2" a="1"/>
  <c r="I103" i="2" a="1"/>
  <c r="I466" i="2" a="1"/>
  <c r="I198" i="2" a="1"/>
  <c r="J227" i="2" a="1"/>
  <c r="I338" i="2" a="1"/>
  <c r="H91" i="2" a="1"/>
  <c r="J64" i="2" a="1"/>
  <c r="J242" i="2" a="1"/>
  <c r="H381" i="2" a="1"/>
  <c r="I465" i="2" a="1"/>
  <c r="J113" i="2" a="1"/>
  <c r="I243" i="2" a="1"/>
  <c r="J465" i="2" a="1"/>
  <c r="I301" i="2" a="1"/>
  <c r="H304" i="2" a="1"/>
  <c r="I304" i="2" a="1"/>
  <c r="J286" i="2" a="1"/>
  <c r="I148" i="2" a="1"/>
  <c r="J239" i="2" a="1"/>
  <c r="J370" i="2" a="1"/>
  <c r="I126" i="2" a="1"/>
  <c r="I263" i="2" a="1"/>
  <c r="I353" i="2" a="1"/>
  <c r="J236" i="2" a="1"/>
  <c r="J198" i="2" a="1"/>
  <c r="J19" i="2" a="1"/>
  <c r="J361" i="2" a="1"/>
  <c r="I64" i="2" a="1"/>
  <c r="I5" i="2" a="1"/>
  <c r="J182" i="2" a="1"/>
  <c r="H504" i="2" a="1"/>
  <c r="H186" i="2" a="1"/>
  <c r="H389" i="2" a="1"/>
  <c r="J192" i="2" a="1"/>
  <c r="G137" i="2" a="1"/>
  <c r="G132" i="2" a="1"/>
  <c r="E135" i="2" a="1"/>
  <c r="F290" i="2" a="1"/>
  <c r="H308" i="2" a="1"/>
  <c r="I44" i="2" a="1"/>
  <c r="F472" i="2" a="1"/>
  <c r="H36" i="2" a="1"/>
  <c r="I110" i="2" a="1"/>
  <c r="J83" i="2" a="1"/>
  <c r="H460" i="2" a="1"/>
  <c r="I377" i="2" a="1"/>
  <c r="J332" i="2" a="1"/>
  <c r="I231" i="2" a="1"/>
  <c r="J37" i="2" a="1"/>
  <c r="I3" i="2" a="1"/>
  <c r="H472" i="2" a="1"/>
  <c r="J472" i="2" a="1"/>
  <c r="I493" i="2" a="1"/>
  <c r="H62" i="2" a="1"/>
  <c r="H476" i="2" a="1"/>
  <c r="I196" i="2" a="1"/>
  <c r="H415" i="2" a="1"/>
  <c r="H178" i="2" a="1"/>
  <c r="I271" i="2" a="1"/>
  <c r="H247" i="2" a="1"/>
  <c r="I150" i="2" a="1"/>
  <c r="I207" i="2" a="1"/>
  <c r="J362" i="2" a="1"/>
  <c r="I359" i="2" a="1"/>
  <c r="H75" i="2" a="1"/>
  <c r="I358" i="2" a="1"/>
  <c r="J219" i="2" a="1"/>
  <c r="J430" i="2" a="1"/>
  <c r="J405" i="2" a="1"/>
  <c r="J66" i="2" a="1"/>
  <c r="J310" i="2" a="1"/>
  <c r="J276" i="2" a="1"/>
  <c r="I17" i="2" a="1"/>
  <c r="I216" i="2" a="1"/>
  <c r="H268" i="2" a="1"/>
  <c r="I496" i="2" a="1"/>
  <c r="I316" i="2" a="1"/>
  <c r="I80" i="2" a="1"/>
  <c r="H206" i="2" a="1"/>
  <c r="J295" i="2" a="1"/>
  <c r="H216" i="2" a="1"/>
  <c r="I357" i="2" a="1"/>
  <c r="I115" i="2" a="1"/>
  <c r="G503" i="2" a="1"/>
  <c r="E139" i="2" a="1"/>
  <c r="E408" i="2" a="1"/>
  <c r="F122" i="2" a="1"/>
  <c r="H313" i="2" a="1"/>
  <c r="G472" i="2" a="1"/>
  <c r="F138" i="2" a="1"/>
  <c r="J47" i="2" a="1"/>
  <c r="H76" i="2" a="1"/>
  <c r="H71" i="2" a="1"/>
  <c r="J6" i="2" a="1"/>
  <c r="I89" i="2" a="1"/>
  <c r="J421" i="2" a="1"/>
  <c r="J57" i="2" a="1"/>
  <c r="J352" i="2" a="1"/>
  <c r="J278" i="2" a="1"/>
  <c r="H392" i="2" a="1"/>
  <c r="H136" i="2" a="1"/>
  <c r="H426" i="2" a="1"/>
  <c r="H309" i="2" a="1"/>
  <c r="J146" i="2" a="1"/>
  <c r="J397" i="2" a="1"/>
  <c r="F235" i="2" a="1"/>
  <c r="G257" i="2" a="1"/>
  <c r="G221" i="2" a="1"/>
  <c r="E304" i="2" a="1"/>
  <c r="F388" i="2" a="1"/>
  <c r="J498" i="2" a="1"/>
  <c r="E58" i="2" a="1"/>
  <c r="I201" i="2" a="1"/>
  <c r="I348" i="2" a="1"/>
  <c r="H351" i="2" a="1"/>
  <c r="I480" i="2" a="1"/>
  <c r="H109" i="2" a="1"/>
  <c r="J157" i="2" a="1"/>
  <c r="H138" i="2" a="1"/>
  <c r="J173" i="2" a="1"/>
  <c r="I330" i="2" a="1"/>
  <c r="I487" i="2" a="1"/>
  <c r="J392" i="2" a="1"/>
  <c r="J102" i="2" a="1"/>
  <c r="I324" i="2" a="1"/>
  <c r="J349" i="2" a="1"/>
  <c r="H96" i="2" a="1"/>
  <c r="H141" i="2" a="1"/>
  <c r="H294" i="2" a="1"/>
  <c r="H101" i="2" a="1"/>
  <c r="H77" i="2" a="1"/>
  <c r="I79" i="2" a="1"/>
  <c r="H429" i="2" a="1"/>
  <c r="H362" i="2" a="1"/>
  <c r="J317" i="2" a="1"/>
  <c r="H90" i="2" a="1"/>
  <c r="I257" i="2" a="1"/>
  <c r="J314" i="2" a="1"/>
  <c r="J221" i="2" a="1"/>
  <c r="J299" i="2" a="1"/>
  <c r="I344" i="2" a="1"/>
  <c r="H56" i="2" a="1"/>
  <c r="H433" i="2" a="1"/>
  <c r="I63" i="2" a="1"/>
  <c r="H228" i="2" a="1"/>
  <c r="I128" i="2" a="1"/>
  <c r="I268" i="2" a="1"/>
  <c r="J106" i="2" a="1"/>
  <c r="J78" i="2" a="1"/>
  <c r="I290" i="2" a="1"/>
  <c r="H145" i="2" a="1"/>
  <c r="I226" i="2" a="1"/>
  <c r="H88" i="2" a="1"/>
  <c r="H227" i="2" a="1"/>
  <c r="I297" i="2" a="1"/>
  <c r="I202" i="2" a="1"/>
  <c r="J389" i="2" a="1"/>
  <c r="H115" i="2" a="1"/>
  <c r="H169" i="2" a="1"/>
  <c r="J260" i="2" a="1"/>
  <c r="I35" i="2" a="1"/>
  <c r="I381" i="2" a="1"/>
  <c r="H27" i="2" a="1"/>
  <c r="I27" i="2" a="1"/>
  <c r="I181" i="2" a="1"/>
  <c r="J325" i="2" a="1"/>
  <c r="I422" i="2" a="1"/>
  <c r="H425" i="2" a="1"/>
  <c r="J301" i="2" a="1"/>
  <c r="H180" i="2" a="1"/>
  <c r="J205" i="2" a="1"/>
  <c r="H336" i="2" a="1"/>
  <c r="I497" i="2" a="1"/>
  <c r="I100" i="2" a="1"/>
  <c r="I281" i="2" a="1"/>
  <c r="J229" i="2" a="1"/>
  <c r="H263" i="2" a="1"/>
  <c r="H208" i="2" a="1"/>
  <c r="H202" i="2" a="1"/>
  <c r="H210" i="2" a="1"/>
  <c r="J180" i="2" a="1"/>
  <c r="J28" i="2" a="1"/>
  <c r="J4" i="2" a="1"/>
  <c r="H18" i="2" a="1"/>
  <c r="J26" i="2" a="1"/>
  <c r="I225" i="2" a="1"/>
  <c r="H399" i="2" a="1"/>
  <c r="J337" i="2" a="1"/>
  <c r="H370" i="2" a="1"/>
  <c r="H211" i="2" a="1"/>
  <c r="H325" i="2" a="1"/>
  <c r="I262" i="2" a="1"/>
  <c r="J175" i="2" a="1"/>
  <c r="H79" i="2" a="1"/>
  <c r="I184" i="2" a="1"/>
  <c r="I242" i="2" a="1"/>
  <c r="H159" i="2" a="1"/>
  <c r="H280" i="2" a="1"/>
  <c r="H355" i="2" a="1"/>
  <c r="J410" i="2" a="1"/>
  <c r="H271" i="2" a="1"/>
  <c r="I371" i="2" a="1"/>
  <c r="H232" i="2" a="1"/>
  <c r="I288" i="2" a="1"/>
  <c r="J463" i="2" a="1"/>
  <c r="I93" i="2" a="1"/>
  <c r="H148" i="2" a="1"/>
  <c r="I364" i="2" a="1"/>
  <c r="F255" i="2" a="1"/>
  <c r="G59" i="2" a="1"/>
  <c r="F71" i="2" a="1"/>
  <c r="G471" i="2" a="1"/>
  <c r="E146" i="2" a="1"/>
  <c r="J174" i="2" a="1"/>
  <c r="F156" i="2" a="1"/>
  <c r="H158" i="2" a="1"/>
  <c r="H287" i="2" a="1"/>
  <c r="I351" i="2" a="1"/>
  <c r="I396" i="2" a="1"/>
  <c r="H67" i="2" a="1"/>
  <c r="I241" i="2" a="1"/>
  <c r="I188" i="2" a="1"/>
  <c r="I111" i="2" a="1"/>
  <c r="I443" i="2" a="1"/>
  <c r="J51" i="2" a="1"/>
  <c r="I10" i="2" a="1"/>
  <c r="I252" i="2" a="1"/>
  <c r="J485" i="2" a="1"/>
  <c r="H196" i="2" a="1"/>
  <c r="J32" i="2" a="1"/>
  <c r="H490" i="2" a="1"/>
  <c r="I342" i="2" a="1"/>
  <c r="H382" i="2" a="1"/>
  <c r="J303" i="2" a="1"/>
  <c r="J271" i="2" a="1"/>
  <c r="H68" i="2" a="1"/>
  <c r="H317" i="2" a="1"/>
  <c r="I75" i="2" a="1"/>
  <c r="J334" i="2" a="1"/>
  <c r="I405" i="2" a="1"/>
  <c r="H284" i="2" a="1"/>
  <c r="I447" i="2" a="1"/>
  <c r="J183" i="2" a="1"/>
  <c r="J119" i="2" a="1"/>
  <c r="H131" i="2" a="1"/>
  <c r="J358" i="2" a="1"/>
  <c r="I259" i="2" a="1"/>
  <c r="H133" i="2" a="1"/>
  <c r="J99" i="2" a="1"/>
  <c r="J73" i="2" a="1"/>
  <c r="H322" i="2" a="1"/>
  <c r="H99" i="2" a="1"/>
  <c r="J166" i="2" a="1"/>
  <c r="I206" i="2" a="1"/>
  <c r="H17" i="2" a="1"/>
  <c r="J232" i="2" a="1"/>
  <c r="H19" i="2" a="1"/>
  <c r="J70" i="2" a="1"/>
  <c r="J60" i="2" a="1"/>
  <c r="J115" i="2" a="1"/>
  <c r="I363" i="2" a="1"/>
  <c r="I428" i="2" a="1"/>
  <c r="H142" i="2" a="1"/>
  <c r="I19" i="2" a="1"/>
  <c r="I479" i="2" a="1"/>
  <c r="J350" i="2" a="1"/>
  <c r="H135" i="2" a="1"/>
  <c r="J74" i="2" a="1"/>
  <c r="I469" i="2" a="1"/>
  <c r="J312" i="2" a="1"/>
  <c r="H446" i="2" a="1"/>
  <c r="J9" i="2" a="1"/>
  <c r="H394" i="2" a="1"/>
  <c r="I9" i="2" a="1"/>
  <c r="H339" i="2" a="1"/>
  <c r="J339" i="2" a="1"/>
  <c r="H100" i="2" a="1"/>
  <c r="H364" i="2" a="1"/>
  <c r="I370" i="2" a="1"/>
  <c r="J215" i="2" a="1"/>
  <c r="H153" i="2" a="1"/>
  <c r="I387" i="2" a="1"/>
  <c r="J145" i="2" a="1"/>
  <c r="I214" i="2" a="1"/>
  <c r="J202" i="2" a="1"/>
  <c r="J250" i="2" a="1"/>
  <c r="H236" i="2" a="1"/>
  <c r="J210" i="2" a="1"/>
  <c r="I85" i="2" a="1"/>
  <c r="I437" i="2" a="1"/>
  <c r="I454" i="2" a="1"/>
  <c r="I410" i="2" a="1"/>
  <c r="I339" i="2" a="1"/>
  <c r="J497" i="2" a="1"/>
  <c r="I400" i="2" a="1"/>
  <c r="I15" i="2" a="1"/>
  <c r="H437" i="2" a="1"/>
  <c r="I222" i="2" a="1"/>
  <c r="H163" i="2" a="1"/>
  <c r="I309" i="2" a="1"/>
  <c r="I77" i="2" a="1"/>
  <c r="H432" i="2" a="1"/>
  <c r="I299" i="2" a="1"/>
  <c r="I152" i="2" a="1"/>
  <c r="H466" i="2" a="1"/>
  <c r="J159" i="2" a="1"/>
  <c r="J163" i="2" a="1"/>
  <c r="J424" i="2" a="1"/>
  <c r="J135" i="2" a="1"/>
  <c r="I374" i="2" a="1"/>
  <c r="H15" i="2" a="1"/>
  <c r="I114" i="2" a="1"/>
  <c r="I492" i="2" a="1"/>
  <c r="J228" i="2" a="1"/>
  <c r="I250" i="2" a="1"/>
  <c r="H366" i="2" a="1"/>
  <c r="I389" i="2" a="1"/>
  <c r="I325" i="2" a="1"/>
  <c r="H424" i="2" a="1"/>
  <c r="H9" i="2" a="1"/>
  <c r="H229" i="2" a="1"/>
  <c r="J437" i="2" a="1"/>
  <c r="J15" i="2" a="1"/>
  <c r="H365" i="2" a="1"/>
  <c r="E379" i="2" a="1"/>
  <c r="F59" i="2" a="1"/>
  <c r="E458" i="2" a="1"/>
  <c r="E73" i="2" a="1"/>
  <c r="E24" i="2" a="1"/>
  <c r="H347" i="2" a="1"/>
  <c r="G156" i="2" a="1"/>
  <c r="J379" i="2" a="1"/>
  <c r="H172" i="2" a="1"/>
  <c r="I491" i="2" a="1"/>
  <c r="I411" i="2" a="1"/>
  <c r="J411" i="2" a="1"/>
  <c r="H267" i="2" a="1"/>
  <c r="H278" i="2" a="1"/>
  <c r="J279" i="2" a="1"/>
  <c r="J234" i="2" a="1"/>
  <c r="J503" i="2" a="1"/>
  <c r="J108" i="2" a="1"/>
  <c r="I461" i="2" a="1"/>
  <c r="H349" i="2" a="1"/>
  <c r="H123" i="2" a="1"/>
  <c r="J196" i="2" a="1"/>
  <c r="I164" i="2" a="1"/>
  <c r="I178" i="2" a="1"/>
  <c r="J505" i="2" a="1"/>
  <c r="J471" i="2" a="1"/>
  <c r="J382" i="2" a="1"/>
  <c r="H475" i="2" a="1"/>
  <c r="I162" i="2" a="1"/>
  <c r="J244" i="2" a="1"/>
  <c r="J86" i="2" a="1"/>
  <c r="H149" i="2" a="1"/>
  <c r="J432" i="2" a="1"/>
  <c r="I293" i="2" a="1"/>
  <c r="I49" i="2" a="1"/>
  <c r="I473" i="2" a="1"/>
  <c r="H300" i="2" a="1"/>
  <c r="I320" i="2" a="1"/>
  <c r="H78" i="2" a="1"/>
  <c r="J282" i="2" a="1"/>
  <c r="H274" i="2" a="1"/>
  <c r="H259" i="2" a="1"/>
  <c r="J434" i="2" a="1"/>
  <c r="I245" i="2" a="1"/>
  <c r="J504" i="2" a="1"/>
  <c r="H217" i="2" a="1"/>
  <c r="I52" i="2" a="1"/>
  <c r="H260" i="2" a="1"/>
  <c r="H81" i="2" a="1"/>
  <c r="I192" i="2" a="1"/>
  <c r="J193" i="2" a="1"/>
  <c r="H26" i="2" a="1"/>
  <c r="H374" i="2" a="1"/>
  <c r="I74" i="2" a="1"/>
  <c r="I280" i="2" a="1"/>
  <c r="H203" i="2" a="1"/>
  <c r="J263" i="2" a="1"/>
  <c r="J203" i="2" a="1"/>
  <c r="H4" i="2" a="1"/>
  <c r="I365" i="2" a="1"/>
  <c r="J483" i="2" a="1"/>
  <c r="I336" i="2" a="1"/>
  <c r="I388" i="2" a="1"/>
  <c r="H400" i="2" a="1"/>
  <c r="H215" i="2" a="1"/>
  <c r="I104" i="2" a="1"/>
  <c r="H156" i="2" a="1"/>
  <c r="J387" i="2" a="1"/>
  <c r="H60" i="2" a="1"/>
  <c r="I18" i="2" a="1"/>
  <c r="J185" i="2" a="1"/>
  <c r="H193" i="2" a="1"/>
  <c r="I180" i="2" a="1"/>
  <c r="I477" i="2" a="1"/>
  <c r="J365" i="2" a="1"/>
  <c r="H427" i="2" a="1"/>
  <c r="H52" i="2" a="1"/>
  <c r="J425" i="2" a="1"/>
  <c r="J144" i="2" a="1"/>
  <c r="I355" i="2" a="1"/>
  <c r="H224" i="2" a="1"/>
  <c r="I505" i="2" a="1"/>
  <c r="I237" i="2" a="1"/>
  <c r="H341" i="2" a="1"/>
  <c r="H414" i="2" a="1"/>
  <c r="J245" i="2" a="1"/>
  <c r="I186" i="2" a="1"/>
  <c r="H298" i="2" a="1"/>
  <c r="J217" i="2" a="1"/>
  <c r="I445" i="2" a="1"/>
  <c r="I210" i="2" a="1"/>
  <c r="I337" i="2" a="1"/>
  <c r="H404" i="2" a="1"/>
  <c r="J448" i="2" a="1"/>
  <c r="I482" i="2" a="1"/>
  <c r="I432" i="2" a="1"/>
  <c r="H230" i="2" a="1"/>
  <c r="I41" i="2" a="1"/>
  <c r="J142" i="2" a="1"/>
  <c r="I187" i="2" a="1"/>
  <c r="E177" i="2" a="1"/>
  <c r="E436" i="2" a="1"/>
  <c r="F44" i="2" a="1"/>
  <c r="G307" i="2" a="1"/>
  <c r="F329" i="2" a="1"/>
  <c r="I174" i="2" a="1"/>
  <c r="F359" i="2" a="1"/>
  <c r="H345" i="2" a="1"/>
  <c r="I82" i="2" a="1"/>
  <c r="H129" i="2" a="1"/>
  <c r="H147" i="2" a="1"/>
  <c r="I170" i="2" a="1"/>
  <c r="H189" i="2" a="1"/>
  <c r="I57" i="2" a="1"/>
  <c r="H453" i="2" a="1"/>
  <c r="I384" i="2" a="1"/>
  <c r="I136" i="2" a="1"/>
  <c r="H38" i="2" a="1"/>
  <c r="I390" i="2" a="1"/>
  <c r="I383" i="2" a="1"/>
  <c r="I143" i="2" a="1"/>
  <c r="I62" i="2" a="1"/>
  <c r="H448" i="2" a="1"/>
  <c r="H409" i="2" a="1"/>
  <c r="H220" i="2" a="1"/>
  <c r="I101" i="2" a="1"/>
  <c r="I323" i="2" a="1"/>
  <c r="H273" i="2" a="1"/>
  <c r="H200" i="2" a="1"/>
  <c r="H86" i="2" a="1"/>
  <c r="I16" i="2" a="1"/>
  <c r="I182" i="2" a="1"/>
  <c r="H456" i="2" a="1"/>
  <c r="I430" i="2" a="1"/>
  <c r="H473" i="2" a="1"/>
  <c r="I209" i="2" a="1"/>
  <c r="H344" i="2" a="1"/>
  <c r="J293" i="2" a="1"/>
  <c r="H13" i="2" a="1"/>
  <c r="J63" i="2" a="1"/>
  <c r="J233" i="2" a="1"/>
  <c r="H316" i="2" a="1"/>
  <c r="I20" i="2" a="1"/>
  <c r="J289" i="2" a="1"/>
  <c r="H106" i="2" a="1"/>
  <c r="J406" i="2" a="1"/>
  <c r="H496" i="2" a="1"/>
  <c r="J20" i="2" a="1"/>
  <c r="J52" i="2" a="1"/>
  <c r="H250" i="2" a="1"/>
  <c r="I366" i="2" a="1"/>
  <c r="H288" i="2" a="1"/>
  <c r="J214" i="2" a="1"/>
  <c r="J423" i="2" a="1"/>
  <c r="H214" i="2" a="1"/>
  <c r="J27" i="2" a="1"/>
  <c r="H144" i="2" a="1"/>
  <c r="I87" i="2" a="1"/>
  <c r="J422" i="2" a="1"/>
  <c r="I385" i="2" a="1"/>
  <c r="J211" i="2" a="1"/>
  <c r="I135" i="2" a="1"/>
  <c r="I272" i="2" a="1"/>
  <c r="J304" i="2" a="1"/>
  <c r="H301" i="2" a="1"/>
  <c r="H454" i="2" a="1"/>
  <c r="H337" i="2" a="1"/>
  <c r="I239" i="2" a="1"/>
  <c r="J143" i="2" a="1"/>
  <c r="I294" i="2" a="1"/>
  <c r="H213" i="2" a="1"/>
  <c r="J220" i="2" a="1"/>
  <c r="H407" i="2" a="1"/>
  <c r="H489" i="2" a="1"/>
  <c r="J125" i="2" a="1"/>
  <c r="H240" i="2" a="1"/>
  <c r="I266" i="2" a="1"/>
  <c r="E152" i="2" a="1"/>
  <c r="G236" i="2" a="1"/>
  <c r="F77" i="2" a="1"/>
  <c r="G423" i="2" a="1"/>
  <c r="E388" i="2" a="1"/>
  <c r="G23" i="2" a="1"/>
  <c r="J408" i="2" a="1"/>
  <c r="H307" i="2" a="1"/>
  <c r="J452" i="2" a="1"/>
  <c r="I39" i="2" a="1"/>
  <c r="H34" i="2" a="1"/>
  <c r="J170" i="2" a="1"/>
  <c r="J333" i="2" a="1"/>
  <c r="J258" i="2" a="1"/>
  <c r="I346" i="2" a="1"/>
  <c r="H53" i="2" a="1"/>
  <c r="H55" i="2" a="1"/>
  <c r="J451" i="2" a="1"/>
  <c r="H343" i="2" a="1"/>
  <c r="J62" i="2" a="1"/>
  <c r="H493" i="2" a="1"/>
  <c r="H175" i="2" a="1"/>
  <c r="J415" i="2" a="1"/>
  <c r="I195" i="2" a="1"/>
  <c r="H468" i="2" a="1"/>
  <c r="J48" i="2" a="1"/>
  <c r="J112" i="2" a="1"/>
  <c r="H471" i="2" a="1"/>
  <c r="I317" i="2" a="1"/>
  <c r="J75" i="2" a="1"/>
  <c r="I367" i="2" a="1"/>
  <c r="I23" i="2" a="1"/>
  <c r="I218" i="2" a="1"/>
  <c r="H447" i="2" a="1"/>
  <c r="H139" i="2" a="1"/>
  <c r="J209" i="2" a="1"/>
  <c r="I29" i="2" a="1"/>
  <c r="H257" i="2" a="1"/>
  <c r="J357" i="2" a="1"/>
  <c r="H434" i="2" a="1"/>
  <c r="H282" i="2" a="1"/>
  <c r="H125" i="2" a="1"/>
  <c r="J41" i="2" a="1"/>
  <c r="H65" i="2" a="1"/>
  <c r="J88" i="2" a="1"/>
  <c r="H238" i="2" a="1"/>
  <c r="H403" i="2" a="1"/>
  <c r="I78" i="2" a="1"/>
  <c r="H103" i="2" a="1"/>
  <c r="J169" i="2" a="1"/>
  <c r="I227" i="2" a="1"/>
  <c r="I298" i="2" a="1"/>
  <c r="H72" i="2" a="1"/>
  <c r="H198" i="2" a="1"/>
  <c r="I169" i="2" a="1"/>
  <c r="J470" i="2" a="1"/>
  <c r="J240" i="2" a="1"/>
  <c r="I459" i="2" a="1"/>
  <c r="J381" i="2" a="1"/>
  <c r="J85" i="2" a="1"/>
  <c r="J479" i="2" a="1"/>
  <c r="J385" i="2" a="1"/>
  <c r="H243" i="2" a="1"/>
  <c r="I179" i="2" a="1"/>
  <c r="H443" i="2" a="1"/>
  <c r="H132" i="2" a="1"/>
  <c r="H252" i="2" a="1"/>
  <c r="I30" i="2" a="1"/>
  <c r="J359" i="2" a="1"/>
  <c r="I21" i="2" a="1"/>
  <c r="H358" i="2" a="1"/>
  <c r="I310" i="2" a="1"/>
  <c r="I69" i="2" a="1"/>
  <c r="I444" i="2" a="1"/>
  <c r="I145" i="2" a="1"/>
  <c r="H357" i="2" a="1"/>
  <c r="I81" i="2" a="1"/>
  <c r="H500" i="2" a="1"/>
  <c r="H361" i="2" a="1"/>
  <c r="J306" i="2" a="1"/>
  <c r="J181" i="2" a="1"/>
  <c r="I260" i="2" a="1"/>
  <c r="I163" i="2" a="1"/>
  <c r="J152" i="2" a="1"/>
  <c r="J486" i="2" a="1"/>
  <c r="J493" i="2" a="1"/>
  <c r="H7" i="2" a="1"/>
  <c r="I470" i="2" a="1"/>
  <c r="H477" i="2" a="1"/>
  <c r="I215" i="2" a="1"/>
  <c r="H306" i="2" a="1"/>
  <c r="H28" i="2" a="1"/>
  <c r="H281" i="2" a="1"/>
  <c r="I486" i="2" a="1"/>
  <c r="J101" i="2" a="1"/>
  <c r="J464" i="2" a="1"/>
  <c r="J341" i="2" a="1"/>
  <c r="H45" i="2" a="1"/>
  <c r="I88" i="2" a="1"/>
  <c r="I60" i="2" a="1"/>
  <c r="H185" i="2" a="1"/>
  <c r="I394" i="2" a="1"/>
  <c r="J100" i="2" a="1"/>
  <c r="E88" i="2" a="1"/>
  <c r="E318" i="2" a="1"/>
  <c r="E267" i="2" a="1"/>
  <c r="G115" i="2" a="1"/>
  <c r="E348" i="2" a="1"/>
  <c r="J419" i="2" a="1"/>
  <c r="I122" i="2" a="1"/>
  <c r="J134" i="2" a="1"/>
  <c r="J246" i="2" a="1"/>
  <c r="H270" i="2" a="1"/>
  <c r="I67" i="2" a="1"/>
  <c r="H421" i="2" a="1"/>
  <c r="I204" i="2" a="1"/>
  <c r="H330" i="2" a="1"/>
  <c r="I121" i="2" a="1"/>
  <c r="I503" i="2" a="1"/>
  <c r="I275" i="2" a="1"/>
  <c r="I284" i="2" a="1"/>
  <c r="J238" i="2" a="1"/>
  <c r="J274" i="2" a="1"/>
  <c r="J402" i="2" a="1"/>
  <c r="I361" i="2" a="1"/>
  <c r="J93" i="2" a="1"/>
  <c r="H465" i="2" a="1"/>
  <c r="J404" i="2" a="1"/>
  <c r="H242" i="2" a="1"/>
  <c r="J224" i="2" a="1"/>
  <c r="G494" i="2" a="1"/>
  <c r="E124" i="2" a="1"/>
  <c r="F267" i="2" a="1"/>
  <c r="G340" i="2" a="1"/>
  <c r="G388" i="2" a="1"/>
  <c r="E33" i="2" a="1"/>
  <c r="J122" i="2" a="1"/>
  <c r="H201" i="2" a="1"/>
  <c r="I107" i="2" a="1"/>
  <c r="I129" i="2" a="1"/>
  <c r="H6" i="2" a="1"/>
  <c r="J305" i="2" a="1"/>
  <c r="H22" i="2" a="1"/>
  <c r="J495" i="2" a="1"/>
  <c r="I352" i="2" a="1"/>
  <c r="I130" i="2" a="1"/>
  <c r="H10" i="2" a="1"/>
  <c r="J285" i="2" a="1"/>
  <c r="H32" i="2" a="1"/>
  <c r="I117" i="2" a="1"/>
  <c r="I102" i="2" a="1"/>
  <c r="I261" i="2" a="1"/>
  <c r="J30" i="2" a="1"/>
  <c r="H342" i="2" a="1"/>
  <c r="H112" i="2" a="1"/>
  <c r="J7" i="2" a="1"/>
  <c r="I362" i="2" a="1"/>
  <c r="H24" i="2" a="1"/>
  <c r="H418" i="2" a="1"/>
  <c r="J367" i="2" a="1"/>
  <c r="I149" i="2" a="1"/>
  <c r="H219" i="2" a="1"/>
  <c r="J23" i="2" a="1"/>
  <c r="H29" i="2" a="1"/>
  <c r="J61" i="2" a="1"/>
  <c r="J131" i="2" a="1"/>
  <c r="J92" i="2" a="1"/>
  <c r="J237" i="2" a="1"/>
  <c r="I269" i="2" a="1"/>
  <c r="J268" i="2" a="1"/>
  <c r="J153" i="2" a="1"/>
  <c r="J403" i="2" a="1"/>
  <c r="I414" i="2" a="1"/>
  <c r="I238" i="2" a="1"/>
  <c r="I295" i="2" a="1"/>
  <c r="J80" i="2" a="1"/>
  <c r="H402" i="2" a="1"/>
  <c r="J322" i="2" a="1"/>
  <c r="I499" i="2" a="1"/>
  <c r="I423" i="2" a="1"/>
  <c r="I312" i="2" a="1"/>
  <c r="I350" i="2" a="1"/>
  <c r="J394" i="2" a="1"/>
  <c r="H486" i="2" a="1"/>
  <c r="J222" i="2" a="1"/>
  <c r="I273" i="2" a="1"/>
  <c r="I300" i="2" a="1"/>
  <c r="J269" i="2" a="1"/>
  <c r="I166" i="2" a="1"/>
  <c r="H478" i="2" a="1"/>
  <c r="H459" i="2" a="1"/>
  <c r="H179" i="2" a="1"/>
  <c r="J126" i="2" a="1"/>
  <c r="I456" i="2" a="1"/>
  <c r="H155" i="2" a="1"/>
  <c r="G83" i="2" a="1"/>
  <c r="G334" i="2" a="1"/>
  <c r="E207" i="2" a="1"/>
  <c r="I420" i="2" a="1"/>
  <c r="I401" i="2" a="1"/>
  <c r="J302" i="2" a="1"/>
  <c r="H120" i="2" a="1"/>
  <c r="I345" i="2" a="1"/>
  <c r="I246" i="2" a="1"/>
  <c r="I167" i="2" a="1"/>
  <c r="H480" i="2" a="1"/>
  <c r="I6" i="2" a="1"/>
  <c r="H369" i="2" a="1"/>
  <c r="J296" i="2" a="1"/>
  <c r="J453" i="2" a="1"/>
  <c r="J467" i="2" a="1"/>
  <c r="I451" i="2" a="1"/>
  <c r="H467" i="2" a="1"/>
  <c r="H383" i="2" a="1"/>
  <c r="I96" i="2" a="1"/>
  <c r="H102" i="2" a="1"/>
  <c r="J164" i="2" a="1"/>
  <c r="H5" i="2" a="1"/>
  <c r="H195" i="2" a="1"/>
  <c r="I382" i="2" a="1"/>
  <c r="I256" i="2" a="1"/>
  <c r="I112" i="2" a="1"/>
  <c r="J256" i="2" a="1"/>
  <c r="H137" i="2" a="1"/>
  <c r="I407" i="2" a="1"/>
  <c r="J139" i="2" a="1"/>
  <c r="H276" i="2" a="1"/>
  <c r="I61" i="2" a="1"/>
  <c r="J59" i="2" a="1"/>
  <c r="H59" i="2" a="1"/>
  <c r="J329" i="2" a="1"/>
  <c r="H92" i="2" a="1"/>
  <c r="I92" i="2" a="1"/>
  <c r="I289" i="2" a="1"/>
  <c r="J128" i="2" a="1"/>
  <c r="I406" i="2" a="1"/>
  <c r="I65" i="2" a="1"/>
  <c r="J17" i="2" a="1"/>
  <c r="H387" i="2" a="1"/>
  <c r="H233" i="2" a="1"/>
  <c r="J69" i="2" a="1"/>
  <c r="H197" i="2" a="1"/>
  <c r="H492" i="2" a="1"/>
  <c r="J288" i="2" a="1"/>
  <c r="H423" i="2" a="1"/>
  <c r="I70" i="2" a="1"/>
  <c r="I72" i="2" a="1"/>
  <c r="J478" i="2" a="1"/>
  <c r="I217" i="2" a="1"/>
  <c r="I142" i="2" a="1"/>
  <c r="H87" i="2" a="1"/>
  <c r="H312" i="2" a="1"/>
  <c r="I483" i="2" a="1"/>
  <c r="I286" i="2" a="1"/>
  <c r="J281" i="2" a="1"/>
  <c r="I155" i="2" a="1"/>
  <c r="I141" i="2" a="1"/>
  <c r="J56" i="2" a="1"/>
  <c r="I131" i="2" a="1"/>
  <c r="H177" i="2" a="1"/>
  <c r="I144" i="2" a="1"/>
  <c r="J336" i="2" a="1"/>
  <c r="H497" i="2" a="1"/>
  <c r="J179" i="2" a="1"/>
  <c r="J272" i="2" a="1"/>
  <c r="I159" i="2" a="1"/>
  <c r="J262" i="2" a="1"/>
  <c r="H254" i="2" a="1"/>
  <c r="I219" i="2" a="1"/>
  <c r="I185" i="2" a="1"/>
  <c r="G395" i="2" a="1"/>
  <c r="G19" i="2" a="1"/>
  <c r="F307" i="2" a="1"/>
  <c r="F444" i="2" a="1"/>
  <c r="H253" i="2" a="1"/>
  <c r="G213" i="2" a="1"/>
  <c r="H436" i="2" a="1"/>
  <c r="J110" i="2" a="1"/>
  <c r="J287" i="2" a="1"/>
  <c r="I287" i="2" a="1"/>
  <c r="H377" i="2" a="1"/>
  <c r="I305" i="2" a="1"/>
  <c r="H204" i="2" a="1"/>
  <c r="H291" i="2" a="1"/>
  <c r="H375" i="2" a="1"/>
  <c r="J398" i="2" a="1"/>
  <c r="H51" i="2" a="1"/>
  <c r="I285" i="2" a="1"/>
  <c r="I146" i="2" a="1"/>
  <c r="I349" i="2" a="1"/>
  <c r="I335" i="2" a="1"/>
  <c r="H356" i="2" a="1"/>
  <c r="I409" i="2" a="1"/>
  <c r="H114" i="2" a="1"/>
  <c r="H207" i="2" a="1"/>
  <c r="I429" i="2" a="1"/>
  <c r="H84" i="2" a="1"/>
  <c r="I376" i="2" a="1"/>
  <c r="J200" i="2" a="1"/>
  <c r="H16" i="2" a="1"/>
  <c r="J156" i="2" a="1"/>
  <c r="J489" i="2" a="1"/>
  <c r="J176" i="2" a="1"/>
  <c r="J184" i="2" a="1"/>
  <c r="H209" i="2" a="1"/>
  <c r="H293" i="2" a="1"/>
  <c r="I59" i="2" a="1"/>
  <c r="H184" i="2" a="1"/>
  <c r="I232" i="2" a="1"/>
  <c r="I441" i="2" a="1"/>
  <c r="I40" i="2" a="1"/>
  <c r="H69" i="2" a="1"/>
  <c r="J496" i="2" a="1"/>
  <c r="I125" i="2" a="1"/>
  <c r="I233" i="2" a="1"/>
  <c r="H406" i="2" a="1"/>
  <c r="H295" i="2" a="1"/>
  <c r="H70" i="2" a="1"/>
  <c r="H363" i="2" a="1"/>
  <c r="J177" i="2" a="1"/>
  <c r="I500" i="2" a="1"/>
  <c r="H428" i="2" a="1"/>
  <c r="J338" i="2" a="1"/>
  <c r="H297" i="2" a="1"/>
  <c r="J103" i="2" a="1"/>
  <c r="H58" i="2" a="1"/>
  <c r="H85" i="2" a="1"/>
  <c r="J446" i="2" a="1"/>
  <c r="I193" i="2" a="1"/>
  <c r="J374" i="2" a="1"/>
  <c r="J87" i="2" a="1"/>
  <c r="H469" i="2" a="1"/>
  <c r="J243" i="2" a="1"/>
  <c r="I205" i="2" a="1"/>
  <c r="H205" i="2" a="1"/>
  <c r="H262" i="2" a="1"/>
  <c r="J484" i="2" a="1"/>
  <c r="H152" i="2" a="1"/>
  <c r="H388" i="2" a="1"/>
  <c r="J364" i="2" a="1"/>
  <c r="J155" i="2" a="1"/>
  <c r="I4" i="2" a="1"/>
  <c r="F453" i="2" a="1"/>
  <c r="G96" i="2" a="1"/>
  <c r="G207" i="2" a="1"/>
  <c r="F340" i="2" a="1"/>
  <c r="I105" i="2" a="1"/>
  <c r="E274" i="2" a="1"/>
  <c r="H122" i="2" a="1"/>
  <c r="J373" i="2" a="1"/>
  <c r="I277" i="2" a="1"/>
  <c r="I83" i="2" a="1"/>
  <c r="I97" i="2" a="1"/>
  <c r="J89" i="2" a="1"/>
  <c r="J165" i="2" a="1"/>
  <c r="I372" i="2" a="1"/>
  <c r="J375" i="2" a="1"/>
  <c r="J265" i="2" a="1"/>
  <c r="I265" i="2" a="1"/>
  <c r="I234" i="2" a="1"/>
  <c r="H14" i="2" a="1"/>
  <c r="H303" i="2" a="1"/>
  <c r="H162" i="2" a="1"/>
  <c r="J16" i="2" a="1"/>
  <c r="J45" i="2" a="1"/>
  <c r="H371" i="2" a="1"/>
  <c r="H441" i="2" a="1"/>
  <c r="H245" i="2" a="1"/>
  <c r="J91" i="2" a="1"/>
  <c r="H93" i="2" a="1"/>
  <c r="H266" i="2" a="1"/>
  <c r="J388" i="2" a="1"/>
  <c r="H239" i="2" a="1"/>
  <c r="J58" i="2" a="1"/>
  <c r="H470" i="2" a="1"/>
  <c r="J400" i="2" a="1"/>
  <c r="H272" i="2" a="1"/>
  <c r="I399" i="2" a="1"/>
  <c r="I28" i="2" a="1"/>
  <c r="I90" i="2" a="1"/>
  <c r="I230" i="2" a="1"/>
  <c r="J259" i="2" a="1"/>
  <c r="J216" i="2" a="1"/>
  <c r="H192" i="2" a="1"/>
  <c r="J454" i="2" a="1"/>
  <c r="I404" i="2" a="1"/>
  <c r="K470" i="2" l="1"/>
  <c r="K501" i="2"/>
  <c r="K493" i="2"/>
  <c r="K461" i="2"/>
  <c r="K437" i="2"/>
  <c r="K484" i="2"/>
  <c r="K468" i="2"/>
  <c r="K420" i="2"/>
  <c r="K388" i="2"/>
  <c r="K364" i="2"/>
  <c r="K459" i="2"/>
  <c r="K443" i="2"/>
  <c r="K411" i="2"/>
  <c r="K339" i="2"/>
  <c r="K331" i="2"/>
  <c r="K323" i="2"/>
  <c r="K315" i="2"/>
  <c r="K458" i="2"/>
  <c r="K450" i="2"/>
  <c r="K442" i="2"/>
  <c r="K434" i="2"/>
  <c r="K418" i="2"/>
  <c r="K410" i="2"/>
  <c r="K402" i="2"/>
  <c r="K394" i="2"/>
  <c r="K386" i="2"/>
  <c r="K370" i="2"/>
  <c r="K362" i="2"/>
  <c r="K354" i="2"/>
  <c r="K346" i="2"/>
  <c r="K330" i="2"/>
  <c r="K322" i="2"/>
  <c r="K314" i="2"/>
  <c r="K460" i="2"/>
  <c r="K436" i="2"/>
  <c r="K404" i="2"/>
  <c r="K372" i="2"/>
  <c r="K427" i="2"/>
  <c r="K355" i="2"/>
  <c r="K506" i="2"/>
  <c r="K474" i="2"/>
  <c r="K466" i="2"/>
  <c r="K426" i="2"/>
  <c r="K378" i="2"/>
  <c r="K338" i="2"/>
  <c r="K452" i="2"/>
  <c r="K412" i="2"/>
  <c r="K353" i="2"/>
  <c r="K345" i="2"/>
  <c r="K337" i="2"/>
  <c r="K313" i="2"/>
  <c r="K329" i="2"/>
  <c r="K321" i="2"/>
  <c r="K476" i="2"/>
  <c r="K380" i="2"/>
  <c r="K324" i="2"/>
  <c r="K483" i="2"/>
  <c r="K419" i="2"/>
  <c r="K371" i="2"/>
  <c r="K505" i="2"/>
  <c r="K425" i="2"/>
  <c r="K417" i="2"/>
  <c r="K393" i="2"/>
  <c r="K377" i="2"/>
  <c r="K369" i="2"/>
  <c r="K480" i="2"/>
  <c r="K472" i="2"/>
  <c r="K464" i="2"/>
  <c r="K456" i="2"/>
  <c r="K448" i="2"/>
  <c r="K392" i="2"/>
  <c r="K384" i="2"/>
  <c r="K368" i="2"/>
  <c r="K344" i="2"/>
  <c r="K336" i="2"/>
  <c r="K328" i="2"/>
  <c r="K312" i="2"/>
  <c r="K332" i="2"/>
  <c r="K491" i="2"/>
  <c r="K347" i="2"/>
  <c r="K498" i="2"/>
  <c r="K497" i="2"/>
  <c r="K473" i="2"/>
  <c r="K449" i="2"/>
  <c r="K409" i="2"/>
  <c r="K401" i="2"/>
  <c r="K385" i="2"/>
  <c r="K361" i="2"/>
  <c r="K504" i="2"/>
  <c r="K496" i="2"/>
  <c r="K488" i="2"/>
  <c r="K440" i="2"/>
  <c r="K432" i="2"/>
  <c r="K424" i="2"/>
  <c r="K416" i="2"/>
  <c r="K408" i="2"/>
  <c r="K400" i="2"/>
  <c r="K376" i="2"/>
  <c r="K360" i="2"/>
  <c r="K352" i="2"/>
  <c r="K320" i="2"/>
  <c r="K316" i="2"/>
  <c r="K379" i="2"/>
  <c r="K481" i="2"/>
  <c r="K465" i="2"/>
  <c r="K433" i="2"/>
  <c r="K495" i="2"/>
  <c r="K447" i="2"/>
  <c r="K423" i="2"/>
  <c r="K407" i="2"/>
  <c r="K399" i="2"/>
  <c r="K383" i="2"/>
  <c r="K428" i="2"/>
  <c r="K340" i="2"/>
  <c r="K475" i="2"/>
  <c r="K395" i="2"/>
  <c r="K490" i="2"/>
  <c r="K471" i="2"/>
  <c r="K463" i="2"/>
  <c r="K455" i="2"/>
  <c r="K439" i="2"/>
  <c r="K431" i="2"/>
  <c r="K415" i="2"/>
  <c r="K391" i="2"/>
  <c r="K375" i="2"/>
  <c r="K367" i="2"/>
  <c r="K359" i="2"/>
  <c r="K351" i="2"/>
  <c r="K343" i="2"/>
  <c r="K335" i="2"/>
  <c r="K327" i="2"/>
  <c r="K319" i="2"/>
  <c r="K311" i="2"/>
  <c r="K356" i="2"/>
  <c r="K363" i="2"/>
  <c r="K482" i="2"/>
  <c r="K441" i="2"/>
  <c r="K502" i="2"/>
  <c r="K454" i="2"/>
  <c r="K438" i="2"/>
  <c r="K430" i="2"/>
  <c r="K366" i="2"/>
  <c r="K492" i="2"/>
  <c r="K387" i="2"/>
  <c r="K478" i="2"/>
  <c r="K462" i="2"/>
  <c r="K446" i="2"/>
  <c r="K422" i="2"/>
  <c r="K414" i="2"/>
  <c r="K406" i="2"/>
  <c r="K398" i="2"/>
  <c r="K390" i="2"/>
  <c r="K382" i="2"/>
  <c r="K374" i="2"/>
  <c r="K358" i="2"/>
  <c r="K350" i="2"/>
  <c r="K342" i="2"/>
  <c r="K334" i="2"/>
  <c r="K326" i="2"/>
  <c r="K318" i="2"/>
  <c r="K310" i="2"/>
  <c r="K500" i="2"/>
  <c r="K444" i="2"/>
  <c r="K396" i="2"/>
  <c r="K348" i="2"/>
  <c r="K499" i="2"/>
  <c r="K467" i="2"/>
  <c r="K451" i="2"/>
  <c r="K435" i="2"/>
  <c r="K403" i="2"/>
  <c r="K489" i="2"/>
  <c r="K457" i="2"/>
  <c r="K503" i="2"/>
  <c r="K487" i="2"/>
  <c r="K479" i="2"/>
  <c r="K494" i="2"/>
  <c r="K486" i="2"/>
  <c r="K485" i="2"/>
  <c r="K477" i="2"/>
  <c r="K469" i="2"/>
  <c r="K453" i="2"/>
  <c r="K445" i="2"/>
  <c r="K429" i="2"/>
  <c r="K421" i="2"/>
  <c r="K413" i="2"/>
  <c r="K405" i="2"/>
  <c r="K397" i="2"/>
  <c r="K389" i="2"/>
  <c r="K381" i="2"/>
  <c r="K373" i="2"/>
  <c r="K365" i="2"/>
  <c r="K357" i="2"/>
  <c r="K349" i="2"/>
  <c r="K341" i="2"/>
  <c r="K333" i="2"/>
  <c r="K325" i="2"/>
  <c r="K317" i="2"/>
  <c r="K309" i="2"/>
  <c r="K308" i="2"/>
  <c r="P308" i="2"/>
  <c r="M308" i="2"/>
  <c r="M309" i="2"/>
  <c r="M310" i="2"/>
  <c r="M311" i="2"/>
  <c r="I404" i="2"/>
  <c r="J454" i="2"/>
  <c r="H192" i="2"/>
  <c r="J216" i="2"/>
  <c r="J259" i="2"/>
  <c r="I230" i="2"/>
  <c r="I90" i="2"/>
  <c r="I28" i="2"/>
  <c r="I399" i="2"/>
  <c r="H272" i="2"/>
  <c r="J400" i="2"/>
  <c r="H470" i="2"/>
  <c r="J58" i="2"/>
  <c r="H239" i="2"/>
  <c r="J388" i="2"/>
  <c r="H266" i="2"/>
  <c r="H93" i="2"/>
  <c r="J91" i="2"/>
  <c r="H245" i="2"/>
  <c r="H441" i="2"/>
  <c r="H371" i="2"/>
  <c r="J45" i="2"/>
  <c r="J16" i="2"/>
  <c r="H162" i="2"/>
  <c r="H303" i="2"/>
  <c r="H14" i="2"/>
  <c r="I234" i="2"/>
  <c r="I265" i="2"/>
  <c r="J265" i="2"/>
  <c r="J375" i="2"/>
  <c r="I372" i="2"/>
  <c r="J165" i="2"/>
  <c r="J89" i="2"/>
  <c r="I97" i="2"/>
  <c r="I83" i="2"/>
  <c r="I277" i="2"/>
  <c r="J373" i="2"/>
  <c r="H122" i="2"/>
  <c r="E274" i="2"/>
  <c r="I105" i="2"/>
  <c r="F340" i="2"/>
  <c r="G207" i="2"/>
  <c r="G96" i="2"/>
  <c r="F453" i="2"/>
  <c r="I4" i="2"/>
  <c r="J155" i="2"/>
  <c r="J364" i="2"/>
  <c r="H388" i="2"/>
  <c r="H152" i="2"/>
  <c r="J484" i="2"/>
  <c r="H262" i="2"/>
  <c r="H205" i="2"/>
  <c r="I205" i="2"/>
  <c r="J243" i="2"/>
  <c r="H469" i="2"/>
  <c r="J87" i="2"/>
  <c r="J374" i="2"/>
  <c r="I193" i="2"/>
  <c r="J446" i="2"/>
  <c r="H85" i="2"/>
  <c r="H58" i="2"/>
  <c r="J103" i="2"/>
  <c r="H297" i="2"/>
  <c r="J338" i="2"/>
  <c r="H428" i="2"/>
  <c r="I500" i="2"/>
  <c r="J177" i="2"/>
  <c r="H363" i="2"/>
  <c r="H70" i="2"/>
  <c r="H295" i="2"/>
  <c r="H406" i="2"/>
  <c r="I233" i="2"/>
  <c r="I125" i="2"/>
  <c r="J496" i="2"/>
  <c r="H69" i="2"/>
  <c r="I40" i="2"/>
  <c r="I441" i="2"/>
  <c r="I232" i="2"/>
  <c r="H184" i="2"/>
  <c r="I59" i="2"/>
  <c r="H293" i="2"/>
  <c r="H209" i="2"/>
  <c r="J184" i="2"/>
  <c r="J176" i="2"/>
  <c r="J489" i="2"/>
  <c r="J156" i="2"/>
  <c r="H16" i="2"/>
  <c r="J200" i="2"/>
  <c r="I376" i="2"/>
  <c r="H84" i="2"/>
  <c r="I429" i="2"/>
  <c r="H207" i="2"/>
  <c r="H114" i="2"/>
  <c r="I409" i="2"/>
  <c r="H356" i="2"/>
  <c r="I335" i="2"/>
  <c r="I349" i="2"/>
  <c r="I146" i="2"/>
  <c r="I285" i="2"/>
  <c r="H51" i="2"/>
  <c r="J398" i="2"/>
  <c r="H375" i="2"/>
  <c r="H291" i="2"/>
  <c r="H204" i="2"/>
  <c r="I305" i="2"/>
  <c r="H377" i="2"/>
  <c r="I287" i="2"/>
  <c r="J287" i="2"/>
  <c r="J110" i="2"/>
  <c r="H436" i="2"/>
  <c r="G213" i="2"/>
  <c r="H253" i="2"/>
  <c r="F444" i="2"/>
  <c r="F307" i="2"/>
  <c r="G19" i="2"/>
  <c r="G395" i="2"/>
  <c r="I185" i="2"/>
  <c r="I219" i="2"/>
  <c r="H254" i="2"/>
  <c r="J262" i="2"/>
  <c r="I159" i="2"/>
  <c r="J272" i="2"/>
  <c r="J179" i="2"/>
  <c r="H497" i="2"/>
  <c r="J336" i="2"/>
  <c r="I144" i="2"/>
  <c r="H177" i="2"/>
  <c r="I131" i="2"/>
  <c r="J56" i="2"/>
  <c r="I141" i="2"/>
  <c r="I155" i="2"/>
  <c r="J281" i="2"/>
  <c r="I286" i="2"/>
  <c r="I483" i="2"/>
  <c r="H312" i="2"/>
  <c r="H87" i="2"/>
  <c r="I142" i="2"/>
  <c r="I217" i="2"/>
  <c r="J478" i="2"/>
  <c r="I72" i="2"/>
  <c r="I70" i="2"/>
  <c r="H423" i="2"/>
  <c r="J288" i="2"/>
  <c r="H492" i="2"/>
  <c r="H197" i="2"/>
  <c r="J69" i="2"/>
  <c r="H233" i="2"/>
  <c r="H387" i="2"/>
  <c r="J17" i="2"/>
  <c r="I65" i="2"/>
  <c r="I406" i="2"/>
  <c r="J128" i="2"/>
  <c r="I289" i="2"/>
  <c r="I92" i="2"/>
  <c r="H92" i="2"/>
  <c r="J329" i="2"/>
  <c r="H59" i="2"/>
  <c r="J59" i="2"/>
  <c r="I61" i="2"/>
  <c r="H276" i="2"/>
  <c r="J139" i="2"/>
  <c r="I407" i="2"/>
  <c r="H137" i="2"/>
  <c r="J256" i="2"/>
  <c r="I112" i="2"/>
  <c r="I256" i="2"/>
  <c r="I382" i="2"/>
  <c r="H195" i="2"/>
  <c r="H5" i="2"/>
  <c r="J164" i="2"/>
  <c r="H102" i="2"/>
  <c r="I96" i="2"/>
  <c r="H383" i="2"/>
  <c r="H467" i="2"/>
  <c r="I451" i="2"/>
  <c r="J467" i="2"/>
  <c r="J453" i="2"/>
  <c r="J296" i="2"/>
  <c r="H369" i="2"/>
  <c r="I6" i="2"/>
  <c r="H480" i="2"/>
  <c r="I167" i="2"/>
  <c r="I246" i="2"/>
  <c r="I345" i="2"/>
  <c r="H120" i="2"/>
  <c r="J302" i="2"/>
  <c r="I401" i="2"/>
  <c r="I420" i="2"/>
  <c r="E207" i="2"/>
  <c r="G334" i="2"/>
  <c r="G83" i="2"/>
  <c r="H155" i="2"/>
  <c r="I456" i="2"/>
  <c r="J126" i="2"/>
  <c r="H179" i="2"/>
  <c r="H459" i="2"/>
  <c r="H478" i="2"/>
  <c r="I166" i="2"/>
  <c r="J269" i="2"/>
  <c r="I300" i="2"/>
  <c r="I273" i="2"/>
  <c r="J222" i="2"/>
  <c r="H486" i="2"/>
  <c r="J394" i="2"/>
  <c r="I350" i="2"/>
  <c r="I312" i="2"/>
  <c r="I423" i="2"/>
  <c r="I499" i="2"/>
  <c r="J322" i="2"/>
  <c r="H402" i="2"/>
  <c r="J80" i="2"/>
  <c r="I295" i="2"/>
  <c r="I238" i="2"/>
  <c r="I414" i="2"/>
  <c r="J403" i="2"/>
  <c r="J153" i="2"/>
  <c r="J268" i="2"/>
  <c r="I269" i="2"/>
  <c r="J237" i="2"/>
  <c r="J92" i="2"/>
  <c r="J131" i="2"/>
  <c r="J61" i="2"/>
  <c r="H29" i="2"/>
  <c r="J23" i="2"/>
  <c r="H219" i="2"/>
  <c r="I149" i="2"/>
  <c r="J367" i="2"/>
  <c r="H418" i="2"/>
  <c r="H24" i="2"/>
  <c r="I362" i="2"/>
  <c r="J7" i="2"/>
  <c r="H112" i="2"/>
  <c r="H342" i="2"/>
  <c r="J30" i="2"/>
  <c r="I261" i="2"/>
  <c r="I102" i="2"/>
  <c r="I117" i="2"/>
  <c r="H32" i="2"/>
  <c r="J285" i="2"/>
  <c r="H10" i="2"/>
  <c r="I130" i="2"/>
  <c r="I352" i="2"/>
  <c r="J495" i="2"/>
  <c r="H22" i="2"/>
  <c r="J305" i="2"/>
  <c r="H6" i="2"/>
  <c r="I129" i="2"/>
  <c r="I107" i="2"/>
  <c r="H201" i="2"/>
  <c r="J122" i="2"/>
  <c r="E33" i="2"/>
  <c r="G388" i="2"/>
  <c r="G340" i="2"/>
  <c r="F267" i="2"/>
  <c r="E124" i="2"/>
  <c r="G494" i="2"/>
  <c r="J224" i="2"/>
  <c r="H242" i="2"/>
  <c r="J404" i="2"/>
  <c r="H465" i="2"/>
  <c r="J93" i="2"/>
  <c r="I361" i="2"/>
  <c r="J402" i="2"/>
  <c r="J274" i="2"/>
  <c r="J238" i="2"/>
  <c r="I284" i="2"/>
  <c r="I275" i="2"/>
  <c r="I503" i="2"/>
  <c r="I121" i="2"/>
  <c r="H330" i="2"/>
  <c r="I204" i="2"/>
  <c r="H421" i="2"/>
  <c r="I67" i="2"/>
  <c r="H270" i="2"/>
  <c r="J246" i="2"/>
  <c r="J134" i="2"/>
  <c r="I122" i="2"/>
  <c r="J419" i="2"/>
  <c r="E348" i="2"/>
  <c r="G115" i="2"/>
  <c r="E267" i="2"/>
  <c r="E318" i="2"/>
  <c r="E88" i="2"/>
  <c r="J100" i="2"/>
  <c r="I394" i="2"/>
  <c r="H185" i="2"/>
  <c r="I60" i="2"/>
  <c r="I88" i="2"/>
  <c r="H45" i="2"/>
  <c r="J341" i="2"/>
  <c r="J464" i="2"/>
  <c r="J101" i="2"/>
  <c r="I486" i="2"/>
  <c r="H281" i="2"/>
  <c r="H28" i="2"/>
  <c r="H306" i="2"/>
  <c r="I215" i="2"/>
  <c r="H477" i="2"/>
  <c r="I470" i="2"/>
  <c r="H7" i="2"/>
  <c r="J493" i="2"/>
  <c r="J486" i="2"/>
  <c r="J152" i="2"/>
  <c r="I163" i="2"/>
  <c r="I260" i="2"/>
  <c r="J181" i="2"/>
  <c r="J306" i="2"/>
  <c r="H361" i="2"/>
  <c r="H500" i="2"/>
  <c r="I81" i="2"/>
  <c r="H357" i="2"/>
  <c r="I145" i="2"/>
  <c r="I444" i="2"/>
  <c r="I69" i="2"/>
  <c r="I310" i="2"/>
  <c r="H358" i="2"/>
  <c r="I21" i="2"/>
  <c r="J359" i="2"/>
  <c r="I30" i="2"/>
  <c r="H252" i="2"/>
  <c r="H132" i="2"/>
  <c r="H443" i="2"/>
  <c r="I179" i="2"/>
  <c r="H243" i="2"/>
  <c r="J385" i="2"/>
  <c r="J479" i="2"/>
  <c r="J85" i="2"/>
  <c r="J381" i="2"/>
  <c r="I459" i="2"/>
  <c r="J240" i="2"/>
  <c r="J470" i="2"/>
  <c r="I169" i="2"/>
  <c r="H198" i="2"/>
  <c r="H72" i="2"/>
  <c r="I298" i="2"/>
  <c r="I227" i="2"/>
  <c r="J169" i="2"/>
  <c r="H103" i="2"/>
  <c r="I78" i="2"/>
  <c r="H403" i="2"/>
  <c r="H238" i="2"/>
  <c r="J88" i="2"/>
  <c r="H65" i="2"/>
  <c r="J41" i="2"/>
  <c r="H125" i="2"/>
  <c r="H282" i="2"/>
  <c r="H434" i="2"/>
  <c r="J357" i="2"/>
  <c r="H257" i="2"/>
  <c r="I29" i="2"/>
  <c r="J209" i="2"/>
  <c r="H139" i="2"/>
  <c r="H447" i="2"/>
  <c r="I218" i="2"/>
  <c r="I23" i="2"/>
  <c r="I367" i="2"/>
  <c r="J75" i="2"/>
  <c r="I317" i="2"/>
  <c r="H471" i="2"/>
  <c r="J112" i="2"/>
  <c r="J48" i="2"/>
  <c r="H468" i="2"/>
  <c r="I195" i="2"/>
  <c r="J415" i="2"/>
  <c r="H175" i="2"/>
  <c r="H493" i="2"/>
  <c r="J62" i="2"/>
  <c r="H343" i="2"/>
  <c r="J451" i="2"/>
  <c r="H55" i="2"/>
  <c r="H53" i="2"/>
  <c r="I346" i="2"/>
  <c r="J258" i="2"/>
  <c r="J333" i="2"/>
  <c r="J170" i="2"/>
  <c r="H34" i="2"/>
  <c r="I39" i="2"/>
  <c r="J452" i="2"/>
  <c r="H307" i="2"/>
  <c r="J408" i="2"/>
  <c r="G23" i="2"/>
  <c r="E388" i="2"/>
  <c r="G423" i="2"/>
  <c r="F77" i="2"/>
  <c r="G236" i="2"/>
  <c r="E152" i="2"/>
  <c r="I266" i="2"/>
  <c r="H240" i="2"/>
  <c r="J125" i="2"/>
  <c r="H489" i="2"/>
  <c r="H407" i="2"/>
  <c r="J220" i="2"/>
  <c r="H213" i="2"/>
  <c r="I294" i="2"/>
  <c r="J143" i="2"/>
  <c r="I239" i="2"/>
  <c r="H337" i="2"/>
  <c r="H454" i="2"/>
  <c r="H301" i="2"/>
  <c r="J304" i="2"/>
  <c r="I272" i="2"/>
  <c r="I135" i="2"/>
  <c r="J211" i="2"/>
  <c r="I385" i="2"/>
  <c r="J422" i="2"/>
  <c r="I87" i="2"/>
  <c r="H144" i="2"/>
  <c r="J27" i="2"/>
  <c r="H214" i="2"/>
  <c r="J423" i="2"/>
  <c r="J214" i="2"/>
  <c r="H288" i="2"/>
  <c r="I366" i="2"/>
  <c r="H250" i="2"/>
  <c r="J52" i="2"/>
  <c r="J20" i="2"/>
  <c r="H496" i="2"/>
  <c r="J406" i="2"/>
  <c r="H106" i="2"/>
  <c r="J289" i="2"/>
  <c r="I20" i="2"/>
  <c r="H316" i="2"/>
  <c r="J233" i="2"/>
  <c r="J63" i="2"/>
  <c r="H13" i="2"/>
  <c r="J293" i="2"/>
  <c r="H344" i="2"/>
  <c r="I209" i="2"/>
  <c r="H473" i="2"/>
  <c r="I430" i="2"/>
  <c r="H456" i="2"/>
  <c r="I182" i="2"/>
  <c r="I16" i="2"/>
  <c r="H86" i="2"/>
  <c r="H200" i="2"/>
  <c r="H273" i="2"/>
  <c r="I323" i="2"/>
  <c r="I101" i="2"/>
  <c r="H220" i="2"/>
  <c r="H409" i="2"/>
  <c r="H448" i="2"/>
  <c r="I62" i="2"/>
  <c r="I143" i="2"/>
  <c r="I383" i="2"/>
  <c r="I390" i="2"/>
  <c r="H38" i="2"/>
  <c r="I136" i="2"/>
  <c r="I384" i="2"/>
  <c r="H453" i="2"/>
  <c r="I57" i="2"/>
  <c r="H189" i="2"/>
  <c r="I170" i="2"/>
  <c r="H147" i="2"/>
  <c r="H129" i="2"/>
  <c r="I82" i="2"/>
  <c r="H345" i="2"/>
  <c r="F359" i="2"/>
  <c r="I174" i="2"/>
  <c r="F329" i="2"/>
  <c r="G307" i="2"/>
  <c r="F44" i="2"/>
  <c r="E436" i="2"/>
  <c r="E177" i="2"/>
  <c r="I187" i="2"/>
  <c r="J142" i="2"/>
  <c r="I41" i="2"/>
  <c r="H230" i="2"/>
  <c r="I432" i="2"/>
  <c r="I482" i="2"/>
  <c r="J448" i="2"/>
  <c r="H404" i="2"/>
  <c r="I337" i="2"/>
  <c r="I210" i="2"/>
  <c r="I445" i="2"/>
  <c r="J217" i="2"/>
  <c r="H298" i="2"/>
  <c r="I186" i="2"/>
  <c r="J245" i="2"/>
  <c r="H414" i="2"/>
  <c r="H341" i="2"/>
  <c r="I237" i="2"/>
  <c r="I505" i="2"/>
  <c r="H224" i="2"/>
  <c r="I355" i="2"/>
  <c r="J144" i="2"/>
  <c r="J425" i="2"/>
  <c r="H52" i="2"/>
  <c r="H427" i="2"/>
  <c r="J365" i="2"/>
  <c r="I477" i="2"/>
  <c r="I180" i="2"/>
  <c r="H193" i="2"/>
  <c r="J185" i="2"/>
  <c r="I18" i="2"/>
  <c r="H60" i="2"/>
  <c r="J387" i="2"/>
  <c r="H156" i="2"/>
  <c r="I104" i="2"/>
  <c r="H215" i="2"/>
  <c r="H400" i="2"/>
  <c r="I388" i="2"/>
  <c r="I336" i="2"/>
  <c r="J483" i="2"/>
  <c r="I365" i="2"/>
  <c r="H4" i="2"/>
  <c r="J203" i="2"/>
  <c r="J263" i="2"/>
  <c r="H203" i="2"/>
  <c r="I280" i="2"/>
  <c r="I74" i="2"/>
  <c r="H374" i="2"/>
  <c r="H26" i="2"/>
  <c r="J193" i="2"/>
  <c r="I192" i="2"/>
  <c r="H81" i="2"/>
  <c r="H260" i="2"/>
  <c r="I52" i="2"/>
  <c r="H217" i="2"/>
  <c r="J504" i="2"/>
  <c r="I245" i="2"/>
  <c r="J434" i="2"/>
  <c r="H259" i="2"/>
  <c r="H274" i="2"/>
  <c r="J282" i="2"/>
  <c r="H78" i="2"/>
  <c r="I320" i="2"/>
  <c r="H300" i="2"/>
  <c r="I473" i="2"/>
  <c r="I49" i="2"/>
  <c r="I293" i="2"/>
  <c r="J432" i="2"/>
  <c r="H149" i="2"/>
  <c r="J86" i="2"/>
  <c r="J244" i="2"/>
  <c r="I162" i="2"/>
  <c r="H475" i="2"/>
  <c r="J382" i="2"/>
  <c r="J471" i="2"/>
  <c r="J505" i="2"/>
  <c r="I178" i="2"/>
  <c r="I164" i="2"/>
  <c r="J196" i="2"/>
  <c r="H123" i="2"/>
  <c r="H349" i="2"/>
  <c r="I461" i="2"/>
  <c r="J108" i="2"/>
  <c r="J503" i="2"/>
  <c r="J234" i="2"/>
  <c r="J279" i="2"/>
  <c r="H278" i="2"/>
  <c r="H267" i="2"/>
  <c r="J411" i="2"/>
  <c r="I411" i="2"/>
  <c r="I491" i="2"/>
  <c r="H172" i="2"/>
  <c r="J379" i="2"/>
  <c r="G156" i="2"/>
  <c r="H347" i="2"/>
  <c r="E24" i="2"/>
  <c r="E73" i="2"/>
  <c r="E458" i="2"/>
  <c r="F59" i="2"/>
  <c r="E379" i="2"/>
  <c r="H365" i="2"/>
  <c r="J15" i="2"/>
  <c r="J437" i="2"/>
  <c r="H229" i="2"/>
  <c r="H9" i="2"/>
  <c r="H424" i="2"/>
  <c r="I325" i="2"/>
  <c r="I389" i="2"/>
  <c r="H366" i="2"/>
  <c r="I250" i="2"/>
  <c r="J228" i="2"/>
  <c r="I492" i="2"/>
  <c r="I114" i="2"/>
  <c r="H15" i="2"/>
  <c r="I374" i="2"/>
  <c r="J135" i="2"/>
  <c r="J424" i="2"/>
  <c r="J163" i="2"/>
  <c r="J159" i="2"/>
  <c r="H466" i="2"/>
  <c r="I152" i="2"/>
  <c r="I299" i="2"/>
  <c r="H432" i="2"/>
  <c r="I77" i="2"/>
  <c r="I309" i="2"/>
  <c r="H163" i="2"/>
  <c r="I222" i="2"/>
  <c r="H437" i="2"/>
  <c r="I15" i="2"/>
  <c r="I400" i="2"/>
  <c r="J497" i="2"/>
  <c r="I339" i="2"/>
  <c r="I410" i="2"/>
  <c r="I454" i="2"/>
  <c r="I437" i="2"/>
  <c r="I85" i="2"/>
  <c r="J210" i="2"/>
  <c r="H236" i="2"/>
  <c r="J250" i="2"/>
  <c r="J202" i="2"/>
  <c r="I214" i="2"/>
  <c r="J145" i="2"/>
  <c r="I387" i="2"/>
  <c r="H153" i="2"/>
  <c r="J215" i="2"/>
  <c r="I370" i="2"/>
  <c r="H364" i="2"/>
  <c r="H100" i="2"/>
  <c r="J339" i="2"/>
  <c r="H339" i="2"/>
  <c r="I9" i="2"/>
  <c r="H394" i="2"/>
  <c r="J9" i="2"/>
  <c r="H446" i="2"/>
  <c r="J312" i="2"/>
  <c r="I469" i="2"/>
  <c r="J74" i="2"/>
  <c r="H135" i="2"/>
  <c r="J350" i="2"/>
  <c r="I479" i="2"/>
  <c r="I19" i="2"/>
  <c r="H142" i="2"/>
  <c r="I428" i="2"/>
  <c r="I363" i="2"/>
  <c r="J115" i="2"/>
  <c r="J60" i="2"/>
  <c r="J70" i="2"/>
  <c r="H19" i="2"/>
  <c r="J232" i="2"/>
  <c r="H17" i="2"/>
  <c r="I206" i="2"/>
  <c r="J166" i="2"/>
  <c r="H99" i="2"/>
  <c r="H322" i="2"/>
  <c r="J73" i="2"/>
  <c r="J99" i="2"/>
  <c r="H133" i="2"/>
  <c r="I259" i="2"/>
  <c r="J358" i="2"/>
  <c r="H131" i="2"/>
  <c r="J119" i="2"/>
  <c r="J183" i="2"/>
  <c r="I447" i="2"/>
  <c r="H284" i="2"/>
  <c r="I405" i="2"/>
  <c r="J334" i="2"/>
  <c r="I75" i="2"/>
  <c r="H317" i="2"/>
  <c r="H68" i="2"/>
  <c r="J271" i="2"/>
  <c r="J303" i="2"/>
  <c r="H382" i="2"/>
  <c r="I342" i="2"/>
  <c r="H490" i="2"/>
  <c r="J32" i="2"/>
  <c r="H196" i="2"/>
  <c r="J485" i="2"/>
  <c r="I252" i="2"/>
  <c r="I10" i="2"/>
  <c r="J51" i="2"/>
  <c r="I443" i="2"/>
  <c r="I111" i="2"/>
  <c r="I188" i="2"/>
  <c r="I241" i="2"/>
  <c r="H67" i="2"/>
  <c r="I396" i="2"/>
  <c r="I351" i="2"/>
  <c r="H287" i="2"/>
  <c r="H158" i="2"/>
  <c r="F156" i="2"/>
  <c r="J174" i="2"/>
  <c r="E146" i="2"/>
  <c r="G471" i="2"/>
  <c r="F71" i="2"/>
  <c r="G59" i="2"/>
  <c r="F255" i="2"/>
  <c r="I364" i="2"/>
  <c r="H148" i="2"/>
  <c r="I93" i="2"/>
  <c r="J463" i="2"/>
  <c r="I288" i="2"/>
  <c r="H232" i="2"/>
  <c r="I371" i="2"/>
  <c r="H271" i="2"/>
  <c r="J410" i="2"/>
  <c r="H355" i="2"/>
  <c r="H280" i="2"/>
  <c r="H159" i="2"/>
  <c r="I242" i="2"/>
  <c r="I184" i="2"/>
  <c r="H79" i="2"/>
  <c r="J175" i="2"/>
  <c r="I262" i="2"/>
  <c r="H325" i="2"/>
  <c r="H211" i="2"/>
  <c r="H370" i="2"/>
  <c r="J337" i="2"/>
  <c r="H399" i="2"/>
  <c r="I225" i="2"/>
  <c r="J26" i="2"/>
  <c r="H18" i="2"/>
  <c r="J4" i="2"/>
  <c r="J28" i="2"/>
  <c r="J180" i="2"/>
  <c r="H210" i="2"/>
  <c r="H202" i="2"/>
  <c r="H208" i="2"/>
  <c r="H263" i="2"/>
  <c r="J229" i="2"/>
  <c r="I281" i="2"/>
  <c r="I100" i="2"/>
  <c r="I497" i="2"/>
  <c r="H336" i="2"/>
  <c r="J205" i="2"/>
  <c r="H180" i="2"/>
  <c r="J301" i="2"/>
  <c r="H425" i="2"/>
  <c r="I422" i="2"/>
  <c r="J325" i="2"/>
  <c r="I181" i="2"/>
  <c r="I27" i="2"/>
  <c r="H27" i="2"/>
  <c r="I381" i="2"/>
  <c r="I35" i="2"/>
  <c r="J260" i="2"/>
  <c r="H169" i="2"/>
  <c r="H115" i="2"/>
  <c r="J389" i="2"/>
  <c r="I202" i="2"/>
  <c r="I297" i="2"/>
  <c r="H227" i="2"/>
  <c r="H88" i="2"/>
  <c r="I226" i="2"/>
  <c r="H145" i="2"/>
  <c r="I290" i="2"/>
  <c r="J78" i="2"/>
  <c r="J106" i="2"/>
  <c r="I268" i="2"/>
  <c r="I128" i="2"/>
  <c r="H228" i="2"/>
  <c r="I63" i="2"/>
  <c r="H433" i="2"/>
  <c r="H56" i="2"/>
  <c r="I344" i="2"/>
  <c r="J299" i="2"/>
  <c r="J221" i="2"/>
  <c r="J314" i="2"/>
  <c r="I257" i="2"/>
  <c r="H90" i="2"/>
  <c r="J317" i="2"/>
  <c r="H362" i="2"/>
  <c r="H429" i="2"/>
  <c r="I79" i="2"/>
  <c r="H77" i="2"/>
  <c r="H101" i="2"/>
  <c r="H294" i="2"/>
  <c r="H141" i="2"/>
  <c r="H96" i="2"/>
  <c r="J349" i="2"/>
  <c r="I324" i="2"/>
  <c r="J102" i="2"/>
  <c r="J392" i="2"/>
  <c r="I487" i="2"/>
  <c r="I330" i="2"/>
  <c r="J173" i="2"/>
  <c r="H138" i="2"/>
  <c r="J157" i="2"/>
  <c r="H109" i="2"/>
  <c r="I480" i="2"/>
  <c r="H351" i="2"/>
  <c r="I348" i="2"/>
  <c r="I201" i="2"/>
  <c r="E58" i="2"/>
  <c r="J498" i="2"/>
  <c r="F388" i="2"/>
  <c r="E304" i="2"/>
  <c r="G221" i="2"/>
  <c r="G257" i="2"/>
  <c r="F235" i="2"/>
  <c r="J397" i="2"/>
  <c r="J146" i="2"/>
  <c r="H309" i="2"/>
  <c r="H426" i="2"/>
  <c r="H136" i="2"/>
  <c r="H392" i="2"/>
  <c r="J278" i="2"/>
  <c r="J352" i="2"/>
  <c r="J57" i="2"/>
  <c r="J421" i="2"/>
  <c r="I89" i="2"/>
  <c r="J6" i="2"/>
  <c r="H71" i="2"/>
  <c r="H76" i="2"/>
  <c r="J47" i="2"/>
  <c r="F138" i="2"/>
  <c r="G472" i="2"/>
  <c r="H313" i="2"/>
  <c r="F122" i="2"/>
  <c r="E408" i="2"/>
  <c r="E139" i="2"/>
  <c r="G503" i="2"/>
  <c r="I115" i="2"/>
  <c r="I357" i="2"/>
  <c r="H216" i="2"/>
  <c r="J295" i="2"/>
  <c r="H206" i="2"/>
  <c r="I80" i="2"/>
  <c r="I316" i="2"/>
  <c r="I496" i="2"/>
  <c r="H268" i="2"/>
  <c r="I216" i="2"/>
  <c r="I17" i="2"/>
  <c r="J276" i="2"/>
  <c r="J310" i="2"/>
  <c r="J66" i="2"/>
  <c r="J405" i="2"/>
  <c r="J430" i="2"/>
  <c r="J219" i="2"/>
  <c r="I358" i="2"/>
  <c r="H75" i="2"/>
  <c r="I359" i="2"/>
  <c r="J362" i="2"/>
  <c r="I207" i="2"/>
  <c r="I150" i="2"/>
  <c r="H247" i="2"/>
  <c r="I271" i="2"/>
  <c r="H178" i="2"/>
  <c r="H415" i="2"/>
  <c r="I196" i="2"/>
  <c r="H476" i="2"/>
  <c r="H62" i="2"/>
  <c r="I493" i="2"/>
  <c r="J472" i="2"/>
  <c r="H472" i="2"/>
  <c r="I3" i="2"/>
  <c r="J37" i="2"/>
  <c r="I231" i="2"/>
  <c r="J332" i="2"/>
  <c r="I377" i="2"/>
  <c r="H460" i="2"/>
  <c r="J83" i="2"/>
  <c r="I110" i="2"/>
  <c r="H36" i="2"/>
  <c r="F472" i="2"/>
  <c r="I44" i="2"/>
  <c r="H308" i="2"/>
  <c r="F290" i="2"/>
  <c r="E135" i="2"/>
  <c r="G132" i="2"/>
  <c r="G137" i="2"/>
  <c r="J192" i="2"/>
  <c r="H389" i="2"/>
  <c r="H186" i="2"/>
  <c r="H504" i="2"/>
  <c r="J182" i="2"/>
  <c r="I5" i="2"/>
  <c r="I64" i="2"/>
  <c r="J361" i="2"/>
  <c r="J19" i="2"/>
  <c r="J198" i="2"/>
  <c r="J236" i="2"/>
  <c r="I353" i="2"/>
  <c r="I263" i="2"/>
  <c r="I126" i="2"/>
  <c r="J370" i="2"/>
  <c r="J239" i="2"/>
  <c r="I148" i="2"/>
  <c r="J286" i="2"/>
  <c r="I304" i="2"/>
  <c r="H304" i="2"/>
  <c r="I301" i="2"/>
  <c r="J465" i="2"/>
  <c r="I243" i="2"/>
  <c r="J113" i="2"/>
  <c r="I465" i="2"/>
  <c r="H381" i="2"/>
  <c r="J242" i="2"/>
  <c r="J64" i="2"/>
  <c r="H91" i="2"/>
  <c r="I338" i="2"/>
  <c r="J227" i="2"/>
  <c r="I198" i="2"/>
  <c r="I466" i="2"/>
  <c r="I103" i="2"/>
  <c r="I177" i="2"/>
  <c r="J427" i="2"/>
  <c r="H226" i="2"/>
  <c r="I153" i="2"/>
  <c r="I13" i="2"/>
  <c r="J290" i="2"/>
  <c r="H41" i="2"/>
  <c r="H2" i="2"/>
  <c r="H80" i="2"/>
  <c r="H269" i="2"/>
  <c r="H128" i="2"/>
  <c r="J40" i="2"/>
  <c r="H23" i="2"/>
  <c r="J149" i="2"/>
  <c r="I329" i="2"/>
  <c r="H49" i="2"/>
  <c r="H154" i="2"/>
  <c r="H310" i="2"/>
  <c r="J300" i="2"/>
  <c r="I334" i="2"/>
  <c r="I464" i="2"/>
  <c r="J273" i="2"/>
  <c r="I303" i="2"/>
  <c r="H412" i="2"/>
  <c r="J84" i="2"/>
  <c r="J104" i="2"/>
  <c r="J342" i="2"/>
  <c r="H261" i="2"/>
  <c r="H335" i="2"/>
  <c r="J455" i="2"/>
  <c r="J506" i="2"/>
  <c r="H315" i="2"/>
  <c r="J255" i="2"/>
  <c r="H487" i="2"/>
  <c r="H352" i="2"/>
  <c r="H171" i="2"/>
  <c r="H241" i="2"/>
  <c r="H170" i="2"/>
  <c r="H438" i="2"/>
  <c r="H157" i="2"/>
  <c r="H283" i="2"/>
  <c r="I340" i="2"/>
  <c r="I95" i="2"/>
  <c r="G274" i="2"/>
  <c r="I190" i="2"/>
  <c r="F272" i="2"/>
  <c r="E254" i="2"/>
  <c r="G363" i="2"/>
  <c r="F92" i="2"/>
  <c r="E203" i="2"/>
  <c r="I434" i="2"/>
  <c r="J13" i="2"/>
  <c r="J133" i="2"/>
  <c r="I183" i="2"/>
  <c r="J473" i="2"/>
  <c r="H104" i="2"/>
  <c r="I475" i="2"/>
  <c r="J141" i="2"/>
  <c r="J309" i="2"/>
  <c r="H143" i="2"/>
  <c r="J426" i="2"/>
  <c r="J383" i="2"/>
  <c r="I108" i="2"/>
  <c r="I467" i="2"/>
  <c r="H346" i="2"/>
  <c r="H360" i="2"/>
  <c r="J22" i="2"/>
  <c r="J249" i="2"/>
  <c r="J31" i="2"/>
  <c r="J380" i="2"/>
  <c r="H83" i="2"/>
  <c r="I318" i="2"/>
  <c r="H494" i="2"/>
  <c r="F33" i="2"/>
  <c r="H488" i="2"/>
  <c r="E62" i="2"/>
  <c r="E229" i="2"/>
  <c r="F321" i="2"/>
  <c r="G243" i="2"/>
  <c r="E277" i="2"/>
  <c r="I506" i="2"/>
  <c r="J477" i="2"/>
  <c r="I446" i="2"/>
  <c r="J469" i="2"/>
  <c r="J235" i="2"/>
  <c r="I484" i="2"/>
  <c r="H410" i="2"/>
  <c r="H225" i="2"/>
  <c r="H350" i="2"/>
  <c r="I424" i="2"/>
  <c r="H187" i="2"/>
  <c r="J366" i="2"/>
  <c r="J353" i="2"/>
  <c r="J428" i="2"/>
  <c r="I427" i="2"/>
  <c r="I463" i="2"/>
  <c r="I236" i="2"/>
  <c r="J81" i="2"/>
  <c r="J206" i="2"/>
  <c r="J230" i="2"/>
  <c r="I208" i="2"/>
  <c r="H166" i="2"/>
  <c r="J197" i="2"/>
  <c r="J316" i="2"/>
  <c r="H290" i="2"/>
  <c r="H119" i="2"/>
  <c r="I314" i="2"/>
  <c r="H151" i="2"/>
  <c r="J218" i="2"/>
  <c r="H66" i="2"/>
  <c r="I86" i="2"/>
  <c r="H359" i="2"/>
  <c r="H482" i="2"/>
  <c r="I84" i="2"/>
  <c r="J468" i="2"/>
  <c r="J114" i="2"/>
  <c r="J355" i="2"/>
  <c r="I229" i="2"/>
  <c r="H126" i="2"/>
  <c r="J280" i="2"/>
  <c r="J148" i="2"/>
  <c r="H484" i="2"/>
  <c r="H222" i="2"/>
  <c r="I397" i="2"/>
  <c r="J266" i="2"/>
  <c r="H64" i="2"/>
  <c r="H113" i="2"/>
  <c r="I58" i="2"/>
  <c r="I224" i="2"/>
  <c r="H181" i="2"/>
  <c r="J225" i="2"/>
  <c r="I211" i="2"/>
  <c r="J187" i="2"/>
  <c r="H353" i="2"/>
  <c r="J18" i="2"/>
  <c r="H35" i="2"/>
  <c r="J466" i="2"/>
  <c r="I235" i="2"/>
  <c r="J297" i="2"/>
  <c r="I91" i="2"/>
  <c r="J65" i="2"/>
  <c r="J414" i="2"/>
  <c r="J208" i="2"/>
  <c r="I133" i="2"/>
  <c r="I402" i="2"/>
  <c r="I274" i="2"/>
  <c r="J226" i="2"/>
  <c r="I106" i="2"/>
  <c r="I282" i="2"/>
  <c r="J441" i="2"/>
  <c r="H176" i="2"/>
  <c r="H405" i="2"/>
  <c r="I221" i="2"/>
  <c r="J257" i="2"/>
  <c r="J433" i="2"/>
  <c r="I341" i="2"/>
  <c r="H221" i="2"/>
  <c r="I244" i="2"/>
  <c r="J8" i="2"/>
  <c r="J213" i="2"/>
  <c r="J207" i="2"/>
  <c r="J77" i="2"/>
  <c r="I213" i="2"/>
  <c r="J429" i="2"/>
  <c r="J5" i="2"/>
  <c r="J261" i="2"/>
  <c r="H42" i="2"/>
  <c r="H117" i="2"/>
  <c r="J42" i="2"/>
  <c r="H255" i="2"/>
  <c r="H265" i="2"/>
  <c r="H251" i="2"/>
  <c r="I171" i="2"/>
  <c r="I173" i="2"/>
  <c r="H333" i="2"/>
  <c r="I421" i="2"/>
  <c r="J140" i="2"/>
  <c r="J417" i="2"/>
  <c r="J168" i="2"/>
  <c r="J378" i="2"/>
  <c r="J439" i="2"/>
  <c r="E23" i="2"/>
  <c r="G441" i="2"/>
  <c r="G272" i="2"/>
  <c r="G304" i="2"/>
  <c r="E106" i="2"/>
  <c r="E49" i="2"/>
  <c r="G21" i="2"/>
  <c r="H286" i="2"/>
  <c r="H422" i="2"/>
  <c r="I425" i="2"/>
  <c r="H338" i="2"/>
  <c r="I478" i="2"/>
  <c r="I2" i="2"/>
  <c r="I48" i="2"/>
  <c r="I306" i="2"/>
  <c r="H385" i="2"/>
  <c r="J499" i="2"/>
  <c r="I203" i="2"/>
  <c r="J399" i="2"/>
  <c r="H483" i="2"/>
  <c r="H397" i="2"/>
  <c r="H74" i="2"/>
  <c r="H445" i="2"/>
  <c r="J459" i="2"/>
  <c r="I26" i="2"/>
  <c r="H479" i="2"/>
  <c r="J445" i="2"/>
  <c r="I240" i="2"/>
  <c r="I113" i="2"/>
  <c r="H499" i="2"/>
  <c r="H463" i="2"/>
  <c r="J298" i="2"/>
  <c r="H235" i="2"/>
  <c r="J72" i="2"/>
  <c r="J363" i="2"/>
  <c r="J35" i="2"/>
  <c r="J500" i="2"/>
  <c r="I322" i="2"/>
  <c r="J186" i="2"/>
  <c r="H63" i="2"/>
  <c r="H20" i="2"/>
  <c r="I403" i="2"/>
  <c r="H289" i="2"/>
  <c r="J444" i="2"/>
  <c r="I228" i="2"/>
  <c r="J492" i="2"/>
  <c r="I154" i="2"/>
  <c r="H182" i="2"/>
  <c r="J344" i="2"/>
  <c r="H237" i="2"/>
  <c r="J320" i="2"/>
  <c r="I45" i="2"/>
  <c r="I66" i="2"/>
  <c r="I489" i="2"/>
  <c r="H334" i="2"/>
  <c r="J137" i="2"/>
  <c r="J412" i="2"/>
  <c r="I247" i="2"/>
  <c r="J247" i="2"/>
  <c r="H48" i="2"/>
  <c r="I254" i="2"/>
  <c r="J195" i="2"/>
  <c r="H164" i="2"/>
  <c r="I32" i="2"/>
  <c r="I118" i="2"/>
  <c r="I315" i="2"/>
  <c r="J487" i="2"/>
  <c r="I398" i="2"/>
  <c r="I38" i="2"/>
  <c r="H279" i="2"/>
  <c r="J368" i="2"/>
  <c r="H231" i="2"/>
  <c r="I50" i="2"/>
  <c r="H194" i="2"/>
  <c r="J348" i="2"/>
  <c r="I43" i="2"/>
  <c r="H373" i="2"/>
  <c r="I481" i="2"/>
  <c r="H174" i="2"/>
  <c r="H105" i="2"/>
  <c r="E115" i="2"/>
  <c r="G305" i="2"/>
  <c r="G430" i="2"/>
  <c r="F298" i="2"/>
  <c r="J25" i="2"/>
  <c r="I165" i="2"/>
  <c r="H89" i="2"/>
  <c r="J194" i="2"/>
  <c r="H50" i="2"/>
  <c r="H458" i="2"/>
  <c r="I31" i="2"/>
  <c r="J33" i="2"/>
  <c r="H413" i="2"/>
  <c r="H107" i="2"/>
  <c r="I270" i="2"/>
  <c r="I71" i="2"/>
  <c r="J450" i="2"/>
  <c r="H277" i="2"/>
  <c r="I292" i="2"/>
  <c r="H378" i="2"/>
  <c r="H379" i="2"/>
  <c r="H395" i="2"/>
  <c r="J36" i="2"/>
  <c r="J248" i="2"/>
  <c r="F182" i="2"/>
  <c r="F58" i="2"/>
  <c r="G353" i="2"/>
  <c r="H498" i="2"/>
  <c r="H302" i="2"/>
  <c r="F274" i="2"/>
  <c r="I488" i="2"/>
  <c r="J253" i="2"/>
  <c r="F146" i="2"/>
  <c r="H435" i="2"/>
  <c r="I474" i="2"/>
  <c r="I94" i="2"/>
  <c r="G73" i="2"/>
  <c r="E13" i="2"/>
  <c r="G211" i="2"/>
  <c r="E43" i="2"/>
  <c r="F254" i="2"/>
  <c r="F229" i="2"/>
  <c r="F455" i="2"/>
  <c r="G365" i="2"/>
  <c r="F185" i="2"/>
  <c r="G245" i="2"/>
  <c r="G71" i="2"/>
  <c r="F66" i="2"/>
  <c r="F408" i="2"/>
  <c r="E363" i="2"/>
  <c r="E205" i="2"/>
  <c r="G491" i="2"/>
  <c r="E490" i="2"/>
  <c r="G401" i="2"/>
  <c r="G310" i="2"/>
  <c r="G358" i="2"/>
  <c r="F283" i="2"/>
  <c r="E68" i="2"/>
  <c r="F193" i="2"/>
  <c r="F178" i="2"/>
  <c r="F436" i="2"/>
  <c r="E405" i="2"/>
  <c r="F237" i="2"/>
  <c r="E257" i="2"/>
  <c r="F139" i="2"/>
  <c r="E78" i="2"/>
  <c r="G189" i="2"/>
  <c r="F288" i="2"/>
  <c r="G298" i="2"/>
  <c r="E105" i="2"/>
  <c r="E492" i="2"/>
  <c r="F464" i="2"/>
  <c r="G244" i="2"/>
  <c r="E103" i="2"/>
  <c r="F258" i="2"/>
  <c r="E11" i="2"/>
  <c r="F506" i="2"/>
  <c r="E255" i="2"/>
  <c r="F155" i="2"/>
  <c r="G127" i="2"/>
  <c r="G97" i="2"/>
  <c r="F128" i="2"/>
  <c r="G402" i="2"/>
  <c r="F212" i="2"/>
  <c r="H118" i="2"/>
  <c r="I123" i="2"/>
  <c r="I14" i="2"/>
  <c r="J46" i="2"/>
  <c r="H506" i="2"/>
  <c r="J53" i="2"/>
  <c r="H285" i="2"/>
  <c r="J431" i="2"/>
  <c r="H275" i="2"/>
  <c r="I51" i="2"/>
  <c r="H111" i="2"/>
  <c r="H258" i="2"/>
  <c r="J346" i="2"/>
  <c r="I375" i="2"/>
  <c r="I369" i="2"/>
  <c r="J189" i="2"/>
  <c r="I212" i="2"/>
  <c r="J212" i="2"/>
  <c r="I124" i="2"/>
  <c r="I98" i="2"/>
  <c r="H249" i="2"/>
  <c r="I332" i="2"/>
  <c r="J199" i="2"/>
  <c r="H348" i="2"/>
  <c r="H82" i="2"/>
  <c r="J129" i="2"/>
  <c r="H39" i="2"/>
  <c r="J413" i="2"/>
  <c r="J11" i="2"/>
  <c r="H116" i="2"/>
  <c r="J345" i="2"/>
  <c r="I36" i="2"/>
  <c r="H321" i="2"/>
  <c r="I449" i="2"/>
  <c r="E156" i="2"/>
  <c r="F200" i="2"/>
  <c r="E374" i="2"/>
  <c r="F213" i="2"/>
  <c r="F183" i="2"/>
  <c r="H190" i="2"/>
  <c r="J44" i="2"/>
  <c r="J488" i="2"/>
  <c r="F269" i="2"/>
  <c r="E118" i="2"/>
  <c r="I308" i="2"/>
  <c r="J94" i="2"/>
  <c r="E305" i="2"/>
  <c r="G477" i="2"/>
  <c r="G468" i="2"/>
  <c r="G496" i="2"/>
  <c r="G290" i="2"/>
  <c r="G153" i="2"/>
  <c r="F72" i="2"/>
  <c r="F300" i="2"/>
  <c r="E136" i="2"/>
  <c r="F36" i="2"/>
  <c r="E66" i="2"/>
  <c r="G361" i="2"/>
  <c r="F240" i="2"/>
  <c r="E467" i="2"/>
  <c r="G234" i="2"/>
  <c r="F34" i="2"/>
  <c r="F253" i="2"/>
  <c r="G181" i="2"/>
  <c r="E181" i="2"/>
  <c r="F279" i="2"/>
  <c r="G410" i="2"/>
  <c r="F322" i="2"/>
  <c r="F227" i="2"/>
  <c r="E276" i="2"/>
  <c r="E302" i="2"/>
  <c r="F28" i="2"/>
  <c r="E95" i="2"/>
  <c r="E319" i="2"/>
  <c r="G80" i="2"/>
  <c r="F78" i="2"/>
  <c r="E132" i="2"/>
  <c r="G218" i="2"/>
  <c r="E64" i="2"/>
  <c r="E142" i="2"/>
  <c r="F209" i="2"/>
  <c r="F434" i="2"/>
  <c r="F311" i="2"/>
  <c r="E313" i="2"/>
  <c r="G88" i="2"/>
  <c r="F230" i="2"/>
  <c r="G381" i="2"/>
  <c r="F20" i="2"/>
  <c r="E286" i="2"/>
  <c r="F312" i="2"/>
  <c r="E125" i="2"/>
  <c r="F220" i="2"/>
  <c r="G333" i="2"/>
  <c r="G488" i="2"/>
  <c r="I291" i="2"/>
  <c r="I495" i="2"/>
  <c r="I368" i="2"/>
  <c r="H296" i="2"/>
  <c r="J267" i="2"/>
  <c r="H25" i="2"/>
  <c r="H124" i="2"/>
  <c r="I458" i="2"/>
  <c r="I438" i="2"/>
  <c r="J480" i="2"/>
  <c r="I326" i="2"/>
  <c r="J50" i="2"/>
  <c r="J491" i="2"/>
  <c r="J43" i="2"/>
  <c r="J172" i="2"/>
  <c r="H380" i="2"/>
  <c r="J331" i="2"/>
  <c r="I199" i="2"/>
  <c r="I116" i="2"/>
  <c r="I416" i="2"/>
  <c r="J158" i="2"/>
  <c r="H47" i="2"/>
  <c r="J436" i="2"/>
  <c r="I436" i="2"/>
  <c r="G138" i="2"/>
  <c r="E76" i="2"/>
  <c r="G183" i="2"/>
  <c r="J391" i="2"/>
  <c r="F374" i="2"/>
  <c r="J462" i="2"/>
  <c r="G94" i="2"/>
  <c r="E60" i="2"/>
  <c r="G24" i="2"/>
  <c r="H94" i="2"/>
  <c r="E340" i="2"/>
  <c r="H474" i="2"/>
  <c r="G421" i="2"/>
  <c r="F207" i="2"/>
  <c r="G297" i="2"/>
  <c r="F13" i="2"/>
  <c r="F270" i="2"/>
  <c r="F119" i="2"/>
  <c r="G267" i="2"/>
  <c r="E109" i="2"/>
  <c r="G109" i="2"/>
  <c r="G342" i="2"/>
  <c r="F439" i="2"/>
  <c r="F221" i="2"/>
  <c r="E111" i="2"/>
  <c r="E356" i="2"/>
  <c r="F401" i="2"/>
  <c r="F130" i="2"/>
  <c r="G219" i="2"/>
  <c r="G172" i="2"/>
  <c r="F56" i="2"/>
  <c r="G253" i="2"/>
  <c r="E401" i="2"/>
  <c r="G318" i="2"/>
  <c r="G322" i="2"/>
  <c r="G436" i="2"/>
  <c r="G405" i="2"/>
  <c r="F302" i="2"/>
  <c r="F447" i="2"/>
  <c r="E502" i="2"/>
  <c r="E222" i="2"/>
  <c r="G78" i="2"/>
  <c r="F281" i="2"/>
  <c r="E288" i="2"/>
  <c r="E427" i="2"/>
  <c r="G323" i="2"/>
  <c r="G117" i="2"/>
  <c r="E478" i="2"/>
  <c r="E121" i="2"/>
  <c r="F494" i="2"/>
  <c r="F461" i="2"/>
  <c r="E70" i="2"/>
  <c r="F381" i="2"/>
  <c r="G387" i="2"/>
  <c r="G433" i="2"/>
  <c r="F331" i="2"/>
  <c r="E8" i="2"/>
  <c r="F414" i="2"/>
  <c r="F370" i="2"/>
  <c r="F416" i="2"/>
  <c r="I140" i="2"/>
  <c r="J39" i="2"/>
  <c r="I380" i="2"/>
  <c r="J277" i="2"/>
  <c r="H440" i="2"/>
  <c r="I452" i="2"/>
  <c r="J440" i="2"/>
  <c r="H318" i="2"/>
  <c r="H416" i="2"/>
  <c r="J354" i="2"/>
  <c r="I494" i="2"/>
  <c r="H12" i="2"/>
  <c r="I408" i="2"/>
  <c r="E479" i="2"/>
  <c r="G40" i="2"/>
  <c r="H391" i="2"/>
  <c r="E431" i="2"/>
  <c r="J347" i="2"/>
  <c r="H44" i="2"/>
  <c r="F94" i="2"/>
  <c r="G269" i="2"/>
  <c r="E269" i="2"/>
  <c r="E272" i="2"/>
  <c r="E444" i="2"/>
  <c r="J319" i="2"/>
  <c r="E211" i="2"/>
  <c r="F424" i="2"/>
  <c r="E423" i="2"/>
  <c r="E307" i="2"/>
  <c r="G270" i="2"/>
  <c r="F421" i="2"/>
  <c r="G133" i="2"/>
  <c r="F154" i="2"/>
  <c r="F109" i="2"/>
  <c r="G154" i="2"/>
  <c r="E71" i="2"/>
  <c r="E361" i="2"/>
  <c r="G408" i="2"/>
  <c r="E336" i="2"/>
  <c r="G176" i="2"/>
  <c r="F57" i="2"/>
  <c r="E412" i="2"/>
  <c r="G404" i="2"/>
  <c r="F459" i="2"/>
  <c r="F96" i="2"/>
  <c r="E96" i="2"/>
  <c r="E193" i="2"/>
  <c r="F295" i="2"/>
  <c r="G295" i="2"/>
  <c r="E86" i="2"/>
  <c r="F259" i="2"/>
  <c r="G249" i="2"/>
  <c r="F319" i="2"/>
  <c r="F222" i="2"/>
  <c r="F296" i="2"/>
  <c r="G419" i="2"/>
  <c r="F476" i="2"/>
  <c r="G2" i="2"/>
  <c r="G4" i="2"/>
  <c r="E308" i="2"/>
  <c r="G291" i="2"/>
  <c r="E17" i="2"/>
  <c r="E393" i="2"/>
  <c r="F152" i="2"/>
  <c r="F400" i="2"/>
  <c r="E381" i="2"/>
  <c r="E155" i="2"/>
  <c r="E198" i="2"/>
  <c r="G466" i="2"/>
  <c r="F5" i="2"/>
  <c r="F233" i="2"/>
  <c r="G157" i="2"/>
  <c r="F266" i="2"/>
  <c r="G223" i="2"/>
  <c r="E248" i="2"/>
  <c r="F245" i="2"/>
  <c r="F380" i="2"/>
  <c r="F197" i="2"/>
  <c r="E120" i="2"/>
  <c r="F356" i="2"/>
  <c r="F143" i="2"/>
  <c r="E279" i="2"/>
  <c r="G56" i="2"/>
  <c r="F404" i="2"/>
  <c r="G490" i="2"/>
  <c r="E310" i="2"/>
  <c r="F497" i="2"/>
  <c r="G46" i="2"/>
  <c r="E368" i="2"/>
  <c r="F106" i="2"/>
  <c r="G481" i="2"/>
  <c r="F150" i="2"/>
  <c r="F86" i="2"/>
  <c r="G161" i="2"/>
  <c r="E80" i="2"/>
  <c r="E151" i="2"/>
  <c r="F419" i="2"/>
  <c r="F48" i="2"/>
  <c r="F2" i="2"/>
  <c r="E287" i="2"/>
  <c r="E79" i="2"/>
  <c r="E344" i="2"/>
  <c r="F344" i="2"/>
  <c r="E462" i="2"/>
  <c r="F147" i="2"/>
  <c r="G230" i="2"/>
  <c r="F345" i="2"/>
  <c r="E232" i="2"/>
  <c r="E206" i="2"/>
  <c r="F426" i="2"/>
  <c r="F81" i="2"/>
  <c r="G448" i="2"/>
  <c r="G114" i="2"/>
  <c r="G266" i="2"/>
  <c r="F496" i="2"/>
  <c r="E278" i="2"/>
  <c r="G424" i="2"/>
  <c r="E471" i="2"/>
  <c r="G168" i="2"/>
  <c r="E245" i="2"/>
  <c r="E44" i="2"/>
  <c r="G136" i="2"/>
  <c r="E197" i="2"/>
  <c r="E164" i="2"/>
  <c r="E451" i="2"/>
  <c r="G26" i="2"/>
  <c r="F358" i="2"/>
  <c r="F234" i="2"/>
  <c r="E404" i="2"/>
  <c r="G34" i="2"/>
  <c r="F219" i="2"/>
  <c r="G459" i="2"/>
  <c r="F37" i="2"/>
  <c r="E295" i="2"/>
  <c r="E55" i="2"/>
  <c r="E227" i="2"/>
  <c r="G28" i="2"/>
  <c r="G259" i="2"/>
  <c r="E354" i="2"/>
  <c r="F347" i="2"/>
  <c r="F465" i="2"/>
  <c r="E413" i="2"/>
  <c r="G443" i="2"/>
  <c r="G82" i="2"/>
  <c r="F49" i="2"/>
  <c r="E453" i="2"/>
  <c r="F339" i="2"/>
  <c r="E102" i="2"/>
  <c r="F291" i="2"/>
  <c r="E173" i="2"/>
  <c r="E463" i="2"/>
  <c r="E230" i="2"/>
  <c r="G351" i="2"/>
  <c r="F91" i="2"/>
  <c r="G265" i="2"/>
  <c r="G61" i="2"/>
  <c r="G445" i="2"/>
  <c r="F338" i="2"/>
  <c r="G376" i="2"/>
  <c r="F324" i="2"/>
  <c r="J396" i="2"/>
  <c r="H332" i="2"/>
  <c r="I109" i="2"/>
  <c r="I249" i="2"/>
  <c r="I331" i="2"/>
  <c r="J501" i="2"/>
  <c r="I168" i="2"/>
  <c r="J283" i="2"/>
  <c r="J107" i="2"/>
  <c r="H457" i="2"/>
  <c r="J292" i="2"/>
  <c r="J201" i="2"/>
  <c r="I307" i="2"/>
  <c r="H442" i="2"/>
  <c r="J120" i="2"/>
  <c r="H408" i="2"/>
  <c r="G479" i="2"/>
  <c r="E213" i="2"/>
  <c r="F446" i="2"/>
  <c r="H419" i="2"/>
  <c r="G374" i="2"/>
  <c r="I462" i="2"/>
  <c r="H161" i="2"/>
  <c r="E239" i="2"/>
  <c r="G239" i="2"/>
  <c r="J311" i="2"/>
  <c r="F118" i="2"/>
  <c r="G444" i="2"/>
  <c r="G396" i="2"/>
  <c r="E377" i="2"/>
  <c r="G278" i="2"/>
  <c r="G229" i="2"/>
  <c r="E428" i="2"/>
  <c r="G428" i="2"/>
  <c r="F168" i="2"/>
  <c r="F449" i="2"/>
  <c r="E271" i="2"/>
  <c r="G449" i="2"/>
  <c r="G380" i="2"/>
  <c r="F111" i="2"/>
  <c r="F470" i="2"/>
  <c r="F363" i="2"/>
  <c r="E499" i="2"/>
  <c r="E143" i="2"/>
  <c r="E30" i="2"/>
  <c r="G45" i="2"/>
  <c r="F334" i="2"/>
  <c r="F490" i="2"/>
  <c r="E321" i="2"/>
  <c r="G437" i="2"/>
  <c r="F68" i="2"/>
  <c r="F55" i="2"/>
  <c r="E485" i="2"/>
  <c r="G237" i="2"/>
  <c r="E481" i="2"/>
  <c r="E39" i="2"/>
  <c r="G38" i="2"/>
  <c r="G337" i="2"/>
  <c r="E218" i="2"/>
  <c r="G105" i="2"/>
  <c r="G112" i="2"/>
  <c r="G7" i="2"/>
  <c r="E378" i="2"/>
  <c r="E141" i="2"/>
  <c r="G311" i="2"/>
  <c r="F409" i="2"/>
  <c r="F462" i="2"/>
  <c r="G11" i="2"/>
  <c r="F367" i="2"/>
  <c r="G85" i="2"/>
  <c r="F385" i="2"/>
  <c r="E331" i="2"/>
  <c r="E501" i="2"/>
  <c r="E414" i="2"/>
  <c r="G110" i="2"/>
  <c r="G371" i="2"/>
  <c r="H329" i="2"/>
  <c r="H183" i="2"/>
  <c r="H430" i="2"/>
  <c r="H21" i="2"/>
  <c r="J407" i="2"/>
  <c r="I200" i="2"/>
  <c r="J418" i="2"/>
  <c r="H150" i="2"/>
  <c r="J482" i="2"/>
  <c r="J79" i="2"/>
  <c r="J24" i="2"/>
  <c r="J150" i="2"/>
  <c r="I468" i="2"/>
  <c r="J178" i="2"/>
  <c r="I386" i="2"/>
  <c r="J386" i="2"/>
  <c r="H455" i="2"/>
  <c r="H160" i="2"/>
  <c r="I42" i="2"/>
  <c r="I343" i="2"/>
  <c r="H485" i="2"/>
  <c r="I46" i="2"/>
  <c r="J38" i="2"/>
  <c r="H431" i="2"/>
  <c r="J136" i="2"/>
  <c r="J10" i="2"/>
  <c r="H188" i="2"/>
  <c r="J111" i="2"/>
  <c r="H495" i="2"/>
  <c r="J138" i="2"/>
  <c r="H121" i="2"/>
  <c r="J231" i="2"/>
  <c r="J204" i="2"/>
  <c r="I157" i="2"/>
  <c r="J393" i="2"/>
  <c r="H393" i="2"/>
  <c r="I393" i="2"/>
  <c r="J460" i="2"/>
  <c r="J326" i="2"/>
  <c r="J167" i="2"/>
  <c r="H331" i="2"/>
  <c r="I457" i="2"/>
  <c r="H167" i="2"/>
  <c r="I501" i="2"/>
  <c r="I417" i="2"/>
  <c r="H340" i="2"/>
  <c r="I134" i="2"/>
  <c r="I354" i="2"/>
  <c r="I442" i="2"/>
  <c r="H449" i="2"/>
  <c r="I248" i="2"/>
  <c r="F369" i="2"/>
  <c r="I391" i="2"/>
  <c r="I302" i="2"/>
  <c r="I502" i="2"/>
  <c r="I419" i="2"/>
  <c r="J105" i="2"/>
  <c r="I161" i="2"/>
  <c r="G60" i="2"/>
  <c r="E329" i="2"/>
  <c r="F115" i="2"/>
  <c r="I311" i="2"/>
  <c r="E199" i="2"/>
  <c r="F211" i="2"/>
  <c r="G238" i="2"/>
  <c r="E119" i="2"/>
  <c r="E290" i="2"/>
  <c r="G377" i="2"/>
  <c r="G122" i="2"/>
  <c r="E365" i="2"/>
  <c r="E449" i="2"/>
  <c r="E175" i="2"/>
  <c r="E486" i="2"/>
  <c r="G439" i="2"/>
  <c r="F451" i="2"/>
  <c r="F406" i="2"/>
  <c r="G336" i="2"/>
  <c r="E172" i="2"/>
  <c r="E219" i="2"/>
  <c r="E392" i="2"/>
  <c r="F45" i="2"/>
  <c r="F430" i="2"/>
  <c r="G279" i="2"/>
  <c r="G160" i="2"/>
  <c r="E384" i="2"/>
  <c r="F368" i="2"/>
  <c r="E236" i="2"/>
  <c r="F405" i="2"/>
  <c r="E150" i="2"/>
  <c r="G354" i="2"/>
  <c r="E161" i="2"/>
  <c r="G101" i="2"/>
  <c r="E189" i="2"/>
  <c r="E419" i="2"/>
  <c r="G476" i="2"/>
  <c r="G473" i="2"/>
  <c r="E117" i="2"/>
  <c r="E495" i="2"/>
  <c r="F244" i="2"/>
  <c r="G362" i="2"/>
  <c r="G463" i="2"/>
  <c r="E242" i="2"/>
  <c r="G400" i="2"/>
  <c r="E215" i="2"/>
  <c r="E22" i="2"/>
  <c r="G206" i="2"/>
  <c r="G129" i="2"/>
  <c r="F125" i="2"/>
  <c r="F228" i="2"/>
  <c r="G47" i="2"/>
  <c r="F371" i="2"/>
  <c r="F199" i="2"/>
  <c r="G165" i="2"/>
  <c r="F471" i="2"/>
  <c r="E396" i="2"/>
  <c r="F396" i="2"/>
  <c r="E297" i="2"/>
  <c r="F238" i="2"/>
  <c r="G455" i="2"/>
  <c r="F486" i="2"/>
  <c r="F271" i="2"/>
  <c r="G185" i="2"/>
  <c r="E439" i="2"/>
  <c r="G120" i="2"/>
  <c r="E407" i="2"/>
  <c r="G140" i="2"/>
  <c r="F491" i="2"/>
  <c r="G499" i="2"/>
  <c r="G67" i="2"/>
  <c r="G196" i="2"/>
  <c r="F231" i="2"/>
  <c r="G497" i="2"/>
  <c r="F67" i="2"/>
  <c r="E29" i="2"/>
  <c r="F316" i="2"/>
  <c r="G227" i="2"/>
  <c r="E237" i="2"/>
  <c r="G131" i="2"/>
  <c r="F39" i="2"/>
  <c r="G39" i="2"/>
  <c r="G465" i="2"/>
  <c r="G413" i="2"/>
  <c r="G288" i="2"/>
  <c r="E298" i="2"/>
  <c r="F142" i="2"/>
  <c r="F495" i="2"/>
  <c r="G339" i="2"/>
  <c r="E309" i="2"/>
  <c r="E179" i="2"/>
  <c r="E461" i="2"/>
  <c r="G169" i="2"/>
  <c r="E326" i="2"/>
  <c r="F170" i="2"/>
  <c r="E91" i="2"/>
  <c r="F375" i="2"/>
  <c r="E187" i="2"/>
  <c r="E273" i="2"/>
  <c r="E188" i="2"/>
  <c r="F93" i="2"/>
  <c r="G224" i="2"/>
  <c r="J160" i="2"/>
  <c r="J96" i="2"/>
  <c r="J14" i="2"/>
  <c r="I392" i="2"/>
  <c r="J130" i="2"/>
  <c r="J251" i="2"/>
  <c r="I472" i="2"/>
  <c r="H127" i="2"/>
  <c r="H3" i="2"/>
  <c r="H37" i="2"/>
  <c r="I296" i="2"/>
  <c r="I258" i="2"/>
  <c r="J369" i="2"/>
  <c r="I333" i="2"/>
  <c r="H326" i="2"/>
  <c r="H97" i="2"/>
  <c r="H31" i="2"/>
  <c r="J97" i="2"/>
  <c r="H223" i="2"/>
  <c r="I34" i="2"/>
  <c r="H54" i="2"/>
  <c r="H452" i="2"/>
  <c r="H246" i="2"/>
  <c r="J351" i="2"/>
  <c r="I413" i="2"/>
  <c r="H450" i="2"/>
  <c r="J340" i="2"/>
  <c r="H354" i="2"/>
  <c r="J307" i="2"/>
  <c r="H95" i="2"/>
  <c r="J12" i="2"/>
  <c r="J449" i="2"/>
  <c r="E369" i="2"/>
  <c r="E332" i="2"/>
  <c r="H502" i="2"/>
  <c r="F40" i="2"/>
  <c r="J328" i="2"/>
  <c r="H462" i="2"/>
  <c r="J161" i="2"/>
  <c r="F60" i="2"/>
  <c r="G348" i="2"/>
  <c r="I313" i="2"/>
  <c r="J308" i="2"/>
  <c r="G62" i="2"/>
  <c r="E122" i="2"/>
  <c r="E421" i="2"/>
  <c r="G31" i="2"/>
  <c r="E424" i="2"/>
  <c r="E262" i="2"/>
  <c r="F262" i="2"/>
  <c r="E77" i="2"/>
  <c r="G261" i="2"/>
  <c r="G36" i="2"/>
  <c r="G458" i="2"/>
  <c r="G164" i="2"/>
  <c r="F407" i="2"/>
  <c r="E406" i="2"/>
  <c r="G135" i="2"/>
  <c r="E382" i="2"/>
  <c r="G321" i="2"/>
  <c r="F196" i="2"/>
  <c r="E334" i="2"/>
  <c r="E253" i="2"/>
  <c r="F181" i="2"/>
  <c r="G292" i="2"/>
  <c r="G343" i="2"/>
  <c r="E180" i="2"/>
  <c r="G316" i="2"/>
  <c r="G346" i="2"/>
  <c r="E259" i="2"/>
  <c r="F257" i="2"/>
  <c r="E247" i="2"/>
  <c r="F38" i="2"/>
  <c r="F413" i="2"/>
  <c r="E281" i="2"/>
  <c r="E82" i="2"/>
  <c r="E112" i="2"/>
  <c r="G209" i="2"/>
  <c r="F79" i="2"/>
  <c r="F478" i="2"/>
  <c r="E350" i="2"/>
  <c r="E252" i="2"/>
  <c r="G147" i="2"/>
  <c r="G394" i="2"/>
  <c r="G215" i="2"/>
  <c r="G15" i="2"/>
  <c r="F65" i="2"/>
  <c r="F366" i="2"/>
  <c r="F501" i="2"/>
  <c r="E137" i="2"/>
  <c r="F27" i="2"/>
  <c r="G174" i="2"/>
  <c r="I56" i="2"/>
  <c r="H299" i="2"/>
  <c r="I139" i="2"/>
  <c r="I156" i="2"/>
  <c r="J447" i="2"/>
  <c r="J154" i="2"/>
  <c r="H218" i="2"/>
  <c r="J456" i="2"/>
  <c r="H367" i="2"/>
  <c r="I418" i="2"/>
  <c r="H464" i="2"/>
  <c r="I7" i="2"/>
  <c r="H376" i="2"/>
  <c r="J254" i="2"/>
  <c r="J68" i="2"/>
  <c r="I68" i="2"/>
  <c r="H256" i="2"/>
  <c r="J409" i="2"/>
  <c r="I490" i="2"/>
  <c r="J356" i="2"/>
  <c r="J117" i="2"/>
  <c r="H146" i="2"/>
  <c r="I485" i="2"/>
  <c r="I160" i="2"/>
  <c r="J343" i="2"/>
  <c r="H461" i="2"/>
  <c r="J275" i="2"/>
  <c r="I53" i="2"/>
  <c r="H130" i="2"/>
  <c r="I431" i="2"/>
  <c r="I453" i="2"/>
  <c r="J188" i="2"/>
  <c r="I279" i="2"/>
  <c r="J372" i="2"/>
  <c r="I37" i="2"/>
  <c r="H165" i="2"/>
  <c r="I25" i="2"/>
  <c r="I33" i="2"/>
  <c r="J223" i="2"/>
  <c r="H212" i="2"/>
  <c r="J109" i="2"/>
  <c r="H33" i="2"/>
  <c r="H43" i="2"/>
  <c r="H327" i="2"/>
  <c r="H199" i="2"/>
  <c r="I450" i="2"/>
  <c r="J270" i="2"/>
  <c r="J71" i="2"/>
  <c r="I378" i="2"/>
  <c r="H11" i="2"/>
  <c r="I158" i="2"/>
  <c r="I47" i="2"/>
  <c r="J395" i="2"/>
  <c r="H481" i="2"/>
  <c r="F479" i="2"/>
  <c r="G58" i="2"/>
  <c r="F353" i="2"/>
  <c r="I498" i="2"/>
  <c r="G76" i="2"/>
  <c r="J502" i="2"/>
  <c r="J401" i="2"/>
  <c r="J190" i="2"/>
  <c r="G146" i="2"/>
  <c r="G118" i="2"/>
  <c r="G438" i="2"/>
  <c r="I435" i="2"/>
  <c r="E35" i="2"/>
  <c r="F423" i="2"/>
  <c r="F73" i="2"/>
  <c r="E165" i="2"/>
  <c r="E31" i="2"/>
  <c r="G119" i="2"/>
  <c r="E300" i="2"/>
  <c r="E133" i="2"/>
  <c r="E261" i="2"/>
  <c r="G175" i="2"/>
  <c r="G44" i="2"/>
  <c r="G197" i="2"/>
  <c r="E240" i="2"/>
  <c r="G470" i="2"/>
  <c r="F135" i="2"/>
  <c r="E57" i="2"/>
  <c r="E160" i="2"/>
  <c r="E231" i="2"/>
  <c r="E497" i="2"/>
  <c r="G412" i="2"/>
  <c r="F412" i="2"/>
  <c r="G392" i="2"/>
  <c r="G360" i="2"/>
  <c r="G276" i="2"/>
  <c r="E316" i="2"/>
  <c r="F481" i="2"/>
  <c r="F95" i="2"/>
  <c r="G247" i="2"/>
  <c r="G319" i="2"/>
  <c r="F201" i="2"/>
  <c r="E337" i="2"/>
  <c r="E285" i="2"/>
  <c r="F105" i="2"/>
  <c r="E425" i="2"/>
  <c r="F117" i="2"/>
  <c r="E4" i="2"/>
  <c r="G498" i="2"/>
  <c r="G344" i="2"/>
  <c r="F173" i="2"/>
  <c r="F294" i="2"/>
  <c r="F210" i="2"/>
  <c r="G475" i="2"/>
  <c r="F286" i="2"/>
  <c r="F53" i="2"/>
  <c r="E391" i="2"/>
  <c r="E341" i="2"/>
  <c r="F217" i="2"/>
  <c r="G357" i="2"/>
  <c r="E432" i="2"/>
  <c r="J442" i="2"/>
  <c r="I321" i="2"/>
  <c r="I12" i="2"/>
  <c r="G359" i="2"/>
  <c r="E182" i="2"/>
  <c r="E446" i="2"/>
  <c r="E353" i="2"/>
  <c r="G332" i="2"/>
  <c r="I347" i="2"/>
  <c r="H401" i="2"/>
  <c r="E94" i="2"/>
  <c r="F24" i="2"/>
  <c r="J474" i="2"/>
  <c r="H420" i="2"/>
  <c r="F438" i="2"/>
  <c r="E468" i="2"/>
  <c r="E153" i="2"/>
  <c r="F428" i="2"/>
  <c r="F377" i="2"/>
  <c r="F165" i="2"/>
  <c r="F477" i="2"/>
  <c r="E72" i="2"/>
  <c r="G300" i="2"/>
  <c r="F261" i="2"/>
  <c r="G486" i="2"/>
  <c r="F136" i="2"/>
  <c r="E221" i="2"/>
  <c r="G406" i="2"/>
  <c r="F26" i="2"/>
  <c r="G356" i="2"/>
  <c r="E67" i="2"/>
  <c r="E56" i="2"/>
  <c r="E459" i="2"/>
  <c r="F452" i="2"/>
  <c r="F30" i="2"/>
  <c r="E34" i="2"/>
  <c r="E196" i="2"/>
  <c r="G55" i="2"/>
  <c r="F318" i="2"/>
  <c r="F180" i="2"/>
  <c r="G302" i="2"/>
  <c r="G95" i="2"/>
  <c r="F161" i="2"/>
  <c r="F101" i="2"/>
  <c r="G167" i="2"/>
  <c r="F132" i="2"/>
  <c r="E107" i="2"/>
  <c r="F427" i="2"/>
  <c r="E328" i="2"/>
  <c r="E395" i="2"/>
  <c r="E89" i="2"/>
  <c r="G434" i="2"/>
  <c r="E244" i="2"/>
  <c r="G152" i="2"/>
  <c r="G294" i="2"/>
  <c r="F11" i="2"/>
  <c r="E9" i="2"/>
  <c r="F15" i="2"/>
  <c r="G312" i="2"/>
  <c r="F489" i="2"/>
  <c r="G100" i="2"/>
  <c r="G162" i="2"/>
  <c r="F47" i="2"/>
  <c r="E148" i="2"/>
  <c r="I448" i="2"/>
  <c r="J315" i="2"/>
  <c r="I476" i="2"/>
  <c r="I132" i="2"/>
  <c r="J252" i="2"/>
  <c r="H46" i="2"/>
  <c r="J476" i="2"/>
  <c r="H384" i="2"/>
  <c r="I55" i="2"/>
  <c r="H398" i="2"/>
  <c r="H108" i="2"/>
  <c r="I127" i="2"/>
  <c r="J291" i="2"/>
  <c r="I138" i="2"/>
  <c r="J3" i="2"/>
  <c r="I360" i="2"/>
  <c r="I22" i="2"/>
  <c r="I267" i="2"/>
  <c r="I194" i="2"/>
  <c r="H98" i="2"/>
  <c r="I223" i="2"/>
  <c r="J147" i="2"/>
  <c r="J438" i="2"/>
  <c r="I76" i="2"/>
  <c r="J54" i="2"/>
  <c r="I327" i="2"/>
  <c r="J327" i="2"/>
  <c r="H168" i="2"/>
  <c r="I191" i="2"/>
  <c r="H110" i="2"/>
  <c r="I11" i="2"/>
  <c r="I379" i="2"/>
  <c r="J95" i="2"/>
  <c r="H439" i="2"/>
  <c r="J481" i="2"/>
  <c r="E359" i="2"/>
  <c r="E138" i="2"/>
  <c r="G33" i="2"/>
  <c r="F431" i="2"/>
  <c r="E472" i="2"/>
  <c r="E40" i="2"/>
  <c r="F441" i="2"/>
  <c r="F364" i="2"/>
  <c r="F348" i="2"/>
  <c r="H319" i="2"/>
  <c r="J313" i="2"/>
  <c r="I319" i="2"/>
  <c r="G262" i="2"/>
  <c r="E477" i="2"/>
  <c r="F43" i="2"/>
  <c r="F297" i="2"/>
  <c r="G254" i="2"/>
  <c r="F31" i="2"/>
  <c r="E168" i="2"/>
  <c r="F133" i="2"/>
  <c r="F223" i="2"/>
  <c r="E185" i="2"/>
  <c r="G271" i="2"/>
  <c r="F164" i="2"/>
  <c r="G451" i="2"/>
  <c r="G467" i="2"/>
  <c r="E140" i="2"/>
  <c r="G57" i="2"/>
  <c r="G30" i="2"/>
  <c r="G283" i="2"/>
  <c r="E283" i="2"/>
  <c r="E45" i="2"/>
  <c r="F392" i="2"/>
  <c r="G29" i="2"/>
  <c r="G180" i="2"/>
  <c r="F373" i="2"/>
  <c r="G68" i="2"/>
  <c r="F346" i="2"/>
  <c r="E131" i="2"/>
  <c r="F247" i="2"/>
  <c r="E465" i="2"/>
  <c r="F167" i="2"/>
  <c r="G151" i="2"/>
  <c r="F218" i="2"/>
  <c r="G425" i="2"/>
  <c r="F64" i="2"/>
  <c r="G453" i="2"/>
  <c r="E163" i="2"/>
  <c r="E362" i="2"/>
  <c r="F393" i="2"/>
  <c r="G50" i="2"/>
  <c r="G242" i="2"/>
  <c r="E506" i="2"/>
  <c r="E435" i="2"/>
  <c r="E104" i="2"/>
  <c r="E65" i="2"/>
  <c r="G489" i="2"/>
  <c r="E12" i="2"/>
  <c r="E442" i="2"/>
  <c r="E284" i="2"/>
  <c r="G432" i="2"/>
  <c r="J2" i="2"/>
  <c r="I73" i="2"/>
  <c r="H40" i="2"/>
  <c r="I197" i="2"/>
  <c r="I99" i="2"/>
  <c r="I504" i="2"/>
  <c r="H73" i="2"/>
  <c r="H444" i="2"/>
  <c r="H61" i="2"/>
  <c r="J21" i="2"/>
  <c r="J284" i="2"/>
  <c r="I119" i="2"/>
  <c r="I176" i="2"/>
  <c r="I276" i="2"/>
  <c r="H314" i="2"/>
  <c r="J49" i="2"/>
  <c r="J151" i="2"/>
  <c r="J90" i="2"/>
  <c r="J162" i="2"/>
  <c r="I8" i="2"/>
  <c r="J323" i="2"/>
  <c r="I471" i="2"/>
  <c r="J475" i="2"/>
  <c r="J264" i="2"/>
  <c r="H505" i="2"/>
  <c r="J376" i="2"/>
  <c r="J294" i="2"/>
  <c r="H386" i="2"/>
  <c r="I356" i="2"/>
  <c r="J461" i="2"/>
  <c r="I455" i="2"/>
  <c r="I426" i="2"/>
  <c r="J118" i="2"/>
  <c r="J335" i="2"/>
  <c r="J324" i="2"/>
  <c r="J384" i="2"/>
  <c r="H234" i="2"/>
  <c r="H503" i="2"/>
  <c r="I255" i="2"/>
  <c r="H372" i="2"/>
  <c r="J330" i="2"/>
  <c r="H57" i="2"/>
  <c r="J121" i="2"/>
  <c r="I278" i="2"/>
  <c r="I189" i="2"/>
  <c r="H305" i="2"/>
  <c r="I460" i="2"/>
  <c r="I147" i="2"/>
  <c r="J34" i="2"/>
  <c r="H396" i="2"/>
  <c r="H411" i="2"/>
  <c r="J191" i="2"/>
  <c r="H491" i="2"/>
  <c r="I440" i="2"/>
  <c r="H191" i="2"/>
  <c r="J457" i="2"/>
  <c r="H501" i="2"/>
  <c r="H292" i="2"/>
  <c r="I373" i="2"/>
  <c r="H134" i="2"/>
  <c r="I439" i="2"/>
  <c r="I395" i="2"/>
  <c r="H248" i="2"/>
  <c r="G200" i="2"/>
  <c r="G182" i="2"/>
  <c r="I328" i="2"/>
  <c r="F332" i="2"/>
  <c r="H328" i="2"/>
  <c r="G431" i="2"/>
  <c r="I253" i="2"/>
  <c r="G364" i="2"/>
  <c r="G329" i="2"/>
  <c r="H311" i="2"/>
  <c r="E438" i="2"/>
  <c r="J420" i="2"/>
  <c r="F304" i="2"/>
  <c r="E496" i="2"/>
  <c r="F153" i="2"/>
  <c r="E238" i="2"/>
  <c r="E270" i="2"/>
  <c r="F305" i="2"/>
  <c r="G77" i="2"/>
  <c r="G72" i="2"/>
  <c r="F248" i="2"/>
  <c r="F342" i="2"/>
  <c r="E36" i="2"/>
  <c r="F361" i="2"/>
  <c r="E470" i="2"/>
  <c r="F467" i="2"/>
  <c r="F205" i="2"/>
  <c r="E37" i="2"/>
  <c r="E292" i="2"/>
  <c r="E234" i="2"/>
  <c r="E452" i="2"/>
  <c r="G106" i="2"/>
  <c r="F292" i="2"/>
  <c r="G193" i="2"/>
  <c r="F29" i="2"/>
  <c r="F360" i="2"/>
  <c r="E437" i="2"/>
  <c r="E249" i="2"/>
  <c r="G485" i="2"/>
  <c r="G502" i="2"/>
  <c r="E38" i="2"/>
  <c r="F80" i="2"/>
  <c r="E296" i="2"/>
  <c r="F107" i="2"/>
  <c r="F82" i="2"/>
  <c r="G48" i="2"/>
  <c r="G163" i="2"/>
  <c r="F323" i="2"/>
  <c r="F17" i="2"/>
  <c r="F390" i="2"/>
  <c r="F268" i="2"/>
  <c r="G313" i="2"/>
  <c r="E351" i="2"/>
  <c r="G403" i="2"/>
  <c r="G104" i="2"/>
  <c r="E127" i="2"/>
  <c r="F500" i="2"/>
  <c r="E186" i="2"/>
  <c r="E251" i="2"/>
  <c r="F184" i="2"/>
  <c r="E397" i="2"/>
  <c r="H320" i="2"/>
  <c r="J371" i="2"/>
  <c r="I433" i="2"/>
  <c r="I151" i="2"/>
  <c r="J29" i="2"/>
  <c r="H244" i="2"/>
  <c r="H8" i="2"/>
  <c r="I137" i="2"/>
  <c r="H323" i="2"/>
  <c r="I24" i="2"/>
  <c r="H264" i="2"/>
  <c r="I264" i="2"/>
  <c r="I220" i="2"/>
  <c r="I412" i="2"/>
  <c r="H30" i="2"/>
  <c r="J490" i="2"/>
  <c r="I415" i="2"/>
  <c r="J123" i="2"/>
  <c r="I175" i="2"/>
  <c r="J132" i="2"/>
  <c r="H390" i="2"/>
  <c r="J390" i="2"/>
  <c r="H324" i="2"/>
  <c r="J55" i="2"/>
  <c r="J443" i="2"/>
  <c r="H451" i="2"/>
  <c r="I251" i="2"/>
  <c r="J127" i="2"/>
  <c r="J360" i="2"/>
  <c r="H173" i="2"/>
  <c r="H368" i="2"/>
  <c r="J171" i="2"/>
  <c r="J241" i="2"/>
  <c r="J377" i="2"/>
  <c r="J67" i="2"/>
  <c r="J458" i="2"/>
  <c r="J98" i="2"/>
  <c r="H140" i="2"/>
  <c r="J124" i="2"/>
  <c r="J76" i="2"/>
  <c r="J82" i="2"/>
  <c r="I172" i="2"/>
  <c r="I54" i="2"/>
  <c r="H417" i="2"/>
  <c r="I283" i="2"/>
  <c r="J318" i="2"/>
  <c r="J116" i="2"/>
  <c r="J416" i="2"/>
  <c r="J494" i="2"/>
  <c r="J321" i="2"/>
  <c r="I120" i="2"/>
  <c r="G369" i="2"/>
  <c r="E200" i="2"/>
  <c r="E183" i="2"/>
  <c r="G446" i="2"/>
  <c r="F23" i="2"/>
  <c r="F76" i="2"/>
  <c r="E441" i="2"/>
  <c r="E364" i="2"/>
  <c r="F239" i="2"/>
  <c r="F62" i="2"/>
  <c r="J435" i="2"/>
  <c r="G199" i="2"/>
  <c r="F468" i="2"/>
  <c r="G43" i="2"/>
  <c r="G35" i="2"/>
  <c r="G13" i="2"/>
  <c r="F35" i="2"/>
  <c r="F278" i="2"/>
  <c r="F365" i="2"/>
  <c r="E455" i="2"/>
  <c r="F458" i="2"/>
  <c r="E154" i="2"/>
  <c r="F175" i="2"/>
  <c r="E380" i="2"/>
  <c r="G407" i="2"/>
  <c r="G205" i="2"/>
  <c r="E26" i="2"/>
  <c r="F172" i="2"/>
  <c r="G130" i="2"/>
  <c r="G231" i="2"/>
  <c r="E358" i="2"/>
  <c r="E430" i="2"/>
  <c r="F124" i="2"/>
  <c r="F276" i="2"/>
  <c r="E373" i="2"/>
  <c r="E178" i="2"/>
  <c r="E360" i="2"/>
  <c r="F485" i="2"/>
  <c r="G447" i="2"/>
  <c r="G493" i="2"/>
  <c r="G201" i="2"/>
  <c r="E101" i="2"/>
  <c r="G92" i="2"/>
  <c r="G281" i="2"/>
  <c r="F473" i="2"/>
  <c r="F112" i="2"/>
  <c r="F163" i="2"/>
  <c r="F395" i="2"/>
  <c r="E434" i="2"/>
  <c r="E494" i="2"/>
  <c r="G409" i="2"/>
  <c r="G252" i="2"/>
  <c r="G194" i="2"/>
  <c r="G303" i="2"/>
  <c r="F387" i="2"/>
  <c r="E426" i="2"/>
  <c r="F433" i="2"/>
  <c r="E448" i="2"/>
  <c r="G256" i="2"/>
  <c r="G482" i="2"/>
  <c r="G293" i="2"/>
  <c r="F88" i="2"/>
  <c r="E294" i="2"/>
  <c r="G268" i="2"/>
  <c r="F326" i="2"/>
  <c r="G70" i="2"/>
  <c r="F351" i="2"/>
  <c r="F303" i="2"/>
  <c r="E403" i="2"/>
  <c r="G411" i="2"/>
  <c r="F22" i="2"/>
  <c r="E411" i="2"/>
  <c r="E500" i="2"/>
  <c r="F187" i="2"/>
  <c r="G391" i="2"/>
  <c r="G108" i="2"/>
  <c r="E108" i="2"/>
  <c r="E385" i="2"/>
  <c r="E100" i="2"/>
  <c r="E41" i="2"/>
  <c r="E74" i="2"/>
  <c r="E474" i="2"/>
  <c r="F250" i="2"/>
  <c r="E113" i="2"/>
  <c r="G457" i="2"/>
  <c r="G417" i="2"/>
  <c r="G277" i="2"/>
  <c r="E482" i="2"/>
  <c r="F203" i="2"/>
  <c r="E488" i="2"/>
  <c r="E212" i="2"/>
  <c r="E275" i="2"/>
  <c r="G27" i="2"/>
  <c r="G504" i="2"/>
  <c r="E324" i="2"/>
  <c r="E280" i="2"/>
  <c r="G202" i="2"/>
  <c r="G484" i="2"/>
  <c r="E352" i="2"/>
  <c r="F397" i="2"/>
  <c r="F293" i="2"/>
  <c r="F487" i="2"/>
  <c r="F443" i="2"/>
  <c r="G328" i="2"/>
  <c r="G49" i="2"/>
  <c r="F4" i="2"/>
  <c r="G89" i="2"/>
  <c r="G464" i="2"/>
  <c r="F378" i="2"/>
  <c r="E83" i="2"/>
  <c r="G478" i="2"/>
  <c r="F83" i="2"/>
  <c r="F51" i="2"/>
  <c r="E258" i="2"/>
  <c r="E390" i="2"/>
  <c r="G258" i="2"/>
  <c r="G54" i="2"/>
  <c r="G320" i="2"/>
  <c r="F289" i="2"/>
  <c r="E170" i="2"/>
  <c r="G379" i="2"/>
  <c r="F330" i="2"/>
  <c r="G232" i="2"/>
  <c r="E387" i="2"/>
  <c r="G187" i="2"/>
  <c r="E53" i="2"/>
  <c r="G483" i="2"/>
  <c r="G450" i="2"/>
  <c r="G10" i="2"/>
  <c r="E301" i="2"/>
  <c r="G14" i="2"/>
  <c r="F74" i="2"/>
  <c r="F41" i="2"/>
  <c r="E233" i="2"/>
  <c r="E315" i="2"/>
  <c r="F137" i="2"/>
  <c r="E69" i="2"/>
  <c r="E27" i="2"/>
  <c r="E162" i="2"/>
  <c r="F162" i="2"/>
  <c r="G145" i="2"/>
  <c r="G212" i="2"/>
  <c r="E110" i="2"/>
  <c r="G284" i="2"/>
  <c r="G299" i="2"/>
  <c r="G282" i="2"/>
  <c r="G123" i="2"/>
  <c r="G324" i="2"/>
  <c r="F335" i="2"/>
  <c r="E246" i="2"/>
  <c r="F352" i="2"/>
  <c r="G422" i="2"/>
  <c r="F90" i="2"/>
  <c r="E386" i="2"/>
  <c r="F243" i="2"/>
  <c r="E443" i="2"/>
  <c r="G427" i="2"/>
  <c r="F425" i="2"/>
  <c r="F287" i="2"/>
  <c r="E209" i="2"/>
  <c r="G495" i="2"/>
  <c r="F141" i="2"/>
  <c r="E498" i="2"/>
  <c r="G350" i="2"/>
  <c r="E268" i="2"/>
  <c r="F463" i="2"/>
  <c r="G461" i="2"/>
  <c r="F169" i="2"/>
  <c r="E409" i="2"/>
  <c r="E210" i="2"/>
  <c r="G210" i="2"/>
  <c r="G177" i="2"/>
  <c r="F403" i="2"/>
  <c r="F435" i="2"/>
  <c r="F226" i="2"/>
  <c r="E144" i="2"/>
  <c r="F232" i="2"/>
  <c r="E489" i="2"/>
  <c r="F198" i="2"/>
  <c r="F98" i="2"/>
  <c r="E433" i="2"/>
  <c r="E61" i="2"/>
  <c r="G500" i="2"/>
  <c r="G225" i="2"/>
  <c r="E445" i="2"/>
  <c r="G52" i="2"/>
  <c r="G128" i="2"/>
  <c r="E250" i="2"/>
  <c r="E420" i="2"/>
  <c r="E260" i="2"/>
  <c r="F251" i="2"/>
  <c r="E376" i="2"/>
  <c r="F442" i="2"/>
  <c r="F110" i="2"/>
  <c r="E195" i="2"/>
  <c r="E299" i="2"/>
  <c r="F399" i="2"/>
  <c r="F116" i="2"/>
  <c r="G416" i="2"/>
  <c r="F505" i="2"/>
  <c r="E126" i="2"/>
  <c r="E174" i="2"/>
  <c r="E349" i="2"/>
  <c r="F389" i="2"/>
  <c r="G397" i="2"/>
  <c r="F18" i="2"/>
  <c r="F314" i="2"/>
  <c r="E312" i="2"/>
  <c r="E366" i="2"/>
  <c r="G366" i="2"/>
  <c r="E10" i="2"/>
  <c r="E81" i="2"/>
  <c r="G12" i="2"/>
  <c r="F16" i="2"/>
  <c r="E220" i="2"/>
  <c r="F69" i="2"/>
  <c r="E338" i="2"/>
  <c r="G217" i="2"/>
  <c r="E84" i="2"/>
  <c r="G195" i="2"/>
  <c r="F171" i="2"/>
  <c r="E47" i="2"/>
  <c r="F333" i="2"/>
  <c r="E116" i="2"/>
  <c r="E145" i="2"/>
  <c r="F84" i="2"/>
  <c r="E149" i="2"/>
  <c r="G505" i="2"/>
  <c r="E371" i="2"/>
  <c r="E484" i="2"/>
  <c r="G349" i="2"/>
  <c r="G214" i="2"/>
  <c r="F3" i="2"/>
  <c r="G18" i="2"/>
  <c r="E21" i="2"/>
  <c r="E190" i="2"/>
  <c r="E123" i="2"/>
  <c r="G306" i="2"/>
  <c r="E42" i="2"/>
  <c r="F99" i="2"/>
  <c r="F432" i="2"/>
  <c r="G75" i="2"/>
  <c r="G314" i="2"/>
  <c r="G418" i="2"/>
  <c r="F379" i="2"/>
  <c r="G91" i="2"/>
  <c r="G255" i="2"/>
  <c r="F104" i="2"/>
  <c r="G331" i="2"/>
  <c r="E375" i="2"/>
  <c r="F108" i="2"/>
  <c r="F391" i="2"/>
  <c r="F466" i="2"/>
  <c r="E503" i="2"/>
  <c r="E52" i="2"/>
  <c r="G16" i="2"/>
  <c r="E14" i="2"/>
  <c r="G414" i="2"/>
  <c r="G220" i="2"/>
  <c r="F315" i="2"/>
  <c r="F474" i="2"/>
  <c r="G315" i="2"/>
  <c r="E171" i="2"/>
  <c r="E417" i="2"/>
  <c r="F114" i="2"/>
  <c r="G191" i="2"/>
  <c r="F325" i="2"/>
  <c r="F488" i="2"/>
  <c r="E63" i="2"/>
  <c r="G204" i="2"/>
  <c r="E398" i="2"/>
  <c r="F280" i="2"/>
  <c r="F134" i="2"/>
  <c r="F349" i="2"/>
  <c r="F148" i="2"/>
  <c r="G456" i="2"/>
  <c r="E3" i="2"/>
  <c r="F21" i="2"/>
  <c r="E2" i="2"/>
  <c r="G308" i="2"/>
  <c r="E464" i="2"/>
  <c r="F7" i="2"/>
  <c r="F498" i="2"/>
  <c r="E291" i="2"/>
  <c r="G309" i="2"/>
  <c r="F32" i="2"/>
  <c r="F440" i="2"/>
  <c r="G440" i="2"/>
  <c r="F383" i="2"/>
  <c r="G383" i="2"/>
  <c r="E394" i="2"/>
  <c r="F177" i="2"/>
  <c r="F194" i="2"/>
  <c r="E475" i="2"/>
  <c r="F192" i="2"/>
  <c r="G22" i="2"/>
  <c r="G20" i="2"/>
  <c r="F265" i="2"/>
  <c r="G235" i="2"/>
  <c r="F206" i="2"/>
  <c r="G65" i="2"/>
  <c r="E429" i="2"/>
  <c r="F127" i="2"/>
  <c r="F273" i="2"/>
  <c r="G74" i="2"/>
  <c r="F225" i="2"/>
  <c r="F241" i="2"/>
  <c r="F113" i="2"/>
  <c r="F448" i="2"/>
  <c r="G228" i="2"/>
  <c r="F420" i="2"/>
  <c r="F6" i="2"/>
  <c r="E166" i="2"/>
  <c r="F195" i="2"/>
  <c r="E399" i="2"/>
  <c r="G415" i="2"/>
  <c r="F376" i="2"/>
  <c r="F256" i="2"/>
  <c r="E416" i="2"/>
  <c r="F149" i="2"/>
  <c r="E306" i="2"/>
  <c r="F224" i="2"/>
  <c r="E99" i="2"/>
  <c r="G158" i="2"/>
  <c r="E159" i="2"/>
  <c r="G159" i="2"/>
  <c r="F418" i="2"/>
  <c r="G378" i="2"/>
  <c r="G102" i="2"/>
  <c r="F362" i="2"/>
  <c r="G179" i="2"/>
  <c r="F313" i="2"/>
  <c r="F252" i="2"/>
  <c r="E383" i="2"/>
  <c r="E440" i="2"/>
  <c r="G173" i="2"/>
  <c r="E400" i="2"/>
  <c r="E345" i="2"/>
  <c r="E289" i="2"/>
  <c r="F9" i="2"/>
  <c r="G226" i="2"/>
  <c r="E192" i="2"/>
  <c r="E15" i="2"/>
  <c r="G53" i="2"/>
  <c r="G385" i="2"/>
  <c r="E263" i="2"/>
  <c r="E483" i="2"/>
  <c r="E265" i="2"/>
  <c r="F483" i="2"/>
  <c r="F445" i="2"/>
  <c r="F100" i="2"/>
  <c r="G341" i="2"/>
  <c r="E264" i="2"/>
  <c r="G250" i="2"/>
  <c r="G87" i="2"/>
  <c r="G474" i="2"/>
  <c r="E87" i="2"/>
  <c r="F145" i="2"/>
  <c r="E184" i="2"/>
  <c r="G93" i="2"/>
  <c r="F357" i="2"/>
  <c r="G166" i="2"/>
  <c r="G6" i="2"/>
  <c r="F157" i="2"/>
  <c r="G190" i="2"/>
  <c r="E504" i="2"/>
  <c r="F306" i="2"/>
  <c r="G99" i="2"/>
  <c r="F174" i="2"/>
  <c r="F246" i="2"/>
  <c r="E456" i="2"/>
  <c r="E208" i="2"/>
  <c r="E418" i="2"/>
  <c r="G240" i="2"/>
  <c r="F140" i="2"/>
  <c r="E410" i="2"/>
  <c r="G124" i="2"/>
  <c r="G143" i="2"/>
  <c r="G452" i="2"/>
  <c r="F499" i="2"/>
  <c r="E491" i="2"/>
  <c r="E176" i="2"/>
  <c r="E19" i="2"/>
  <c r="F343" i="2"/>
  <c r="E343" i="2"/>
  <c r="F437" i="2"/>
  <c r="G384" i="2"/>
  <c r="F131" i="2"/>
  <c r="G86" i="2"/>
  <c r="E447" i="2"/>
  <c r="E347" i="2"/>
  <c r="G347" i="2"/>
  <c r="E167" i="2"/>
  <c r="F151" i="2"/>
  <c r="E92" i="2"/>
  <c r="G107" i="2"/>
  <c r="E48" i="2"/>
  <c r="E473" i="2"/>
  <c r="E355" i="2"/>
  <c r="G287" i="2"/>
  <c r="F89" i="2"/>
  <c r="G492" i="2"/>
  <c r="F102" i="2"/>
  <c r="F350" i="2"/>
  <c r="F121" i="2"/>
  <c r="G462" i="2"/>
  <c r="F50" i="2"/>
  <c r="F103" i="2"/>
  <c r="E147" i="2"/>
  <c r="G390" i="2"/>
  <c r="F320" i="2"/>
  <c r="G506" i="2"/>
  <c r="G289" i="2"/>
  <c r="E303" i="2"/>
  <c r="G192" i="2"/>
  <c r="G286" i="2"/>
  <c r="G144" i="2"/>
  <c r="G426" i="2"/>
  <c r="F10" i="2"/>
  <c r="G375" i="2"/>
  <c r="G301" i="2"/>
  <c r="F129" i="2"/>
  <c r="F301" i="2"/>
  <c r="F52" i="2"/>
  <c r="G273" i="2"/>
  <c r="F14" i="2"/>
  <c r="G260" i="2"/>
  <c r="E128" i="2"/>
  <c r="E457" i="2"/>
  <c r="E469" i="2"/>
  <c r="F87" i="2"/>
  <c r="G442" i="2"/>
  <c r="G203" i="2"/>
  <c r="G325" i="2"/>
  <c r="E93" i="2"/>
  <c r="F402" i="2"/>
  <c r="G116" i="2"/>
  <c r="F191" i="2"/>
  <c r="E282" i="2"/>
  <c r="G398" i="2"/>
  <c r="E25" i="2"/>
  <c r="E389" i="2"/>
  <c r="F484" i="2"/>
  <c r="F42" i="2"/>
  <c r="E317" i="2"/>
  <c r="F208" i="2"/>
  <c r="E293" i="2"/>
  <c r="E241" i="2"/>
  <c r="F264" i="2"/>
  <c r="F188" i="2"/>
  <c r="F457" i="2"/>
  <c r="G370" i="2"/>
  <c r="F277" i="2"/>
  <c r="F166" i="2"/>
  <c r="E460" i="2"/>
  <c r="F372" i="2"/>
  <c r="E480" i="2"/>
  <c r="F284" i="2"/>
  <c r="E204" i="2"/>
  <c r="E266" i="2"/>
  <c r="E505" i="2"/>
  <c r="E202" i="2"/>
  <c r="G246" i="2"/>
  <c r="E335" i="2"/>
  <c r="F422" i="2"/>
  <c r="E75" i="2"/>
  <c r="G90" i="2"/>
  <c r="G248" i="2"/>
  <c r="E223" i="2"/>
  <c r="E342" i="2"/>
  <c r="G66" i="2"/>
  <c r="G111" i="2"/>
  <c r="F120" i="2"/>
  <c r="F336" i="2"/>
  <c r="G382" i="2"/>
  <c r="F19" i="2"/>
  <c r="G327" i="2"/>
  <c r="F327" i="2"/>
  <c r="F176" i="2"/>
  <c r="E130" i="2"/>
  <c r="F310" i="2"/>
  <c r="E327" i="2"/>
  <c r="G373" i="2"/>
  <c r="E322" i="2"/>
  <c r="G178" i="2"/>
  <c r="F384" i="2"/>
  <c r="E59" i="2"/>
  <c r="E346" i="2"/>
  <c r="F249" i="2"/>
  <c r="F493" i="2"/>
  <c r="E493" i="2"/>
  <c r="E201" i="2"/>
  <c r="G296" i="2"/>
  <c r="F337" i="2"/>
  <c r="E243" i="2"/>
  <c r="E476" i="2"/>
  <c r="G355" i="2"/>
  <c r="F328" i="2"/>
  <c r="F492" i="2"/>
  <c r="E323" i="2"/>
  <c r="F308" i="2"/>
  <c r="G17" i="2"/>
  <c r="F179" i="2"/>
  <c r="F309" i="2"/>
  <c r="G32" i="2"/>
  <c r="E50" i="2"/>
  <c r="F242" i="2"/>
  <c r="G51" i="2"/>
  <c r="G326" i="2"/>
  <c r="E320" i="2"/>
  <c r="E194" i="2"/>
  <c r="G367" i="2"/>
  <c r="F215" i="2"/>
  <c r="E330" i="2"/>
  <c r="F144" i="2"/>
  <c r="G330" i="2"/>
  <c r="G429" i="2"/>
  <c r="G198" i="2"/>
  <c r="G454" i="2"/>
  <c r="G98" i="2"/>
  <c r="F503" i="2"/>
  <c r="G263" i="2"/>
  <c r="E16" i="2"/>
  <c r="E5" i="2"/>
  <c r="G8" i="2"/>
  <c r="F469" i="2"/>
  <c r="E216" i="2"/>
  <c r="G216" i="2"/>
  <c r="F260" i="2"/>
  <c r="G264" i="2"/>
  <c r="E6" i="2"/>
  <c r="F415" i="2"/>
  <c r="E333" i="2"/>
  <c r="F63" i="2"/>
  <c r="G171" i="2"/>
  <c r="G399" i="2"/>
  <c r="G480" i="2"/>
  <c r="F204" i="2"/>
  <c r="F504" i="2"/>
  <c r="F123" i="2"/>
  <c r="E214" i="2"/>
  <c r="F202" i="2"/>
  <c r="G335" i="2"/>
  <c r="F159" i="2"/>
  <c r="G3" i="2"/>
  <c r="E18" i="2"/>
  <c r="E450" i="2"/>
  <c r="G81" i="2"/>
  <c r="F12" i="2"/>
  <c r="G125" i="2"/>
  <c r="G338" i="2"/>
  <c r="G186" i="2"/>
  <c r="E217" i="2"/>
  <c r="G469" i="2"/>
  <c r="F186" i="2"/>
  <c r="E325" i="2"/>
  <c r="F417" i="2"/>
  <c r="E157" i="2"/>
  <c r="E415" i="2"/>
  <c r="E114" i="2"/>
  <c r="E191" i="2"/>
  <c r="E357" i="2"/>
  <c r="F190" i="2"/>
  <c r="F282" i="2"/>
  <c r="G126" i="2"/>
  <c r="E134" i="2"/>
  <c r="F214" i="2"/>
  <c r="G148" i="2"/>
  <c r="F456" i="2"/>
  <c r="G208" i="2"/>
  <c r="G386" i="2"/>
  <c r="F158" i="2"/>
  <c r="E422" i="2"/>
  <c r="G317" i="2"/>
  <c r="E487" i="2"/>
  <c r="G37" i="2"/>
  <c r="F410" i="2"/>
  <c r="F160" i="2"/>
  <c r="F382" i="2"/>
  <c r="F46" i="2"/>
  <c r="G368" i="2"/>
  <c r="E46" i="2"/>
  <c r="F236" i="2"/>
  <c r="E28" i="2"/>
  <c r="F354" i="2"/>
  <c r="G150" i="2"/>
  <c r="F502" i="2"/>
  <c r="G139" i="2"/>
  <c r="G222" i="2"/>
  <c r="F189" i="2"/>
  <c r="G285" i="2"/>
  <c r="F285" i="2"/>
  <c r="F355" i="2"/>
  <c r="G142" i="2"/>
  <c r="G64" i="2"/>
  <c r="E339" i="2"/>
  <c r="E7" i="2"/>
  <c r="G79" i="2"/>
  <c r="E311" i="2"/>
  <c r="G121" i="2"/>
  <c r="G141" i="2"/>
  <c r="E32" i="2"/>
  <c r="G393" i="2"/>
  <c r="G103" i="2"/>
  <c r="E169" i="2"/>
  <c r="E54" i="2"/>
  <c r="F394" i="2"/>
  <c r="E367" i="2"/>
  <c r="F475" i="2"/>
  <c r="G170" i="2"/>
  <c r="E85" i="2"/>
  <c r="F85" i="2"/>
  <c r="G155" i="2"/>
  <c r="F61" i="2"/>
  <c r="F263" i="2"/>
  <c r="E466" i="2"/>
  <c r="F454" i="2"/>
  <c r="E129" i="2"/>
  <c r="E454" i="2"/>
  <c r="G501" i="2"/>
  <c r="F341" i="2"/>
  <c r="G41" i="2"/>
  <c r="G69" i="2"/>
  <c r="G113" i="2"/>
  <c r="E228" i="2"/>
  <c r="G420" i="2"/>
  <c r="G84" i="2"/>
  <c r="E372" i="2"/>
  <c r="G251" i="2"/>
  <c r="G184" i="2"/>
  <c r="F299" i="2"/>
  <c r="F275" i="2"/>
  <c r="F460" i="2"/>
  <c r="F482" i="2"/>
  <c r="G149" i="2"/>
  <c r="G280" i="2"/>
  <c r="F25" i="2"/>
  <c r="E158" i="2"/>
  <c r="G352" i="2"/>
  <c r="G389" i="2"/>
  <c r="F75" i="2"/>
  <c r="E314" i="2"/>
  <c r="F386" i="2"/>
  <c r="E51" i="2"/>
  <c r="F54" i="2"/>
  <c r="F70" i="2"/>
  <c r="G345" i="2"/>
  <c r="G9" i="2"/>
  <c r="G435" i="2"/>
  <c r="E226" i="2"/>
  <c r="E20" i="2"/>
  <c r="F411" i="2"/>
  <c r="E235" i="2"/>
  <c r="F450" i="2"/>
  <c r="E98" i="2"/>
  <c r="E97" i="2"/>
  <c r="F429" i="2"/>
  <c r="F97" i="2"/>
  <c r="F8" i="2"/>
  <c r="E225" i="2"/>
  <c r="G5" i="2"/>
  <c r="F216" i="2"/>
  <c r="G241" i="2"/>
  <c r="G233" i="2"/>
  <c r="G188" i="2"/>
  <c r="G460" i="2"/>
  <c r="F480" i="2"/>
  <c r="G372" i="2"/>
  <c r="E370" i="2"/>
  <c r="E402" i="2"/>
  <c r="E256" i="2"/>
  <c r="G275" i="2"/>
  <c r="G63" i="2"/>
  <c r="F398" i="2"/>
  <c r="F126" i="2"/>
  <c r="G25" i="2"/>
  <c r="G134" i="2"/>
  <c r="E224" i="2"/>
  <c r="G42" i="2"/>
  <c r="F317" i="2"/>
  <c r="E90" i="2"/>
  <c r="G487" i="2"/>
  <c r="K284" i="2"/>
  <c r="K36" i="2"/>
  <c r="K177" i="2"/>
  <c r="K294" i="2"/>
  <c r="K82" i="2"/>
  <c r="K46" i="2"/>
  <c r="K125" i="2"/>
  <c r="K116" i="2"/>
  <c r="K276" i="2"/>
  <c r="K226" i="2"/>
  <c r="K74" i="2"/>
  <c r="K65" i="2"/>
  <c r="K161" i="2"/>
  <c r="K24" i="2"/>
  <c r="K224" i="2"/>
  <c r="K96" i="2"/>
  <c r="K143" i="2"/>
  <c r="K166" i="2"/>
  <c r="K38" i="2"/>
  <c r="K278" i="2"/>
  <c r="K117" i="2"/>
  <c r="K108" i="2"/>
  <c r="K268" i="2"/>
  <c r="K91" i="2"/>
  <c r="K250" i="2"/>
  <c r="K155" i="2"/>
  <c r="K240" i="2"/>
  <c r="K179" i="2"/>
  <c r="K234" i="2"/>
  <c r="K73" i="2"/>
  <c r="K169" i="2"/>
  <c r="K32" i="2"/>
  <c r="K232" i="2"/>
  <c r="K104" i="2"/>
  <c r="K7" i="2"/>
  <c r="K151" i="2"/>
  <c r="K174" i="2"/>
  <c r="K286" i="2"/>
  <c r="K20" i="2"/>
  <c r="K229" i="2"/>
  <c r="K211" i="2"/>
  <c r="K301" i="2"/>
  <c r="K218" i="2"/>
  <c r="K66" i="2"/>
  <c r="K57" i="2"/>
  <c r="K153" i="2"/>
  <c r="K16" i="2"/>
  <c r="K216" i="2"/>
  <c r="K88" i="2"/>
  <c r="K295" i="2"/>
  <c r="K135" i="2"/>
  <c r="K158" i="2"/>
  <c r="K30" i="2"/>
  <c r="K270" i="2"/>
  <c r="K109" i="2"/>
  <c r="K292" i="2"/>
  <c r="K28" i="2"/>
  <c r="K252" i="2"/>
  <c r="K83" i="2"/>
  <c r="K203" i="2"/>
  <c r="K101" i="2"/>
  <c r="K260" i="2"/>
  <c r="K12" i="2"/>
  <c r="K212" i="2"/>
  <c r="K75" i="2"/>
  <c r="K196" i="2"/>
  <c r="K67" i="2"/>
  <c r="K279" i="2"/>
  <c r="K107" i="2"/>
  <c r="K195" i="2"/>
  <c r="K194" i="2"/>
  <c r="K42" i="2"/>
  <c r="K33" i="2"/>
  <c r="K129" i="2"/>
  <c r="K192" i="2"/>
  <c r="K263" i="2"/>
  <c r="K303" i="2"/>
  <c r="K103" i="2"/>
  <c r="K134" i="2"/>
  <c r="K6" i="2"/>
  <c r="K246" i="2"/>
  <c r="K85" i="2"/>
  <c r="K236" i="2"/>
  <c r="K180" i="2"/>
  <c r="K59" i="2"/>
  <c r="K112" i="2"/>
  <c r="K187" i="2"/>
  <c r="K245" i="2"/>
  <c r="K210" i="2"/>
  <c r="K49" i="2"/>
  <c r="K8" i="2"/>
  <c r="K208" i="2"/>
  <c r="K287" i="2"/>
  <c r="K150" i="2"/>
  <c r="K22" i="2"/>
  <c r="K2" i="2"/>
  <c r="K251" i="2"/>
  <c r="K50" i="2"/>
  <c r="K119" i="2"/>
  <c r="K93" i="2"/>
  <c r="K4" i="2"/>
  <c r="K293" i="2"/>
  <c r="K281" i="2"/>
  <c r="K305" i="2"/>
  <c r="K267" i="2"/>
  <c r="K289" i="2"/>
  <c r="K170" i="2"/>
  <c r="K34" i="2"/>
  <c r="K25" i="2"/>
  <c r="K121" i="2"/>
  <c r="K184" i="2"/>
  <c r="K255" i="2"/>
  <c r="K271" i="2"/>
  <c r="K95" i="2"/>
  <c r="K126" i="2"/>
  <c r="K69" i="2"/>
  <c r="K77" i="2"/>
  <c r="K228" i="2"/>
  <c r="K156" i="2"/>
  <c r="K51" i="2"/>
  <c r="K185" i="2"/>
  <c r="K159" i="2"/>
  <c r="K269" i="2"/>
  <c r="K262" i="2"/>
  <c r="K237" i="2"/>
  <c r="K202" i="2"/>
  <c r="K41" i="2"/>
  <c r="K137" i="2"/>
  <c r="K200" i="2"/>
  <c r="K56" i="2"/>
  <c r="K142" i="2"/>
  <c r="K14" i="2"/>
  <c r="K254" i="2"/>
  <c r="K244" i="2"/>
  <c r="K265" i="2"/>
  <c r="K163" i="2"/>
  <c r="K213" i="2"/>
  <c r="K273" i="2"/>
  <c r="K235" i="2"/>
  <c r="K257" i="2"/>
  <c r="K306" i="2"/>
  <c r="K162" i="2"/>
  <c r="K26" i="2"/>
  <c r="K17" i="2"/>
  <c r="K113" i="2"/>
  <c r="K304" i="2"/>
  <c r="K176" i="2"/>
  <c r="K247" i="2"/>
  <c r="K223" i="2"/>
  <c r="K79" i="2"/>
  <c r="K302" i="2"/>
  <c r="K118" i="2"/>
  <c r="K53" i="2"/>
  <c r="K61" i="2"/>
  <c r="K220" i="2"/>
  <c r="K100" i="2"/>
  <c r="K43" i="2"/>
  <c r="K98" i="2"/>
  <c r="K233" i="2"/>
  <c r="K297" i="2"/>
  <c r="K58" i="2"/>
  <c r="K145" i="2"/>
  <c r="K72" i="2"/>
  <c r="K127" i="2"/>
  <c r="K261" i="2"/>
  <c r="K241" i="2"/>
  <c r="K139" i="2"/>
  <c r="K219" i="2"/>
  <c r="K298" i="2"/>
  <c r="K154" i="2"/>
  <c r="K18" i="2"/>
  <c r="K9" i="2"/>
  <c r="K105" i="2"/>
  <c r="K296" i="2"/>
  <c r="K168" i="2"/>
  <c r="K239" i="2"/>
  <c r="K215" i="2"/>
  <c r="K63" i="2"/>
  <c r="K238" i="2"/>
  <c r="K110" i="2"/>
  <c r="K29" i="2"/>
  <c r="K45" i="2"/>
  <c r="K204" i="2"/>
  <c r="K92" i="2"/>
  <c r="K35" i="2"/>
  <c r="K48" i="2"/>
  <c r="K90" i="2"/>
  <c r="K124" i="2"/>
  <c r="K197" i="2"/>
  <c r="K291" i="2"/>
  <c r="K115" i="2"/>
  <c r="K290" i="2"/>
  <c r="K138" i="2"/>
  <c r="K10" i="2"/>
  <c r="K225" i="2"/>
  <c r="K97" i="2"/>
  <c r="K288" i="2"/>
  <c r="K160" i="2"/>
  <c r="K231" i="2"/>
  <c r="K207" i="2"/>
  <c r="K55" i="2"/>
  <c r="K230" i="2"/>
  <c r="K102" i="2"/>
  <c r="K21" i="2"/>
  <c r="K37" i="2"/>
  <c r="K188" i="2"/>
  <c r="K84" i="2"/>
  <c r="K27" i="2"/>
  <c r="K54" i="2"/>
  <c r="K221" i="2"/>
  <c r="K280" i="2"/>
  <c r="K152" i="2"/>
  <c r="K111" i="2"/>
  <c r="K199" i="2"/>
  <c r="K23" i="2"/>
  <c r="K222" i="2"/>
  <c r="K94" i="2"/>
  <c r="K5" i="2"/>
  <c r="K13" i="2"/>
  <c r="K172" i="2"/>
  <c r="K76" i="2"/>
  <c r="K19" i="2"/>
  <c r="K242" i="2"/>
  <c r="K40" i="2"/>
  <c r="K182" i="2"/>
  <c r="K285" i="2"/>
  <c r="K307" i="2"/>
  <c r="K131" i="2"/>
  <c r="K122" i="2"/>
  <c r="K209" i="2"/>
  <c r="K81" i="2"/>
  <c r="K272" i="2"/>
  <c r="K144" i="2"/>
  <c r="K87" i="2"/>
  <c r="K191" i="2"/>
  <c r="K214" i="2"/>
  <c r="K86" i="2"/>
  <c r="K165" i="2"/>
  <c r="K164" i="2"/>
  <c r="K68" i="2"/>
  <c r="K11" i="2"/>
  <c r="K274" i="2"/>
  <c r="K205" i="2"/>
  <c r="K275" i="2"/>
  <c r="K266" i="2"/>
  <c r="K114" i="2"/>
  <c r="K186" i="2"/>
  <c r="K201" i="2"/>
  <c r="K80" i="2"/>
  <c r="K264" i="2"/>
  <c r="K136" i="2"/>
  <c r="K71" i="2"/>
  <c r="K183" i="2"/>
  <c r="K206" i="2"/>
  <c r="K78" i="2"/>
  <c r="K157" i="2"/>
  <c r="K148" i="2"/>
  <c r="K60" i="2"/>
  <c r="K3" i="2"/>
  <c r="K99" i="2"/>
  <c r="K146" i="2"/>
  <c r="K31" i="2"/>
  <c r="K133" i="2"/>
  <c r="K299" i="2"/>
  <c r="K147" i="2"/>
  <c r="K189" i="2"/>
  <c r="K259" i="2"/>
  <c r="K282" i="2"/>
  <c r="K130" i="2"/>
  <c r="K217" i="2"/>
  <c r="K89" i="2"/>
  <c r="K277" i="2"/>
  <c r="K181" i="2"/>
  <c r="K15" i="2"/>
  <c r="K123" i="2"/>
  <c r="K253" i="2"/>
  <c r="K283" i="2"/>
  <c r="K173" i="2"/>
  <c r="K171" i="2"/>
  <c r="K249" i="2"/>
  <c r="K243" i="2"/>
  <c r="K227" i="2"/>
  <c r="K258" i="2"/>
  <c r="K106" i="2"/>
  <c r="K178" i="2"/>
  <c r="K193" i="2"/>
  <c r="K64" i="2"/>
  <c r="K256" i="2"/>
  <c r="K128" i="2"/>
  <c r="K47" i="2"/>
  <c r="K175" i="2"/>
  <c r="K198" i="2"/>
  <c r="K70" i="2"/>
  <c r="K149" i="2"/>
  <c r="K140" i="2"/>
  <c r="K52" i="2"/>
  <c r="K248" i="2"/>
  <c r="K120" i="2"/>
  <c r="K39" i="2"/>
  <c r="K167" i="2"/>
  <c r="K190" i="2"/>
  <c r="K62" i="2"/>
  <c r="K141" i="2"/>
  <c r="K132" i="2"/>
  <c r="K300" i="2"/>
  <c r="K44" i="2"/>
  <c r="L9" i="2"/>
  <c r="L156" i="2"/>
  <c r="L260" i="2"/>
  <c r="L291" i="2"/>
  <c r="L408" i="2"/>
  <c r="L403" i="2"/>
  <c r="L19" i="2"/>
  <c r="L471" i="2"/>
  <c r="L397" i="2"/>
  <c r="L183" i="2"/>
  <c r="L439" i="2"/>
  <c r="L250" i="2"/>
  <c r="L462" i="2"/>
  <c r="L432" i="2"/>
  <c r="L425" i="2"/>
  <c r="L135" i="2"/>
  <c r="L394" i="2"/>
  <c r="L14" i="2"/>
  <c r="L224" i="2"/>
  <c r="L69" i="2"/>
  <c r="L37" i="2"/>
  <c r="L59" i="2"/>
  <c r="L311" i="2"/>
  <c r="L308" i="2"/>
  <c r="L487" i="2"/>
  <c r="L299" i="2"/>
  <c r="L27" i="2"/>
  <c r="L217" i="2"/>
  <c r="L326" i="2"/>
  <c r="L43" i="2"/>
  <c r="L147" i="2"/>
  <c r="L92" i="2"/>
  <c r="L231" i="2"/>
  <c r="L272" i="2"/>
  <c r="L33" i="2"/>
  <c r="L214" i="2"/>
  <c r="L117" i="2"/>
  <c r="L236" i="2"/>
  <c r="L38" i="2"/>
  <c r="L369" i="2"/>
  <c r="L362" i="2"/>
  <c r="L398" i="2"/>
  <c r="L166" i="2"/>
  <c r="L35" i="2"/>
  <c r="L125" i="2"/>
  <c r="L25" i="2"/>
  <c r="L492" i="2"/>
  <c r="L90" i="2"/>
  <c r="L461" i="2"/>
  <c r="L207" i="2"/>
  <c r="L324" i="2"/>
  <c r="L133" i="2"/>
  <c r="L186" i="2"/>
  <c r="L6" i="2"/>
  <c r="L218" i="2"/>
  <c r="L319" i="2"/>
  <c r="L239" i="2"/>
  <c r="L197" i="2"/>
  <c r="L351" i="2"/>
  <c r="L466" i="2"/>
  <c r="L376" i="2"/>
  <c r="L504" i="2"/>
  <c r="L399" i="2"/>
  <c r="L307" i="2"/>
  <c r="L184" i="2"/>
  <c r="L289" i="2"/>
  <c r="L288" i="2"/>
  <c r="L485" i="2"/>
  <c r="L302" i="2"/>
  <c r="L372" i="2"/>
  <c r="L255" i="2"/>
  <c r="L506" i="2"/>
  <c r="L440" i="2"/>
  <c r="L21" i="2"/>
  <c r="L99" i="2"/>
  <c r="L241" i="2"/>
  <c r="L7" i="2"/>
  <c r="L457" i="2"/>
  <c r="L227" i="2"/>
  <c r="L322" i="2"/>
  <c r="L153" i="2"/>
  <c r="L320" i="2"/>
  <c r="L442" i="2"/>
  <c r="L484" i="2"/>
  <c r="L367" i="2"/>
  <c r="L331" i="2"/>
  <c r="L383" i="2"/>
  <c r="L185" i="2"/>
  <c r="L102" i="2"/>
  <c r="L418" i="2"/>
  <c r="L356" i="2"/>
  <c r="L437" i="2"/>
  <c r="L163" i="2"/>
  <c r="L353" i="2"/>
  <c r="L459" i="2"/>
  <c r="L252" i="2"/>
  <c r="L276" i="2"/>
  <c r="L13" i="2"/>
  <c r="L333" i="2"/>
  <c r="L315" i="2"/>
  <c r="L251" i="2"/>
  <c r="L97" i="2"/>
  <c r="L290" i="2"/>
  <c r="L119" i="2"/>
  <c r="L165" i="2"/>
  <c r="L386" i="2"/>
  <c r="L118" i="2"/>
  <c r="L352" i="2"/>
  <c r="L107" i="2"/>
  <c r="L456" i="2"/>
  <c r="L91" i="2"/>
  <c r="L428" i="2"/>
  <c r="L12" i="2"/>
  <c r="L279" i="2"/>
  <c r="L151" i="2"/>
  <c r="L80" i="2"/>
  <c r="L134" i="2"/>
  <c r="L256" i="2"/>
  <c r="L243" i="2"/>
  <c r="L30" i="2"/>
  <c r="L164" i="2"/>
  <c r="L189" i="2"/>
  <c r="L313" i="2"/>
  <c r="L81" i="2"/>
  <c r="L55" i="2"/>
  <c r="L501" i="2"/>
  <c r="L172" i="2"/>
  <c r="L177" i="2"/>
  <c r="L275" i="2"/>
  <c r="L412" i="2"/>
  <c r="L211" i="2"/>
  <c r="L161" i="2"/>
  <c r="L267" i="2"/>
  <c r="L46" i="2"/>
  <c r="L104" i="2"/>
  <c r="L205" i="2"/>
  <c r="L348" i="2"/>
  <c r="L67" i="2"/>
  <c r="L370" i="2"/>
  <c r="L159" i="2"/>
  <c r="L78" i="2"/>
  <c r="L238" i="2"/>
  <c r="L188" i="2"/>
  <c r="L111" i="2"/>
  <c r="L286" i="2"/>
  <c r="L77" i="2"/>
  <c r="L337" i="2"/>
  <c r="L192" i="2"/>
  <c r="L339" i="2"/>
  <c r="L265" i="2"/>
  <c r="L129" i="2"/>
  <c r="L23" i="2"/>
  <c r="L115" i="2"/>
  <c r="L401" i="2"/>
  <c r="L434" i="2"/>
  <c r="L142" i="2"/>
  <c r="L114" i="2"/>
  <c r="L122" i="2"/>
  <c r="L414" i="2"/>
  <c r="L120" i="2"/>
  <c r="L419" i="2"/>
  <c r="L502" i="2"/>
  <c r="L382" i="2"/>
  <c r="L233" i="2"/>
  <c r="L225" i="2"/>
  <c r="L181" i="2"/>
  <c r="L82" i="2"/>
  <c r="L215" i="2"/>
  <c r="L87" i="2"/>
  <c r="L132" i="2"/>
  <c r="L144" i="2"/>
  <c r="L421" i="2"/>
  <c r="L318" i="2"/>
  <c r="L32" i="2"/>
  <c r="L365" i="2"/>
  <c r="L357" i="2"/>
  <c r="L198" i="2"/>
  <c r="L293" i="2"/>
  <c r="L346" i="2"/>
  <c r="L480" i="2"/>
  <c r="L344" i="2"/>
  <c r="L128" i="2"/>
  <c r="L3" i="2"/>
  <c r="L300" i="2"/>
  <c r="L76" i="2"/>
  <c r="L496" i="2"/>
  <c r="L253" i="2"/>
  <c r="L34" i="2"/>
  <c r="L108" i="2"/>
  <c r="L350" i="2"/>
  <c r="L361" i="2"/>
  <c r="L48" i="2"/>
  <c r="L453" i="2"/>
  <c r="L345" i="2"/>
  <c r="L481" i="2"/>
  <c r="L443" i="2"/>
  <c r="L63" i="2"/>
  <c r="L204" i="2"/>
  <c r="L309" i="2"/>
  <c r="L101" i="2"/>
  <c r="L389" i="2"/>
  <c r="L360" i="2"/>
  <c r="L281" i="2"/>
  <c r="L149" i="2"/>
  <c r="L497" i="2"/>
  <c r="L410" i="2"/>
  <c r="L65" i="2"/>
  <c r="L162" i="2"/>
  <c r="L53" i="2"/>
  <c r="L396" i="2"/>
  <c r="L60" i="2"/>
  <c r="L62" i="2"/>
  <c r="L282" i="2"/>
  <c r="L175" i="2"/>
  <c r="L366" i="2"/>
  <c r="L358" i="2"/>
  <c r="L468" i="2"/>
  <c r="L190" i="2"/>
  <c r="L416" i="2"/>
  <c r="L342" i="2"/>
  <c r="L199" i="2"/>
  <c r="L73" i="2"/>
  <c r="L148" i="2"/>
  <c r="L355" i="2"/>
  <c r="L143" i="2"/>
  <c r="L478" i="2"/>
  <c r="L277" i="2"/>
  <c r="L494" i="2"/>
  <c r="L446" i="2"/>
  <c r="L83" i="2"/>
  <c r="L368" i="2"/>
  <c r="L482" i="2"/>
  <c r="L463" i="2"/>
  <c r="L15" i="2"/>
  <c r="L121" i="2"/>
  <c r="L292" i="2"/>
  <c r="L445" i="2"/>
  <c r="L469" i="2"/>
  <c r="L306" i="2"/>
  <c r="L45" i="2"/>
  <c r="L50" i="2"/>
  <c r="L449" i="2"/>
  <c r="L262" i="2"/>
  <c r="L500" i="2"/>
  <c r="L400" i="2"/>
  <c r="L16" i="2"/>
  <c r="L235" i="2"/>
  <c r="L297" i="2"/>
  <c r="L266" i="2"/>
  <c r="L479" i="2"/>
  <c r="L305" i="2"/>
  <c r="L245" i="2"/>
  <c r="L364" i="2"/>
  <c r="L8" i="2"/>
  <c r="L503" i="2"/>
  <c r="L429" i="2"/>
  <c r="L413" i="2"/>
  <c r="L74" i="2"/>
  <c r="L258" i="2"/>
  <c r="L458" i="2"/>
  <c r="L58" i="2"/>
  <c r="L64" i="2"/>
  <c r="L216" i="2"/>
  <c r="L40" i="2"/>
  <c r="L68" i="2"/>
  <c r="L113" i="2"/>
  <c r="L274" i="2"/>
  <c r="L433" i="2"/>
  <c r="L378" i="2"/>
  <c r="L247" i="2"/>
  <c r="L490" i="2"/>
  <c r="L130" i="2"/>
  <c r="L473" i="2"/>
  <c r="L228" i="2"/>
  <c r="L317" i="2"/>
  <c r="L280" i="2"/>
  <c r="L347" i="2"/>
  <c r="L467" i="2"/>
  <c r="L287" i="2"/>
  <c r="L264" i="2"/>
  <c r="L139" i="2"/>
  <c r="L310" i="2"/>
  <c r="L72" i="2"/>
  <c r="L145" i="2"/>
  <c r="L22" i="2"/>
  <c r="L4" i="2"/>
  <c r="L158" i="2"/>
  <c r="L61" i="2"/>
  <c r="L474" i="2"/>
  <c r="L17" i="2"/>
  <c r="L146" i="2"/>
  <c r="L395" i="2"/>
  <c r="L20" i="2"/>
  <c r="L325" i="2"/>
  <c r="L257" i="2"/>
  <c r="L377" i="2"/>
  <c r="L452" i="2"/>
  <c r="L180" i="2"/>
  <c r="L263" i="2"/>
  <c r="L220" i="2"/>
  <c r="L89" i="2"/>
  <c r="L338" i="2"/>
  <c r="L155" i="2"/>
  <c r="L426" i="2"/>
  <c r="L409" i="2"/>
  <c r="L278" i="2"/>
  <c r="L285" i="2"/>
  <c r="L116" i="2"/>
  <c r="L448" i="2"/>
  <c r="L51" i="2"/>
  <c r="L226" i="2"/>
  <c r="L334" i="2"/>
  <c r="L359" i="2"/>
  <c r="L304" i="2"/>
  <c r="L431" i="2"/>
  <c r="L249" i="2"/>
  <c r="L182" i="2"/>
  <c r="L385" i="2"/>
  <c r="L141" i="2"/>
  <c r="L66" i="2"/>
  <c r="L444" i="2"/>
  <c r="L123" i="2"/>
  <c r="L213" i="2"/>
  <c r="L422" i="2"/>
  <c r="L415" i="2"/>
  <c r="L363" i="2"/>
  <c r="L103" i="2"/>
  <c r="L200" i="2"/>
  <c r="L137" i="2"/>
  <c r="L26" i="2"/>
  <c r="L124" i="2"/>
  <c r="L407" i="2"/>
  <c r="L127" i="2"/>
  <c r="L283" i="2"/>
  <c r="L86" i="2"/>
  <c r="L44" i="2"/>
  <c r="L126" i="2"/>
  <c r="L56" i="2"/>
  <c r="L174" i="2"/>
  <c r="L208" i="2"/>
  <c r="L273" i="2"/>
  <c r="L294" i="2"/>
  <c r="L237" i="2"/>
  <c r="L303" i="2"/>
  <c r="L455" i="2"/>
  <c r="L424" i="2"/>
  <c r="L498" i="2"/>
  <c r="L301" i="2"/>
  <c r="L36" i="2"/>
  <c r="L169" i="2"/>
  <c r="L475" i="2"/>
  <c r="L29" i="2"/>
  <c r="L167" i="2"/>
  <c r="L178" i="2"/>
  <c r="L387" i="2"/>
  <c r="L354" i="2"/>
  <c r="L196" i="2"/>
  <c r="L49" i="2"/>
  <c r="L493" i="2"/>
  <c r="L10" i="2"/>
  <c r="L328" i="2"/>
  <c r="L154" i="2"/>
  <c r="L499" i="2"/>
  <c r="L206" i="2"/>
  <c r="L242" i="2"/>
  <c r="L329" i="2"/>
  <c r="L176" i="2"/>
  <c r="L476" i="2"/>
  <c r="L349" i="2"/>
  <c r="L341" i="2"/>
  <c r="L219" i="2"/>
  <c r="L229" i="2"/>
  <c r="L202" i="2"/>
  <c r="L384" i="2"/>
  <c r="L316" i="2"/>
  <c r="L94" i="2"/>
  <c r="L271" i="2"/>
  <c r="L150" i="2"/>
  <c r="L454" i="2"/>
  <c r="L420" i="2"/>
  <c r="L140" i="2"/>
  <c r="L450" i="2"/>
  <c r="L171" i="2"/>
  <c r="L70" i="2"/>
  <c r="L223" i="2"/>
  <c r="L441" i="2"/>
  <c r="L489" i="2"/>
  <c r="L268" i="2"/>
  <c r="L232" i="2"/>
  <c r="L451" i="2"/>
  <c r="L42" i="2"/>
  <c r="L157" i="2"/>
  <c r="L381" i="2"/>
  <c r="L505" i="2"/>
  <c r="L460" i="2"/>
  <c r="L75" i="2"/>
  <c r="L488" i="2"/>
  <c r="L85" i="2"/>
  <c r="L464" i="2"/>
  <c r="L390" i="2"/>
  <c r="L212" i="2"/>
  <c r="L335" i="2"/>
  <c r="L93" i="2"/>
  <c r="L465" i="2"/>
  <c r="L195" i="2"/>
  <c r="L57" i="2"/>
  <c r="L411" i="2"/>
  <c r="L109" i="2"/>
  <c r="L495" i="2"/>
  <c r="L477" i="2"/>
  <c r="L96" i="2"/>
  <c r="L31" i="2"/>
  <c r="L222" i="2"/>
  <c r="L269" i="2"/>
  <c r="L52" i="2"/>
  <c r="L18" i="2"/>
  <c r="L312" i="2"/>
  <c r="L168" i="2"/>
  <c r="L209" i="2"/>
  <c r="L447" i="2"/>
  <c r="L391" i="2"/>
  <c r="L79" i="2"/>
  <c r="L98" i="2"/>
  <c r="L11" i="2"/>
  <c r="L330" i="2"/>
  <c r="L106" i="2"/>
  <c r="L136" i="2"/>
  <c r="L406" i="2"/>
  <c r="L84" i="2"/>
  <c r="L221" i="2"/>
  <c r="L71" i="2"/>
  <c r="L379" i="2"/>
  <c r="L95" i="2"/>
  <c r="L261" i="2"/>
  <c r="L336" i="2"/>
  <c r="L430" i="2"/>
  <c r="L194" i="2"/>
  <c r="L88" i="2"/>
  <c r="L332" i="2"/>
  <c r="L404" i="2"/>
  <c r="L435" i="2"/>
  <c r="L138" i="2"/>
  <c r="L203" i="2"/>
  <c r="L298" i="2"/>
  <c r="L270" i="2"/>
  <c r="L284" i="2"/>
  <c r="L41" i="2"/>
  <c r="L491" i="2"/>
  <c r="L295" i="2"/>
  <c r="L105" i="2"/>
  <c r="L427" i="2"/>
  <c r="L417" i="2"/>
  <c r="L110" i="2"/>
  <c r="L179" i="2"/>
  <c r="L343" i="2"/>
  <c r="L201" i="2"/>
  <c r="L152" i="2"/>
  <c r="L392" i="2"/>
  <c r="L210" i="2"/>
  <c r="L170" i="2"/>
  <c r="L230" i="2"/>
  <c r="L5" i="2"/>
  <c r="L39" i="2"/>
  <c r="L405" i="2"/>
  <c r="L470" i="2"/>
  <c r="L393" i="2"/>
  <c r="L402" i="2"/>
  <c r="L314" i="2"/>
  <c r="L24" i="2"/>
  <c r="L486" i="2"/>
  <c r="L423" i="2"/>
  <c r="L2" i="2"/>
  <c r="L187" i="2"/>
  <c r="L191" i="2"/>
  <c r="L380" i="2"/>
  <c r="L436" i="2"/>
  <c r="L28" i="2"/>
  <c r="L244" i="2"/>
  <c r="L371" i="2"/>
  <c r="L173" i="2"/>
  <c r="L374" i="2"/>
  <c r="L112" i="2"/>
  <c r="L100" i="2"/>
  <c r="L373" i="2"/>
  <c r="L248" i="2"/>
  <c r="L340" i="2"/>
  <c r="L246" i="2"/>
  <c r="L323" i="2"/>
  <c r="L296" i="2"/>
  <c r="L193" i="2"/>
  <c r="L131" i="2"/>
  <c r="L388" i="2"/>
  <c r="L438" i="2"/>
  <c r="L47" i="2"/>
  <c r="L240" i="2"/>
  <c r="L321" i="2"/>
  <c r="L54" i="2"/>
  <c r="L259" i="2"/>
  <c r="L327" i="2"/>
  <c r="L254" i="2"/>
  <c r="L234" i="2"/>
  <c r="L472" i="2"/>
  <c r="L375" i="2"/>
  <c r="L483" i="2"/>
  <c r="L160" i="2"/>
  <c r="M504" i="2"/>
  <c r="M258" i="2"/>
  <c r="M211" i="2"/>
  <c r="M321" i="2"/>
  <c r="M144" i="2"/>
  <c r="M30" i="2"/>
  <c r="M68" i="2"/>
  <c r="M50" i="2"/>
  <c r="M106" i="2"/>
  <c r="M172" i="2"/>
  <c r="M461" i="2"/>
  <c r="M298" i="2"/>
  <c r="M418" i="2"/>
  <c r="M75" i="2"/>
  <c r="M432" i="2"/>
  <c r="M307" i="2"/>
  <c r="M495" i="2"/>
  <c r="M222" i="2"/>
  <c r="M395" i="2"/>
  <c r="M192" i="2"/>
  <c r="M457" i="2"/>
  <c r="M58" i="2"/>
  <c r="M263" i="2"/>
  <c r="M88" i="2"/>
  <c r="M344" i="2"/>
  <c r="M480" i="2"/>
  <c r="M420" i="2"/>
  <c r="M93" i="2"/>
  <c r="M388" i="2"/>
  <c r="M351" i="2"/>
  <c r="M136" i="2"/>
  <c r="M94" i="2"/>
  <c r="M139" i="2"/>
  <c r="M158" i="2"/>
  <c r="M362" i="2"/>
  <c r="M142" i="2"/>
  <c r="M506" i="2"/>
  <c r="M132" i="2"/>
  <c r="M266" i="2"/>
  <c r="M71" i="2"/>
  <c r="M257" i="2"/>
  <c r="M42" i="2"/>
  <c r="M406" i="2"/>
  <c r="M272" i="2"/>
  <c r="M232" i="2"/>
  <c r="M331" i="2"/>
  <c r="M5" i="2"/>
  <c r="M469" i="2"/>
  <c r="M323" i="2"/>
  <c r="M12" i="2"/>
  <c r="M479" i="2"/>
  <c r="M149" i="2"/>
  <c r="M213" i="2"/>
  <c r="M217" i="2"/>
  <c r="M460" i="2"/>
  <c r="M284" i="2"/>
  <c r="M200" i="2"/>
  <c r="M484" i="2"/>
  <c r="M468" i="2"/>
  <c r="M304" i="2"/>
  <c r="M342" i="2"/>
  <c r="M206" i="2"/>
  <c r="M207" i="2"/>
  <c r="M171" i="2"/>
  <c r="M19" i="2"/>
  <c r="M243" i="2"/>
  <c r="M218" i="2"/>
  <c r="M10" i="2"/>
  <c r="M89" i="2"/>
  <c r="M446" i="2"/>
  <c r="M21" i="2"/>
  <c r="M312" i="2"/>
  <c r="M294" i="2"/>
  <c r="M214" i="2"/>
  <c r="M425" i="2"/>
  <c r="M23" i="2"/>
  <c r="M202" i="2"/>
  <c r="M188" i="2"/>
  <c r="M337" i="2"/>
  <c r="M366" i="2"/>
  <c r="M380" i="2"/>
  <c r="M236" i="2"/>
  <c r="M197" i="2"/>
  <c r="M313" i="2"/>
  <c r="M483" i="2"/>
  <c r="M402" i="2"/>
  <c r="M290" i="2"/>
  <c r="M252" i="2"/>
  <c r="M486" i="2"/>
  <c r="M265" i="2"/>
  <c r="M365" i="2"/>
  <c r="M46" i="2"/>
  <c r="M167" i="2"/>
  <c r="M98" i="2"/>
  <c r="M212" i="2"/>
  <c r="M40" i="2"/>
  <c r="M124" i="2"/>
  <c r="M396" i="2"/>
  <c r="M121" i="2"/>
  <c r="M157" i="2"/>
  <c r="M317" i="2"/>
  <c r="M373" i="2"/>
  <c r="M473" i="2"/>
  <c r="M414" i="2"/>
  <c r="M104" i="2"/>
  <c r="M187" i="2"/>
  <c r="M84" i="2"/>
  <c r="M346" i="2"/>
  <c r="M99" i="2"/>
  <c r="M70" i="2"/>
  <c r="M82" i="2"/>
  <c r="M332" i="2"/>
  <c r="M64" i="2"/>
  <c r="M292" i="2"/>
  <c r="M378" i="2"/>
  <c r="M183" i="2"/>
  <c r="M32" i="2"/>
  <c r="M434" i="2"/>
  <c r="M155" i="2"/>
  <c r="M277" i="2"/>
  <c r="M13" i="2"/>
  <c r="M325" i="2"/>
  <c r="M355" i="2"/>
  <c r="M456" i="2"/>
  <c r="M326" i="2"/>
  <c r="M262" i="2"/>
  <c r="M193" i="2"/>
  <c r="M360" i="2"/>
  <c r="M53" i="2"/>
  <c r="M72" i="2"/>
  <c r="M289" i="2"/>
  <c r="M37" i="2"/>
  <c r="M384" i="2"/>
  <c r="M130" i="2"/>
  <c r="M275" i="2"/>
  <c r="M268" i="2"/>
  <c r="M383" i="2"/>
  <c r="M348" i="2"/>
  <c r="M372" i="2"/>
  <c r="M435" i="2"/>
  <c r="M62" i="2"/>
  <c r="M111" i="2"/>
  <c r="M39" i="2"/>
  <c r="M2" i="2"/>
  <c r="M195" i="2"/>
  <c r="M180" i="2"/>
  <c r="M115" i="2"/>
  <c r="M322" i="2"/>
  <c r="M85" i="2"/>
  <c r="M497" i="2"/>
  <c r="M143" i="2"/>
  <c r="M336" i="2"/>
  <c r="M78" i="2"/>
  <c r="M247" i="2"/>
  <c r="M248" i="2"/>
  <c r="M416" i="2"/>
  <c r="M246" i="2"/>
  <c r="M329" i="2"/>
  <c r="M205" i="2"/>
  <c r="M390" i="2"/>
  <c r="M436" i="2"/>
  <c r="M80" i="2"/>
  <c r="M18" i="2"/>
  <c r="M400" i="2"/>
  <c r="M392" i="2"/>
  <c r="M110" i="2"/>
  <c r="M389" i="2"/>
  <c r="M335" i="2"/>
  <c r="M35" i="2"/>
  <c r="M60" i="2"/>
  <c r="M315" i="2"/>
  <c r="M438" i="2"/>
  <c r="M501" i="2"/>
  <c r="M102" i="2"/>
  <c r="M174" i="2"/>
  <c r="M379" i="2"/>
  <c r="M462" i="2"/>
  <c r="M244" i="2"/>
  <c r="M442" i="2"/>
  <c r="M471" i="2"/>
  <c r="M224" i="2"/>
  <c r="M255" i="2"/>
  <c r="M231" i="2"/>
  <c r="M41" i="2"/>
  <c r="M118" i="2"/>
  <c r="M466" i="2"/>
  <c r="M101" i="2"/>
  <c r="M112" i="2"/>
  <c r="M369" i="2"/>
  <c r="M163" i="2"/>
  <c r="M267" i="2"/>
  <c r="M161" i="2"/>
  <c r="M285" i="2"/>
  <c r="M492" i="2"/>
  <c r="M421" i="2"/>
  <c r="M439" i="2"/>
  <c r="M47" i="2"/>
  <c r="M249" i="2"/>
  <c r="M430" i="2"/>
  <c r="M489" i="2"/>
  <c r="M286" i="2"/>
  <c r="M287" i="2"/>
  <c r="M237" i="2"/>
  <c r="M216" i="2"/>
  <c r="M61" i="2"/>
  <c r="M363" i="2"/>
  <c r="M493" i="2"/>
  <c r="M502" i="2"/>
  <c r="M109" i="2"/>
  <c r="M131" i="2"/>
  <c r="M107" i="2"/>
  <c r="M215" i="2"/>
  <c r="M154" i="2"/>
  <c r="M475" i="2"/>
  <c r="M55" i="2"/>
  <c r="M387" i="2"/>
  <c r="M169" i="2"/>
  <c r="M411" i="2"/>
  <c r="M96" i="2"/>
  <c r="M148" i="2"/>
  <c r="M227" i="2"/>
  <c r="M260" i="2"/>
  <c r="M340" i="2"/>
  <c r="M297" i="2"/>
  <c r="M175" i="2"/>
  <c r="M338" i="2"/>
  <c r="M440" i="2"/>
  <c r="M108" i="2"/>
  <c r="M181" i="2"/>
  <c r="M476" i="2"/>
  <c r="M135" i="2"/>
  <c r="M299" i="2"/>
  <c r="M341" i="2"/>
  <c r="M145" i="2"/>
  <c r="M95" i="2"/>
  <c r="M300" i="2"/>
  <c r="M31" i="2"/>
  <c r="M256" i="2"/>
  <c r="M381" i="2"/>
  <c r="M146" i="2"/>
  <c r="M17" i="2"/>
  <c r="M234" i="2"/>
  <c r="M500" i="2"/>
  <c r="M52" i="2"/>
  <c r="M470" i="2"/>
  <c r="M137" i="2"/>
  <c r="M228" i="2"/>
  <c r="M233" i="2"/>
  <c r="M503" i="2"/>
  <c r="M433" i="2"/>
  <c r="M463" i="2"/>
  <c r="M320" i="2"/>
  <c r="M81" i="2"/>
  <c r="M385" i="2"/>
  <c r="M359" i="2"/>
  <c r="M178" i="2"/>
  <c r="M251" i="2"/>
  <c r="M170" i="2"/>
  <c r="M27" i="2"/>
  <c r="M151" i="2"/>
  <c r="M415" i="2"/>
  <c r="M153" i="2"/>
  <c r="M6" i="2"/>
  <c r="M478" i="2"/>
  <c r="M352" i="2"/>
  <c r="M417" i="2"/>
  <c r="M271" i="2"/>
  <c r="M48" i="2"/>
  <c r="M404" i="2"/>
  <c r="M498" i="2"/>
  <c r="M209" i="2"/>
  <c r="M127" i="2"/>
  <c r="M370" i="2"/>
  <c r="M443" i="2"/>
  <c r="M26" i="2"/>
  <c r="M119" i="2"/>
  <c r="M185" i="2"/>
  <c r="M162" i="2"/>
  <c r="M382" i="2"/>
  <c r="M467" i="2"/>
  <c r="M487" i="2"/>
  <c r="M364" i="2"/>
  <c r="M173" i="2"/>
  <c r="M357" i="2"/>
  <c r="M28" i="2"/>
  <c r="M374" i="2"/>
  <c r="M51" i="2"/>
  <c r="M499" i="2"/>
  <c r="M472" i="2"/>
  <c r="M67" i="2"/>
  <c r="M301" i="2"/>
  <c r="M179" i="2"/>
  <c r="M398" i="2"/>
  <c r="M343" i="2"/>
  <c r="M410" i="2"/>
  <c r="M225" i="2"/>
  <c r="M38" i="2"/>
  <c r="M488" i="2"/>
  <c r="M105" i="2"/>
  <c r="M176" i="2"/>
  <c r="M33" i="2"/>
  <c r="M318" i="2"/>
  <c r="M464" i="2"/>
  <c r="M367" i="2"/>
  <c r="M324" i="2"/>
  <c r="M208" i="2"/>
  <c r="M482" i="2"/>
  <c r="M423" i="2"/>
  <c r="M3" i="2"/>
  <c r="M333" i="2"/>
  <c r="M122" i="2"/>
  <c r="M474" i="2"/>
  <c r="M156" i="2"/>
  <c r="M477" i="2"/>
  <c r="M428" i="2"/>
  <c r="M49" i="2"/>
  <c r="M245" i="2"/>
  <c r="M328" i="2"/>
  <c r="M226" i="2"/>
  <c r="M9" i="2"/>
  <c r="M69" i="2"/>
  <c r="M45" i="2"/>
  <c r="M203" i="2"/>
  <c r="M465" i="2"/>
  <c r="M201" i="2"/>
  <c r="M426" i="2"/>
  <c r="M250" i="2"/>
  <c r="M166" i="2"/>
  <c r="M91" i="2"/>
  <c r="M86" i="2"/>
  <c r="M16" i="2"/>
  <c r="M391" i="2"/>
  <c r="M293" i="2"/>
  <c r="M43" i="2"/>
  <c r="M29" i="2"/>
  <c r="M282" i="2"/>
  <c r="M449" i="2"/>
  <c r="M403" i="2"/>
  <c r="M15" i="2"/>
  <c r="M113" i="2"/>
  <c r="M103" i="2"/>
  <c r="M76" i="2"/>
  <c r="M356" i="2"/>
  <c r="M458" i="2"/>
  <c r="M184" i="2"/>
  <c r="M191" i="2"/>
  <c r="M490" i="2"/>
  <c r="M347" i="2"/>
  <c r="M165" i="2"/>
  <c r="M221" i="2"/>
  <c r="M152" i="2"/>
  <c r="M397" i="2"/>
  <c r="M330" i="2"/>
  <c r="M239" i="2"/>
  <c r="M361" i="2"/>
  <c r="M117" i="2"/>
  <c r="M274" i="2"/>
  <c r="M269" i="2"/>
  <c r="M160" i="2"/>
  <c r="M133" i="2"/>
  <c r="M56" i="2"/>
  <c r="M302" i="2"/>
  <c r="M194" i="2"/>
  <c r="M120" i="2"/>
  <c r="M394" i="2"/>
  <c r="M276" i="2"/>
  <c r="M459" i="2"/>
  <c r="M92" i="2"/>
  <c r="M59" i="2"/>
  <c r="M413" i="2"/>
  <c r="M444" i="2"/>
  <c r="M354" i="2"/>
  <c r="M241" i="2"/>
  <c r="M14" i="2"/>
  <c r="M452" i="2"/>
  <c r="M36" i="2"/>
  <c r="M140" i="2"/>
  <c r="M405" i="2"/>
  <c r="M128" i="2"/>
  <c r="M210" i="2"/>
  <c r="M198" i="2"/>
  <c r="M22" i="2"/>
  <c r="M505" i="2"/>
  <c r="M235" i="2"/>
  <c r="M412" i="2"/>
  <c r="M242" i="2"/>
  <c r="M455" i="2"/>
  <c r="M401" i="2"/>
  <c r="M259" i="2"/>
  <c r="M445" i="2"/>
  <c r="M189" i="2"/>
  <c r="M306" i="2"/>
  <c r="M164" i="2"/>
  <c r="M283" i="2"/>
  <c r="M134" i="2"/>
  <c r="M485" i="2"/>
  <c r="M427" i="2"/>
  <c r="M20" i="2"/>
  <c r="M159" i="2"/>
  <c r="M63" i="2"/>
  <c r="M65" i="2"/>
  <c r="M177" i="2"/>
  <c r="M196" i="2"/>
  <c r="M339" i="2"/>
  <c r="M448" i="2"/>
  <c r="M168" i="2"/>
  <c r="M407" i="2"/>
  <c r="M491" i="2"/>
  <c r="M66" i="2"/>
  <c r="M376" i="2"/>
  <c r="M57" i="2"/>
  <c r="M494" i="2"/>
  <c r="M186" i="2"/>
  <c r="M25" i="2"/>
  <c r="M199" i="2"/>
  <c r="M34" i="2"/>
  <c r="M408" i="2"/>
  <c r="M141" i="2"/>
  <c r="M126" i="2"/>
  <c r="M279" i="2"/>
  <c r="M377" i="2"/>
  <c r="M11" i="2"/>
  <c r="M8" i="2"/>
  <c r="M182" i="2"/>
  <c r="M74" i="2"/>
  <c r="M240" i="2"/>
  <c r="M273" i="2"/>
  <c r="M264" i="2"/>
  <c r="M100" i="2"/>
  <c r="M270" i="2"/>
  <c r="M371" i="2"/>
  <c r="M220" i="2"/>
  <c r="M116" i="2"/>
  <c r="M441" i="2"/>
  <c r="M409" i="2"/>
  <c r="M375" i="2"/>
  <c r="M253" i="2"/>
  <c r="M54" i="2"/>
  <c r="M429" i="2"/>
  <c r="M453" i="2"/>
  <c r="M314" i="2"/>
  <c r="M291" i="2"/>
  <c r="M229" i="2"/>
  <c r="M334" i="2"/>
  <c r="M288" i="2"/>
  <c r="M296" i="2"/>
  <c r="M87" i="2"/>
  <c r="M230" i="2"/>
  <c r="M44" i="2"/>
  <c r="M204" i="2"/>
  <c r="M399" i="2"/>
  <c r="M190" i="2"/>
  <c r="M319" i="2"/>
  <c r="M150" i="2"/>
  <c r="M238" i="2"/>
  <c r="M393" i="2"/>
  <c r="M123" i="2"/>
  <c r="M368" i="2"/>
  <c r="M350" i="2"/>
  <c r="M305" i="2"/>
  <c r="M349" i="2"/>
  <c r="M303" i="2"/>
  <c r="M83" i="2"/>
  <c r="M7" i="2"/>
  <c r="M254" i="2"/>
  <c r="M424" i="2"/>
  <c r="M431" i="2"/>
  <c r="M316" i="2"/>
  <c r="M4" i="2"/>
  <c r="M90" i="2"/>
  <c r="M422" i="2"/>
  <c r="M129" i="2"/>
  <c r="M114" i="2"/>
  <c r="M386" i="2"/>
  <c r="M77" i="2"/>
  <c r="M79" i="2"/>
  <c r="M219" i="2"/>
  <c r="M147" i="2"/>
  <c r="M481" i="2"/>
  <c r="M327" i="2"/>
  <c r="M125" i="2"/>
  <c r="M138" i="2"/>
  <c r="M447" i="2"/>
  <c r="M419" i="2"/>
  <c r="M496" i="2"/>
  <c r="M261" i="2"/>
  <c r="M295" i="2"/>
  <c r="M24" i="2"/>
  <c r="M223" i="2"/>
  <c r="M280" i="2"/>
  <c r="M450" i="2"/>
  <c r="M73" i="2"/>
  <c r="M278" i="2"/>
  <c r="M454" i="2"/>
  <c r="M345" i="2"/>
  <c r="M437" i="2"/>
  <c r="M358" i="2"/>
  <c r="M281" i="2"/>
  <c r="M97" i="2"/>
  <c r="M451" i="2"/>
  <c r="M353" i="2"/>
  <c r="N2" i="2"/>
  <c r="N143" i="2"/>
  <c r="N361" i="2"/>
  <c r="N26" i="2"/>
  <c r="N259" i="2"/>
  <c r="N474" i="2"/>
  <c r="N48" i="2"/>
  <c r="N360" i="2"/>
  <c r="N106" i="2"/>
  <c r="N198" i="2"/>
  <c r="N243" i="2"/>
  <c r="N231" i="2"/>
  <c r="N355" i="2"/>
  <c r="N190" i="2"/>
  <c r="N272" i="2"/>
  <c r="N140" i="2"/>
  <c r="N406" i="2"/>
  <c r="N318" i="2"/>
  <c r="N496" i="2"/>
  <c r="N475" i="2"/>
  <c r="N457" i="2"/>
  <c r="N210" i="2"/>
  <c r="N381" i="2"/>
  <c r="N322" i="2"/>
  <c r="N201" i="2"/>
  <c r="N222" i="2"/>
  <c r="N32" i="2"/>
  <c r="N265" i="2"/>
  <c r="N257" i="2"/>
  <c r="N464" i="2"/>
  <c r="N412" i="2"/>
  <c r="N29" i="2"/>
  <c r="N154" i="2"/>
  <c r="N245" i="2"/>
  <c r="N456" i="2"/>
  <c r="N281" i="2"/>
  <c r="N286" i="2"/>
  <c r="N468" i="2"/>
  <c r="N13" i="2"/>
  <c r="N148" i="2"/>
  <c r="N101" i="2"/>
  <c r="N178" i="2"/>
  <c r="N186" i="2"/>
  <c r="N389" i="2"/>
  <c r="N314" i="2"/>
  <c r="N20" i="2"/>
  <c r="N299" i="2"/>
  <c r="N152" i="2"/>
  <c r="N151" i="2"/>
  <c r="N40" i="2"/>
  <c r="N25" i="2"/>
  <c r="N232" i="2"/>
  <c r="N123" i="2"/>
  <c r="N387" i="2"/>
  <c r="N23" i="2"/>
  <c r="N236" i="2"/>
  <c r="N195" i="2"/>
  <c r="N193" i="2"/>
  <c r="N146" i="2"/>
  <c r="N422" i="2"/>
  <c r="N376" i="2"/>
  <c r="N432" i="2"/>
  <c r="N506" i="2"/>
  <c r="N224" i="2"/>
  <c r="N370" i="2"/>
  <c r="N94" i="2"/>
  <c r="N449" i="2"/>
  <c r="N136" i="2"/>
  <c r="N463" i="2"/>
  <c r="N34" i="2"/>
  <c r="N307" i="2"/>
  <c r="N309" i="2"/>
  <c r="N454" i="2"/>
  <c r="N58" i="2"/>
  <c r="N275" i="2"/>
  <c r="N325" i="2"/>
  <c r="N235" i="2"/>
  <c r="N472" i="2"/>
  <c r="N202" i="2"/>
  <c r="N348" i="2"/>
  <c r="N30" i="2"/>
  <c r="N295" i="2"/>
  <c r="N163" i="2"/>
  <c r="N313" i="2"/>
  <c r="N15" i="2"/>
  <c r="N147" i="2"/>
  <c r="N460" i="2"/>
  <c r="N220" i="2"/>
  <c r="N115" i="2"/>
  <c r="N135" i="2"/>
  <c r="N197" i="2"/>
  <c r="N363" i="2"/>
  <c r="N156" i="2"/>
  <c r="N207" i="2"/>
  <c r="N353" i="2"/>
  <c r="N60" i="2"/>
  <c r="N467" i="2"/>
  <c r="N153" i="2"/>
  <c r="N321" i="2"/>
  <c r="N93" i="2"/>
  <c r="N279" i="2"/>
  <c r="N37" i="2"/>
  <c r="O2" i="2"/>
  <c r="N51" i="2"/>
  <c r="N217" i="2"/>
  <c r="N16" i="2"/>
  <c r="N161" i="2"/>
  <c r="N476" i="2"/>
  <c r="N121" i="2"/>
  <c r="N362" i="2"/>
  <c r="N358" i="2"/>
  <c r="N461" i="2"/>
  <c r="N46" i="2"/>
  <c r="N108" i="2"/>
  <c r="N411" i="2"/>
  <c r="N267" i="2"/>
  <c r="N21" i="2"/>
  <c r="N264" i="2"/>
  <c r="N47" i="2"/>
  <c r="N158" i="2"/>
  <c r="N421" i="2"/>
  <c r="N405" i="2"/>
  <c r="N293" i="2"/>
  <c r="N134" i="2"/>
  <c r="N388" i="2"/>
  <c r="N75" i="2"/>
  <c r="N17" i="2"/>
  <c r="N238" i="2"/>
  <c r="N503" i="2"/>
  <c r="N504" i="2"/>
  <c r="N170" i="2"/>
  <c r="N489" i="2"/>
  <c r="N378" i="2"/>
  <c r="N11" i="2"/>
  <c r="N78" i="2"/>
  <c r="N107" i="2"/>
  <c r="N59" i="2"/>
  <c r="N73" i="2"/>
  <c r="N132" i="2"/>
  <c r="N380" i="2"/>
  <c r="N187" i="2"/>
  <c r="N124" i="2"/>
  <c r="N417" i="2"/>
  <c r="N162" i="2"/>
  <c r="N302" i="2"/>
  <c r="N14" i="2"/>
  <c r="N343" i="2"/>
  <c r="N221" i="2"/>
  <c r="N486" i="2"/>
  <c r="N409" i="2"/>
  <c r="N116" i="2"/>
  <c r="N473" i="2"/>
  <c r="N144" i="2"/>
  <c r="N385" i="2"/>
  <c r="N408" i="2"/>
  <c r="N418" i="2"/>
  <c r="N498" i="2"/>
  <c r="N287" i="2"/>
  <c r="N166" i="2"/>
  <c r="N70" i="2"/>
  <c r="N183" i="2"/>
  <c r="N96" i="2"/>
  <c r="N356" i="2"/>
  <c r="N192" i="2"/>
  <c r="N420" i="2"/>
  <c r="N49" i="2"/>
  <c r="N394" i="2"/>
  <c r="N377" i="2"/>
  <c r="N247" i="2"/>
  <c r="N129" i="2"/>
  <c r="N303" i="2"/>
  <c r="N3" i="2"/>
  <c r="N139" i="2"/>
  <c r="N42" i="2"/>
  <c r="N179" i="2"/>
  <c r="N477" i="2"/>
  <c r="N437" i="2"/>
  <c r="N379" i="2"/>
  <c r="N90" i="2"/>
  <c r="N297" i="2"/>
  <c r="N349" i="2"/>
  <c r="N447" i="2"/>
  <c r="N399" i="2"/>
  <c r="N68" i="2"/>
  <c r="N89" i="2"/>
  <c r="N424" i="2"/>
  <c r="N175" i="2"/>
  <c r="N329" i="2"/>
  <c r="N339" i="2"/>
  <c r="N249" i="2"/>
  <c r="N177" i="2"/>
  <c r="N310" i="2"/>
  <c r="N443" i="2"/>
  <c r="N215" i="2"/>
  <c r="N344" i="2"/>
  <c r="N98" i="2"/>
  <c r="N351" i="2"/>
  <c r="N83" i="2"/>
  <c r="N289" i="2"/>
  <c r="N306" i="2"/>
  <c r="N54" i="2"/>
  <c r="N397" i="2"/>
  <c r="N416" i="2"/>
  <c r="N65" i="2"/>
  <c r="N225" i="2"/>
  <c r="N294" i="2"/>
  <c r="N386" i="2"/>
  <c r="N333" i="2"/>
  <c r="N50" i="2"/>
  <c r="N92" i="2"/>
  <c r="N204" i="2"/>
  <c r="N332" i="2"/>
  <c r="N241" i="2"/>
  <c r="N371" i="2"/>
  <c r="N396" i="2"/>
  <c r="N291" i="2"/>
  <c r="N209" i="2"/>
  <c r="N334" i="2"/>
  <c r="N431" i="2"/>
  <c r="N452" i="2"/>
  <c r="N114" i="2"/>
  <c r="N479" i="2"/>
  <c r="N31" i="2"/>
  <c r="N171" i="2"/>
  <c r="N372" i="2"/>
  <c r="N419" i="2"/>
  <c r="N384" i="2"/>
  <c r="N66" i="2"/>
  <c r="N142" i="2"/>
  <c r="N95" i="2"/>
  <c r="N180" i="2"/>
  <c r="N120" i="2"/>
  <c r="N495" i="2"/>
  <c r="N382" i="2"/>
  <c r="N28" i="2"/>
  <c r="N441" i="2"/>
  <c r="N465" i="2"/>
  <c r="N240" i="2"/>
  <c r="N404" i="2"/>
  <c r="N455" i="2"/>
  <c r="N462" i="2"/>
  <c r="N337" i="2"/>
  <c r="N133" i="2"/>
  <c r="N485" i="2"/>
  <c r="N335" i="2"/>
  <c r="N118" i="2"/>
  <c r="N481" i="2"/>
  <c r="N391" i="2"/>
  <c r="N439" i="2"/>
  <c r="N282" i="2"/>
  <c r="N501" i="2"/>
  <c r="N131" i="2"/>
  <c r="N103" i="2"/>
  <c r="N206" i="2"/>
  <c r="N80" i="2"/>
  <c r="N53" i="2"/>
  <c r="N141" i="2"/>
  <c r="N119" i="2"/>
  <c r="N105" i="2"/>
  <c r="N194" i="2"/>
  <c r="N320" i="2"/>
  <c r="N338" i="2"/>
  <c r="N45" i="2"/>
  <c r="N191" i="2"/>
  <c r="N145" i="2"/>
  <c r="N126" i="2"/>
  <c r="N448" i="2"/>
  <c r="N426" i="2"/>
  <c r="N400" i="2"/>
  <c r="N292" i="2"/>
  <c r="N403" i="2"/>
  <c r="N33" i="2"/>
  <c r="N258" i="2"/>
  <c r="N172" i="2"/>
  <c r="N62" i="2"/>
  <c r="N407" i="2"/>
  <c r="N277" i="2"/>
  <c r="N466" i="2"/>
  <c r="N429" i="2"/>
  <c r="N57" i="2"/>
  <c r="N459" i="2"/>
  <c r="N41" i="2"/>
  <c r="N211" i="2"/>
  <c r="N316" i="2"/>
  <c r="N375" i="2"/>
  <c r="N218" i="2"/>
  <c r="N184" i="2"/>
  <c r="N342" i="2"/>
  <c r="N458" i="2"/>
  <c r="N64" i="2"/>
  <c r="N340" i="2"/>
  <c r="N72" i="2"/>
  <c r="N308" i="2"/>
  <c r="N430" i="2"/>
  <c r="N216" i="2"/>
  <c r="N505" i="2"/>
  <c r="N214" i="2"/>
  <c r="N137" i="2"/>
  <c r="N410" i="2"/>
  <c r="N246" i="2"/>
  <c r="N451" i="2"/>
  <c r="N234" i="2"/>
  <c r="N189" i="2"/>
  <c r="N341" i="2"/>
  <c r="N138" i="2"/>
  <c r="N365" i="2"/>
  <c r="N304" i="2"/>
  <c r="N228" i="2"/>
  <c r="N402" i="2"/>
  <c r="N181" i="2"/>
  <c r="N165" i="2"/>
  <c r="N469" i="2"/>
  <c r="N76" i="2"/>
  <c r="N364" i="2"/>
  <c r="N174" i="2"/>
  <c r="N242" i="2"/>
  <c r="N446" i="2"/>
  <c r="N283" i="2"/>
  <c r="N326" i="2"/>
  <c r="N69" i="2"/>
  <c r="N369" i="2"/>
  <c r="N260" i="2"/>
  <c r="N284" i="2"/>
  <c r="N254" i="2"/>
  <c r="N27" i="2"/>
  <c r="N301" i="2"/>
  <c r="N113" i="2"/>
  <c r="N354" i="2"/>
  <c r="N401" i="2"/>
  <c r="N84" i="2"/>
  <c r="N52" i="2"/>
  <c r="N328" i="2"/>
  <c r="N392" i="2"/>
  <c r="N491" i="2"/>
  <c r="N205" i="2"/>
  <c r="N488" i="2"/>
  <c r="N155" i="2"/>
  <c r="N268" i="2"/>
  <c r="N499" i="2"/>
  <c r="N239" i="2"/>
  <c r="N5" i="2"/>
  <c r="N19" i="2"/>
  <c r="N255" i="2"/>
  <c r="N492" i="2"/>
  <c r="N208" i="2"/>
  <c r="N278" i="2"/>
  <c r="N24" i="2"/>
  <c r="N227" i="2"/>
  <c r="N252" i="2"/>
  <c r="N81" i="2"/>
  <c r="N390" i="2"/>
  <c r="N85" i="2"/>
  <c r="N413" i="2"/>
  <c r="N150" i="2"/>
  <c r="N110" i="2"/>
  <c r="N450" i="2"/>
  <c r="N91" i="2"/>
  <c r="N55" i="2"/>
  <c r="N276" i="2"/>
  <c r="N77" i="2"/>
  <c r="N493" i="2"/>
  <c r="N311" i="2"/>
  <c r="N270" i="2"/>
  <c r="N203" i="2"/>
  <c r="N470" i="2"/>
  <c r="N229" i="2"/>
  <c r="N67" i="2"/>
  <c r="N366" i="2"/>
  <c r="N368" i="2"/>
  <c r="N438" i="2"/>
  <c r="N233" i="2"/>
  <c r="N285" i="2"/>
  <c r="N502" i="2"/>
  <c r="N347" i="2"/>
  <c r="N274" i="2"/>
  <c r="N323" i="2"/>
  <c r="N130" i="2"/>
  <c r="N167" i="2"/>
  <c r="N87" i="2"/>
  <c r="N415" i="2"/>
  <c r="N111" i="2"/>
  <c r="N263" i="2"/>
  <c r="N212" i="2"/>
  <c r="N164" i="2"/>
  <c r="N38" i="2"/>
  <c r="N237" i="2"/>
  <c r="N99" i="2"/>
  <c r="N39" i="2"/>
  <c r="N350" i="2"/>
  <c r="N56" i="2"/>
  <c r="N169" i="2"/>
  <c r="N440" i="2"/>
  <c r="N74" i="2"/>
  <c r="N434" i="2"/>
  <c r="N445" i="2"/>
  <c r="N219" i="2"/>
  <c r="N86" i="2"/>
  <c r="N82" i="2"/>
  <c r="N44" i="2"/>
  <c r="N324" i="2"/>
  <c r="N442" i="2"/>
  <c r="N436" i="2"/>
  <c r="N427" i="2"/>
  <c r="N374" i="2"/>
  <c r="N393" i="2"/>
  <c r="N100" i="2"/>
  <c r="N315" i="2"/>
  <c r="N331" i="2"/>
  <c r="N185" i="2"/>
  <c r="N300" i="2"/>
  <c r="N357" i="2"/>
  <c r="N223" i="2"/>
  <c r="N482" i="2"/>
  <c r="N230" i="2"/>
  <c r="N71" i="2"/>
  <c r="N383" i="2"/>
  <c r="N373" i="2"/>
  <c r="N453" i="2"/>
  <c r="N395" i="2"/>
  <c r="N312" i="2"/>
  <c r="N271" i="2"/>
  <c r="N330" i="2"/>
  <c r="N196" i="2"/>
  <c r="N414" i="2"/>
  <c r="N251" i="2"/>
  <c r="N159" i="2"/>
  <c r="N317" i="2"/>
  <c r="N10" i="2"/>
  <c r="N490" i="2"/>
  <c r="N79" i="2"/>
  <c r="N35" i="2"/>
  <c r="N288" i="2"/>
  <c r="N262" i="2"/>
  <c r="N22" i="2"/>
  <c r="N160" i="2"/>
  <c r="N298" i="2"/>
  <c r="N327" i="2"/>
  <c r="N125" i="2"/>
  <c r="N112" i="2"/>
  <c r="N433" i="2"/>
  <c r="N425" i="2"/>
  <c r="N7" i="2"/>
  <c r="N173" i="2"/>
  <c r="N168" i="2"/>
  <c r="N266" i="2"/>
  <c r="N199" i="2"/>
  <c r="N480" i="2"/>
  <c r="N117" i="2"/>
  <c r="N367" i="2"/>
  <c r="N61" i="2"/>
  <c r="N102" i="2"/>
  <c r="N157" i="2"/>
  <c r="N4" i="2"/>
  <c r="N500" i="2"/>
  <c r="N256" i="2"/>
  <c r="N250" i="2"/>
  <c r="O7" i="2"/>
  <c r="O432" i="2"/>
  <c r="O232" i="2"/>
  <c r="O474" i="2"/>
  <c r="O275" i="2"/>
  <c r="O410" i="2"/>
  <c r="O162" i="2"/>
  <c r="O117" i="2"/>
  <c r="O123" i="2"/>
  <c r="O442" i="2"/>
  <c r="O58" i="2"/>
  <c r="O493" i="2"/>
  <c r="O17" i="2"/>
  <c r="O369" i="2"/>
  <c r="O328" i="2"/>
  <c r="O195" i="2"/>
  <c r="O497" i="2"/>
  <c r="O460" i="2"/>
  <c r="O283" i="2"/>
  <c r="O259" i="2"/>
  <c r="O472" i="2"/>
  <c r="O97" i="2"/>
  <c r="O35" i="2"/>
  <c r="O112" i="2"/>
  <c r="O137" i="2"/>
  <c r="O367" i="2"/>
  <c r="O96" i="2"/>
  <c r="O70" i="2"/>
  <c r="O64" i="2"/>
  <c r="O468" i="2"/>
  <c r="O279" i="2"/>
  <c r="O136" i="2"/>
  <c r="O459" i="2"/>
  <c r="N423" i="2"/>
  <c r="O495" i="2"/>
  <c r="O73" i="2"/>
  <c r="O310" i="2"/>
  <c r="O203" i="2"/>
  <c r="O122" i="2"/>
  <c r="O143" i="2"/>
  <c r="O24" i="2"/>
  <c r="O148" i="2"/>
  <c r="N444" i="2"/>
  <c r="O159" i="2"/>
  <c r="O388" i="2"/>
  <c r="O193" i="2"/>
  <c r="O449" i="2"/>
  <c r="O103" i="2"/>
  <c r="O464" i="2"/>
  <c r="O458" i="2"/>
  <c r="O385" i="2"/>
  <c r="O298" i="2"/>
  <c r="O139" i="2"/>
  <c r="O252" i="2"/>
  <c r="O486" i="2"/>
  <c r="O288" i="2"/>
  <c r="O89" i="2"/>
  <c r="O92" i="2"/>
  <c r="O109" i="2"/>
  <c r="O38" i="2"/>
  <c r="O202" i="2"/>
  <c r="O107" i="2"/>
  <c r="O51" i="2"/>
  <c r="O53" i="2"/>
  <c r="O440" i="2"/>
  <c r="O183" i="2"/>
  <c r="O99" i="2"/>
  <c r="O313" i="2"/>
  <c r="O418" i="2"/>
  <c r="O155" i="2"/>
  <c r="O359" i="2"/>
  <c r="O189" i="2"/>
  <c r="O333" i="2"/>
  <c r="O323" i="2"/>
  <c r="O222" i="2"/>
  <c r="O85" i="2"/>
  <c r="O397" i="2"/>
  <c r="O34" i="2"/>
  <c r="O21" i="2"/>
  <c r="O243" i="2"/>
  <c r="O63" i="2"/>
  <c r="O56" i="2"/>
  <c r="O401" i="2"/>
  <c r="O133" i="2"/>
  <c r="O321" i="2"/>
  <c r="N104" i="2"/>
  <c r="O329" i="2"/>
  <c r="O46" i="2"/>
  <c r="O86" i="2"/>
  <c r="O218" i="2"/>
  <c r="O239" i="2"/>
  <c r="O164" i="2"/>
  <c r="O169" i="2"/>
  <c r="O487" i="2"/>
  <c r="O230" i="2"/>
  <c r="O151" i="2"/>
  <c r="O125" i="2"/>
  <c r="O327" i="2"/>
  <c r="O337" i="2"/>
  <c r="O19" i="2"/>
  <c r="O104" i="2"/>
  <c r="O311" i="2"/>
  <c r="O175" i="2"/>
  <c r="O317" i="2"/>
  <c r="O57" i="2"/>
  <c r="O293" i="2"/>
  <c r="O211" i="2"/>
  <c r="O368" i="2"/>
  <c r="O485" i="2"/>
  <c r="O201" i="2"/>
  <c r="O435" i="2"/>
  <c r="O132" i="2"/>
  <c r="O473" i="2"/>
  <c r="O364" i="2"/>
  <c r="O426" i="2"/>
  <c r="O31" i="2"/>
  <c r="O181" i="2"/>
  <c r="O179" i="2"/>
  <c r="O61" i="2"/>
  <c r="O471" i="2"/>
  <c r="O124" i="2"/>
  <c r="O82" i="2"/>
  <c r="O342" i="2"/>
  <c r="O406" i="2"/>
  <c r="O47" i="2"/>
  <c r="O167" i="2"/>
  <c r="O154" i="2"/>
  <c r="O55" i="2"/>
  <c r="O289" i="2"/>
  <c r="O161" i="2"/>
  <c r="O379" i="2"/>
  <c r="O265" i="2"/>
  <c r="O424" i="2"/>
  <c r="N352" i="2"/>
  <c r="O30" i="2"/>
  <c r="O214" i="2"/>
  <c r="O341" i="2"/>
  <c r="O32" i="2"/>
  <c r="O197" i="2"/>
  <c r="O351" i="2"/>
  <c r="O387" i="2"/>
  <c r="N280" i="2"/>
  <c r="N63" i="2"/>
  <c r="O296" i="2"/>
  <c r="O244" i="2"/>
  <c r="O18" i="2"/>
  <c r="N494" i="2"/>
  <c r="O67" i="2"/>
  <c r="O462" i="2"/>
  <c r="O330" i="2"/>
  <c r="O498" i="2"/>
  <c r="O352" i="2"/>
  <c r="O308" i="2"/>
  <c r="O361" i="2"/>
  <c r="O343" i="2"/>
  <c r="O94" i="2"/>
  <c r="O210" i="2"/>
  <c r="O126" i="2"/>
  <c r="O52" i="2"/>
  <c r="O395" i="2"/>
  <c r="O13" i="2"/>
  <c r="O194" i="2"/>
  <c r="O469" i="2"/>
  <c r="O280" i="2"/>
  <c r="O346" i="2"/>
  <c r="O172" i="2"/>
  <c r="O108" i="2"/>
  <c r="O135" i="2"/>
  <c r="O190" i="2"/>
  <c r="O209" i="2"/>
  <c r="O118" i="2"/>
  <c r="O145" i="2"/>
  <c r="O300" i="2"/>
  <c r="O90" i="2"/>
  <c r="O302" i="2"/>
  <c r="N36" i="2"/>
  <c r="O163" i="2"/>
  <c r="O448" i="2"/>
  <c r="O199" i="2"/>
  <c r="N336" i="2"/>
  <c r="O488" i="2"/>
  <c r="N43" i="2"/>
  <c r="N97" i="2"/>
  <c r="O25" i="2"/>
  <c r="O404" i="2"/>
  <c r="O420" i="2"/>
  <c r="O236" i="2"/>
  <c r="O272" i="2"/>
  <c r="O250" i="2"/>
  <c r="O254" i="2"/>
  <c r="O499" i="2"/>
  <c r="O228" i="2"/>
  <c r="O494" i="2"/>
  <c r="N305" i="2"/>
  <c r="O12" i="2"/>
  <c r="O281" i="2"/>
  <c r="N88" i="2"/>
  <c r="N213" i="2"/>
  <c r="O156" i="2"/>
  <c r="O134" i="2"/>
  <c r="O249" i="2"/>
  <c r="O37" i="2"/>
  <c r="O93" i="2"/>
  <c r="O6" i="2"/>
  <c r="O417" i="2"/>
  <c r="O217" i="2"/>
  <c r="O28" i="2"/>
  <c r="O312" i="2"/>
  <c r="O273" i="2"/>
  <c r="O271" i="2"/>
  <c r="O357" i="2"/>
  <c r="O336" i="2"/>
  <c r="O331" i="2"/>
  <c r="O398" i="2"/>
  <c r="O119" i="2"/>
  <c r="O339" i="2"/>
  <c r="O235" i="2"/>
  <c r="O297" i="2"/>
  <c r="O274" i="2"/>
  <c r="O500" i="2"/>
  <c r="O324" i="2"/>
  <c r="O338" i="2"/>
  <c r="O49" i="2"/>
  <c r="O481" i="2"/>
  <c r="O301" i="2"/>
  <c r="O347" i="2"/>
  <c r="O350" i="2"/>
  <c r="O100" i="2"/>
  <c r="O29" i="2"/>
  <c r="N244" i="2"/>
  <c r="O22" i="2"/>
  <c r="O403" i="2"/>
  <c r="O482" i="2"/>
  <c r="O173" i="2"/>
  <c r="N269" i="2"/>
  <c r="O246" i="2"/>
  <c r="O207" i="2"/>
  <c r="N359" i="2"/>
  <c r="O212" i="2"/>
  <c r="O198" i="2"/>
  <c r="O11" i="2"/>
  <c r="O477" i="2"/>
  <c r="O120" i="2"/>
  <c r="O257" i="2"/>
  <c r="O200" i="2"/>
  <c r="O382" i="2"/>
  <c r="O402" i="2"/>
  <c r="N226" i="2"/>
  <c r="O213" i="2"/>
  <c r="N109" i="2"/>
  <c r="O45" i="2"/>
  <c r="O26" i="2"/>
  <c r="O149" i="2"/>
  <c r="O10" i="2"/>
  <c r="O386" i="2"/>
  <c r="O267" i="2"/>
  <c r="O196" i="2"/>
  <c r="O255" i="2"/>
  <c r="O447" i="2"/>
  <c r="N319" i="2"/>
  <c r="N296" i="2"/>
  <c r="O266" i="2"/>
  <c r="N273" i="2"/>
  <c r="O295" i="2"/>
  <c r="O451" i="2"/>
  <c r="O490" i="2"/>
  <c r="O182" i="2"/>
  <c r="O353" i="2"/>
  <c r="O294" i="2"/>
  <c r="O165" i="2"/>
  <c r="O463" i="2"/>
  <c r="O391" i="2"/>
  <c r="N471" i="2"/>
  <c r="N6" i="2"/>
  <c r="O174" i="2"/>
  <c r="O322" i="2"/>
  <c r="O188" i="2"/>
  <c r="N200" i="2"/>
  <c r="N176" i="2"/>
  <c r="N290" i="2"/>
  <c r="N182" i="2"/>
  <c r="O166" i="2"/>
  <c r="O130" i="2"/>
  <c r="O381" i="2"/>
  <c r="O429" i="2"/>
  <c r="O231" i="2"/>
  <c r="O450" i="2"/>
  <c r="O502" i="2"/>
  <c r="O59" i="2"/>
  <c r="O43" i="2"/>
  <c r="O475" i="2"/>
  <c r="O427" i="2"/>
  <c r="O349" i="2"/>
  <c r="O457" i="2"/>
  <c r="O87" i="2"/>
  <c r="O455" i="2"/>
  <c r="O299" i="2"/>
  <c r="O15" i="2"/>
  <c r="O290" i="2"/>
  <c r="O253" i="2"/>
  <c r="O157" i="2"/>
  <c r="O204" i="2"/>
  <c r="O480" i="2"/>
  <c r="O258" i="2"/>
  <c r="O461" i="2"/>
  <c r="O113" i="2"/>
  <c r="O422" i="2"/>
  <c r="O261" i="2"/>
  <c r="O74" i="2"/>
  <c r="O102" i="2"/>
  <c r="O98" i="2"/>
  <c r="O282" i="2"/>
  <c r="O425" i="2"/>
  <c r="N483" i="2"/>
  <c r="O184" i="2"/>
  <c r="O373" i="2"/>
  <c r="O186" i="2"/>
  <c r="O423" i="2"/>
  <c r="O42" i="2"/>
  <c r="O431" i="2"/>
  <c r="N428" i="2"/>
  <c r="O65" i="2"/>
  <c r="O326" i="2"/>
  <c r="O227" i="2"/>
  <c r="O318" i="2"/>
  <c r="N248" i="2"/>
  <c r="O438" i="2"/>
  <c r="O319" i="2"/>
  <c r="O54" i="2"/>
  <c r="O415" i="2"/>
  <c r="N188" i="2"/>
  <c r="O224" i="2"/>
  <c r="O114" i="2"/>
  <c r="O504" i="2"/>
  <c r="O285" i="2"/>
  <c r="O242" i="2"/>
  <c r="O160" i="2"/>
  <c r="O407" i="2"/>
  <c r="O248" i="2"/>
  <c r="O360" i="2"/>
  <c r="O3" i="2"/>
  <c r="N127" i="2"/>
  <c r="N253" i="2"/>
  <c r="N128" i="2"/>
  <c r="O9" i="2"/>
  <c r="O88" i="2"/>
  <c r="O238" i="2"/>
  <c r="O16" i="2"/>
  <c r="O356" i="2"/>
  <c r="O287" i="2"/>
  <c r="O170" i="2"/>
  <c r="O454" i="2"/>
  <c r="O320" i="2"/>
  <c r="O208" i="2"/>
  <c r="O69" i="2"/>
  <c r="O138" i="2"/>
  <c r="O307" i="2"/>
  <c r="O484" i="2"/>
  <c r="O437" i="2"/>
  <c r="O71" i="2"/>
  <c r="O430" i="2"/>
  <c r="O220" i="2"/>
  <c r="O304" i="2"/>
  <c r="O251" i="2"/>
  <c r="O264" i="2"/>
  <c r="O276" i="2"/>
  <c r="O335" i="2"/>
  <c r="O153" i="2"/>
  <c r="O223" i="2"/>
  <c r="O371" i="2"/>
  <c r="O234" i="2"/>
  <c r="O79" i="2"/>
  <c r="O101" i="2"/>
  <c r="O389" i="2"/>
  <c r="O84" i="2"/>
  <c r="O237" i="2"/>
  <c r="O60" i="2"/>
  <c r="O225" i="2"/>
  <c r="O131" i="2"/>
  <c r="O465" i="2"/>
  <c r="O5" i="2"/>
  <c r="O260" i="2"/>
  <c r="O363" i="2"/>
  <c r="O434" i="2"/>
  <c r="N261" i="2"/>
  <c r="O62" i="2"/>
  <c r="O411" i="2"/>
  <c r="O392" i="2"/>
  <c r="O147" i="2"/>
  <c r="O334" i="2"/>
  <c r="O20" i="2"/>
  <c r="O152" i="2"/>
  <c r="O219" i="2"/>
  <c r="N122" i="2"/>
  <c r="N149" i="2"/>
  <c r="O233" i="2"/>
  <c r="O466" i="2"/>
  <c r="O315" i="2"/>
  <c r="O340" i="2"/>
  <c r="O348" i="2"/>
  <c r="O291" i="2"/>
  <c r="O394" i="2"/>
  <c r="O180" i="2"/>
  <c r="O345" i="2"/>
  <c r="O505" i="2"/>
  <c r="O205" i="2"/>
  <c r="O470" i="2"/>
  <c r="O453" i="2"/>
  <c r="O187" i="2"/>
  <c r="O158" i="2"/>
  <c r="O456" i="2"/>
  <c r="O171" i="2"/>
  <c r="O176" i="2"/>
  <c r="O419" i="2"/>
  <c r="O83" i="2"/>
  <c r="O76" i="2"/>
  <c r="O292" i="2"/>
  <c r="O68" i="2"/>
  <c r="O375" i="2"/>
  <c r="O39" i="2"/>
  <c r="O66" i="2"/>
  <c r="O14" i="2"/>
  <c r="O77" i="2"/>
  <c r="O177" i="2"/>
  <c r="O421" i="2"/>
  <c r="O409" i="2"/>
  <c r="O110" i="2"/>
  <c r="N8" i="2"/>
  <c r="N9" i="2"/>
  <c r="N435" i="2"/>
  <c r="O262" i="2"/>
  <c r="O384" i="2"/>
  <c r="O303" i="2"/>
  <c r="O443" i="2"/>
  <c r="O263" i="2"/>
  <c r="O229" i="2"/>
  <c r="O405" i="2"/>
  <c r="O106" i="2"/>
  <c r="O141" i="2"/>
  <c r="O23" i="2"/>
  <c r="O416" i="2"/>
  <c r="O48" i="2"/>
  <c r="O270" i="2"/>
  <c r="O269" i="2"/>
  <c r="O444" i="2"/>
  <c r="O496" i="2"/>
  <c r="O492" i="2"/>
  <c r="O358" i="2"/>
  <c r="O44" i="2"/>
  <c r="O241" i="2"/>
  <c r="O216" i="2"/>
  <c r="O115" i="2"/>
  <c r="O412" i="2"/>
  <c r="O78" i="2"/>
  <c r="O80" i="2"/>
  <c r="O399" i="2"/>
  <c r="O479" i="2"/>
  <c r="O355" i="2"/>
  <c r="O284" i="2"/>
  <c r="O128" i="2"/>
  <c r="O428" i="2"/>
  <c r="O396" i="2"/>
  <c r="O503" i="2"/>
  <c r="N398" i="2"/>
  <c r="O81" i="2"/>
  <c r="O206" i="2"/>
  <c r="O91" i="2"/>
  <c r="O75" i="2"/>
  <c r="O362" i="2"/>
  <c r="N346" i="2"/>
  <c r="N497" i="2"/>
  <c r="O191" i="2"/>
  <c r="O185" i="2"/>
  <c r="O483" i="2"/>
  <c r="O433" i="2"/>
  <c r="O476" i="2"/>
  <c r="O129" i="2"/>
  <c r="O374" i="2"/>
  <c r="O314" i="2"/>
  <c r="O247" i="2"/>
  <c r="O95" i="2"/>
  <c r="O383" i="2"/>
  <c r="O40" i="2"/>
  <c r="O105" i="2"/>
  <c r="O192" i="2"/>
  <c r="O4" i="2"/>
  <c r="O221" i="2"/>
  <c r="O305" i="2"/>
  <c r="O445" i="2"/>
  <c r="O489" i="2"/>
  <c r="O27" i="2"/>
  <c r="O400" i="2"/>
  <c r="O277" i="2"/>
  <c r="O501" i="2"/>
  <c r="O506" i="2"/>
  <c r="O33" i="2"/>
  <c r="O127" i="2"/>
  <c r="O413" i="2"/>
  <c r="O390" i="2"/>
  <c r="O286" i="2"/>
  <c r="O436" i="2"/>
  <c r="O325" i="2"/>
  <c r="O278" i="2"/>
  <c r="O365" i="2"/>
  <c r="O111" i="2"/>
  <c r="O377" i="2"/>
  <c r="O408" i="2"/>
  <c r="O491" i="2"/>
  <c r="N18" i="2"/>
  <c r="N478" i="2"/>
  <c r="N484" i="2"/>
  <c r="N487" i="2"/>
  <c r="O142" i="2"/>
  <c r="O439" i="2"/>
  <c r="O441" i="2"/>
  <c r="O116" i="2"/>
  <c r="O344" i="2"/>
  <c r="O72" i="2"/>
  <c r="O372" i="2"/>
  <c r="N12" i="2"/>
  <c r="N345" i="2"/>
  <c r="O332" i="2"/>
  <c r="O140" i="2"/>
  <c r="O467" i="2"/>
  <c r="O354" i="2"/>
  <c r="O178" i="2"/>
  <c r="O316" i="2"/>
  <c r="O245" i="2"/>
  <c r="O256" i="2"/>
  <c r="O168" i="2"/>
  <c r="O240" i="2"/>
  <c r="O8" i="2"/>
  <c r="O366" i="2"/>
  <c r="O146" i="2"/>
  <c r="O370" i="2"/>
  <c r="O226" i="2"/>
  <c r="O380" i="2"/>
  <c r="O393" i="2"/>
  <c r="O414" i="2"/>
  <c r="O268" i="2"/>
  <c r="O376" i="2"/>
  <c r="O36" i="2"/>
  <c r="O50" i="2"/>
  <c r="O309" i="2"/>
  <c r="O150" i="2"/>
  <c r="O41" i="2"/>
  <c r="O215" i="2"/>
  <c r="O144" i="2"/>
  <c r="O378" i="2"/>
  <c r="O446" i="2"/>
  <c r="O478" i="2"/>
  <c r="O452" i="2"/>
  <c r="O306" i="2"/>
  <c r="O1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<sst xmlns="http://schemas.openxmlformats.org/spreadsheetml/2006/main" count="7835" uniqueCount="1543">
  <si>
    <t>02 — 主表(505 只),等 01a 确认没问题之后再跑</t>
  </si>
  <si>
    <t>打开后 Bloomberg 插件会自动算。算完发回来。</t>
  </si>
  <si>
    <t>505 只 × 3 个字段 × 2 个日期 = 3030 个数据点。</t>
  </si>
  <si>
    <t>字段:MTG_GEN_CPR_3M / 6M / 12M</t>
  </si>
  <si>
    <t>日期:2009-03-31(主)和 2009-06-10(对照)</t>
  </si>
  <si>
    <t>哪一格没数据就留空,不要补 —— 看得见的缺口比看不见的错数便宜得多。</t>
  </si>
  <si>
    <t>cusip</t>
  </si>
  <si>
    <t>asset_id</t>
  </si>
  <si>
    <t>structure</t>
  </si>
  <si>
    <t>security</t>
  </si>
  <si>
    <t>MTG_GEN_CPR_3M_20090331</t>
  </si>
  <si>
    <t>MTG_GEN_CPR_6M_20090331</t>
  </si>
  <si>
    <t>MTG_GEN_CPR_12M_20090331</t>
  </si>
  <si>
    <t>MTG_GEN_CPR_3M_20090610</t>
  </si>
  <si>
    <t>MTG_GEN_CPR_6M_20090610</t>
  </si>
  <si>
    <t>MTG_GEN_CPR_12M_20090610</t>
  </si>
  <si>
    <t>01F040446</t>
  </si>
  <si>
    <t>TNTD03376464</t>
  </si>
  <si>
    <t>tba-forward</t>
  </si>
  <si>
    <t>01F040446 Mtge</t>
  </si>
  <si>
    <t>01F042640</t>
  </si>
  <si>
    <t>TNTD03376461</t>
  </si>
  <si>
    <t>01F042640 Mtge</t>
  </si>
  <si>
    <t>01F050445</t>
  </si>
  <si>
    <t>TNTD03359835</t>
  </si>
  <si>
    <t>01F050445 Mtge</t>
  </si>
  <si>
    <t>01F050452</t>
  </si>
  <si>
    <t>TNTD03333865</t>
  </si>
  <si>
    <t>01F050452 Mtge</t>
  </si>
  <si>
    <t>01F050643</t>
  </si>
  <si>
    <t>TNTD03360916</t>
  </si>
  <si>
    <t>01F050643 Mtge</t>
  </si>
  <si>
    <t>01F050650</t>
  </si>
  <si>
    <t>TNTD03361178</t>
  </si>
  <si>
    <t>01F050650 Mtge</t>
  </si>
  <si>
    <t>01F052441</t>
  </si>
  <si>
    <t>TNTD03341179</t>
  </si>
  <si>
    <t>01F052441 Mtge</t>
  </si>
  <si>
    <t>01F052656</t>
  </si>
  <si>
    <t>TNTD03333136</t>
  </si>
  <si>
    <t>01F052656 Mtge</t>
  </si>
  <si>
    <t>01F060444</t>
  </si>
  <si>
    <t>TNTD03321617</t>
  </si>
  <si>
    <t>01F060444 Mtge</t>
  </si>
  <si>
    <t>01F060642</t>
  </si>
  <si>
    <t>TNTD03341178</t>
  </si>
  <si>
    <t>01F060642 Mtge</t>
  </si>
  <si>
    <t>01F062648</t>
  </si>
  <si>
    <t>TNTD03321474</t>
  </si>
  <si>
    <t>01F062648 Mtge</t>
  </si>
  <si>
    <t>01F062655</t>
  </si>
  <si>
    <t>TNTD03322513</t>
  </si>
  <si>
    <t>01F062655 Mtge</t>
  </si>
  <si>
    <t>01N042641</t>
  </si>
  <si>
    <t>TNTD03551062</t>
  </si>
  <si>
    <t>01N042641 Mtge</t>
  </si>
  <si>
    <t>01N052657</t>
  </si>
  <si>
    <t>TNTD03538461</t>
  </si>
  <si>
    <t>01N052657 Mtge</t>
  </si>
  <si>
    <t>01N060643</t>
  </si>
  <si>
    <t>TNTD03509939</t>
  </si>
  <si>
    <t>01N060643 Mtge</t>
  </si>
  <si>
    <t>01N060650</t>
  </si>
  <si>
    <t>TNTD03508983</t>
  </si>
  <si>
    <t>01N060650 Mtge</t>
  </si>
  <si>
    <t>01N062649</t>
  </si>
  <si>
    <t>TNTD03537763</t>
  </si>
  <si>
    <t>01N062649 Mtge</t>
  </si>
  <si>
    <t>02R042447</t>
  </si>
  <si>
    <t>TNTD03130816</t>
  </si>
  <si>
    <t>02R042447 Mtge</t>
  </si>
  <si>
    <t>02R042645</t>
  </si>
  <si>
    <t>TNTD03137674</t>
  </si>
  <si>
    <t>02R042645 Mtge</t>
  </si>
  <si>
    <t>02R050440</t>
  </si>
  <si>
    <t>TNTD03117608</t>
  </si>
  <si>
    <t>02R050440 Mtge</t>
  </si>
  <si>
    <t>02R050648</t>
  </si>
  <si>
    <t>TNTD03130989</t>
  </si>
  <si>
    <t>02R050648 Mtge</t>
  </si>
  <si>
    <t>02R052446</t>
  </si>
  <si>
    <t>TNTD03117872</t>
  </si>
  <si>
    <t>02R052446 Mtge</t>
  </si>
  <si>
    <t>02R052644</t>
  </si>
  <si>
    <t>TNTD03117590</t>
  </si>
  <si>
    <t>02R052644 Mtge</t>
  </si>
  <si>
    <t>02R060647</t>
  </si>
  <si>
    <t>TNTD03124789</t>
  </si>
  <si>
    <t>02R060647 Mtge</t>
  </si>
  <si>
    <t>21H052645</t>
  </si>
  <si>
    <t>TNTD03544138</t>
  </si>
  <si>
    <t>21H052645 Mtge</t>
  </si>
  <si>
    <t>21H060648</t>
  </si>
  <si>
    <t>TNTD03541552</t>
  </si>
  <si>
    <t>21H060648 Mtge</t>
  </si>
  <si>
    <t>21H060655</t>
  </si>
  <si>
    <t>TNTD03538948</t>
  </si>
  <si>
    <t>21H060655 Mtge</t>
  </si>
  <si>
    <t>31283H4W2</t>
  </si>
  <si>
    <t>TNTD03142772</t>
  </si>
  <si>
    <t>pass-through</t>
  </si>
  <si>
    <t>31283H4W2 Mtge</t>
  </si>
  <si>
    <t>31283HLG8</t>
  </si>
  <si>
    <t>TNTD03125010</t>
  </si>
  <si>
    <t>31283HLG8 Mtge</t>
  </si>
  <si>
    <t>31283HRL1</t>
  </si>
  <si>
    <t>TNTD03128336</t>
  </si>
  <si>
    <t>31283HRL1 Mtge</t>
  </si>
  <si>
    <t>31283HWN1</t>
  </si>
  <si>
    <t>TNTD03131477</t>
  </si>
  <si>
    <t>31283HWN1 Mtge</t>
  </si>
  <si>
    <t>31283HWZ4</t>
  </si>
  <si>
    <t>TNTD03132199</t>
  </si>
  <si>
    <t>31283HWZ4 Mtge</t>
  </si>
  <si>
    <t>31283K3C0</t>
  </si>
  <si>
    <t>TNTD03144550</t>
  </si>
  <si>
    <t>31283K3C0 Mtge</t>
  </si>
  <si>
    <t>31283KNU8</t>
  </si>
  <si>
    <t>TNTD03131213</t>
  </si>
  <si>
    <t>31283KNU8 Mtge</t>
  </si>
  <si>
    <t>31283KR34</t>
  </si>
  <si>
    <t>TNTD03142775</t>
  </si>
  <si>
    <t>31283KR34 Mtge</t>
  </si>
  <si>
    <t>31287R2R9</t>
  </si>
  <si>
    <t>TNTD03135672</t>
  </si>
  <si>
    <t>31287R2R9 Mtge</t>
  </si>
  <si>
    <t>31287YVT8</t>
  </si>
  <si>
    <t>TNTD03130190</t>
  </si>
  <si>
    <t>31287YVT8 Mtge</t>
  </si>
  <si>
    <t>31288MC23</t>
  </si>
  <si>
    <t>TNTD03133397</t>
  </si>
  <si>
    <t>31288MC23 Mtge</t>
  </si>
  <si>
    <t>31288MC31</t>
  </si>
  <si>
    <t>TNTD03133398</t>
  </si>
  <si>
    <t>31288MC31 Mtge</t>
  </si>
  <si>
    <t>3128CUHK5</t>
  </si>
  <si>
    <t>TNTD03136447</t>
  </si>
  <si>
    <t>3128CUHK5 Mtge</t>
  </si>
  <si>
    <t>3128GCP55</t>
  </si>
  <si>
    <t>TNTD03122971</t>
  </si>
  <si>
    <t>3128GCP55 Mtge</t>
  </si>
  <si>
    <t>3128GCVT6</t>
  </si>
  <si>
    <t>TNTD03120309</t>
  </si>
  <si>
    <t>3128GCVT6 Mtge</t>
  </si>
  <si>
    <t>3128GDAZ3</t>
  </si>
  <si>
    <t>TNTD03121801</t>
  </si>
  <si>
    <t>3128GDAZ3 Mtge</t>
  </si>
  <si>
    <t>3128GDPU8</t>
  </si>
  <si>
    <t>TNTD03120897</t>
  </si>
  <si>
    <t>3128GDPU8 Mtge</t>
  </si>
  <si>
    <t>3128GDQJ2</t>
  </si>
  <si>
    <t>TNTD03121328</t>
  </si>
  <si>
    <t>3128GDQJ2 Mtge</t>
  </si>
  <si>
    <t>3128GDQW3</t>
  </si>
  <si>
    <t>TNTD03122968</t>
  </si>
  <si>
    <t>3128GDQW3 Mtge</t>
  </si>
  <si>
    <t>3128GDRC6</t>
  </si>
  <si>
    <t>TNTD03120159</t>
  </si>
  <si>
    <t>3128GDRC6 Mtge</t>
  </si>
  <si>
    <t>3128GDX47</t>
  </si>
  <si>
    <t>TNTD03120913</t>
  </si>
  <si>
    <t>3128GDX47 Mtge</t>
  </si>
  <si>
    <t>3128GDZX1</t>
  </si>
  <si>
    <t>TNTD03122947</t>
  </si>
  <si>
    <t>3128GDZX1 Mtge</t>
  </si>
  <si>
    <t>3128GEAJ7</t>
  </si>
  <si>
    <t>TNTD03121373</t>
  </si>
  <si>
    <t>3128GEAJ7 Mtge</t>
  </si>
  <si>
    <t>3128GEBA5</t>
  </si>
  <si>
    <t>TNTD03120902</t>
  </si>
  <si>
    <t>3128GEBA5 Mtge</t>
  </si>
  <si>
    <t>3128GFA62</t>
  </si>
  <si>
    <t>TNTD03121296</t>
  </si>
  <si>
    <t>3128GFA62 Mtge</t>
  </si>
  <si>
    <t>3128GGA78</t>
  </si>
  <si>
    <t>TNTD03121294</t>
  </si>
  <si>
    <t>3128GGA78 Mtge</t>
  </si>
  <si>
    <t>3128GGEV1</t>
  </si>
  <si>
    <t>TNTD03118526</t>
  </si>
  <si>
    <t>3128GGEV1 Mtge</t>
  </si>
  <si>
    <t>3128GGGX5</t>
  </si>
  <si>
    <t>TNTD03121795</t>
  </si>
  <si>
    <t>3128GGGX5 Mtge</t>
  </si>
  <si>
    <t>3128GHCL3</t>
  </si>
  <si>
    <t>TNTD03124070</t>
  </si>
  <si>
    <t>3128GHCL3 Mtge</t>
  </si>
  <si>
    <t>3128GJEM5</t>
  </si>
  <si>
    <t>TNTD03123967</t>
  </si>
  <si>
    <t>3128GJEM5 Mtge</t>
  </si>
  <si>
    <t>3128GJFP7</t>
  </si>
  <si>
    <t>TNTD03123966</t>
  </si>
  <si>
    <t>3128GJFP7 Mtge</t>
  </si>
  <si>
    <t>3128GLE99</t>
  </si>
  <si>
    <t>TNTD03103781</t>
  </si>
  <si>
    <t>3128GLE99 Mtge</t>
  </si>
  <si>
    <t>3128GVEA4</t>
  </si>
  <si>
    <t>TNTD03129372</t>
  </si>
  <si>
    <t>3128GVEA4 Mtge</t>
  </si>
  <si>
    <t>3128GWD39</t>
  </si>
  <si>
    <t>TNTD03129763</t>
  </si>
  <si>
    <t>3128GWD39 Mtge</t>
  </si>
  <si>
    <t>3128GWF37</t>
  </si>
  <si>
    <t>TNTD03129770</t>
  </si>
  <si>
    <t>3128GWF37 Mtge</t>
  </si>
  <si>
    <t>3128GWX78</t>
  </si>
  <si>
    <t>TNTD03131469</t>
  </si>
  <si>
    <t>3128GWX78 Mtge</t>
  </si>
  <si>
    <t>3128H33R0</t>
  </si>
  <si>
    <t>TNTD03131636</t>
  </si>
  <si>
    <t>3128H33R0 Mtge</t>
  </si>
  <si>
    <t>3128H4XA2</t>
  </si>
  <si>
    <t>TNTD03145455</t>
  </si>
  <si>
    <t>3128H4XA2 Mtge</t>
  </si>
  <si>
    <t>3128JLW39</t>
  </si>
  <si>
    <t>TNTD03147977</t>
  </si>
  <si>
    <t>3128JLW39 Mtge</t>
  </si>
  <si>
    <t>3128JMFN2</t>
  </si>
  <si>
    <t>TNTD03148127</t>
  </si>
  <si>
    <t>3128JMFN2 Mtge</t>
  </si>
  <si>
    <t>3128JMHG5</t>
  </si>
  <si>
    <t>TNTD03143785</t>
  </si>
  <si>
    <t>3128JMHG5 Mtge</t>
  </si>
  <si>
    <t>3128JNBN4</t>
  </si>
  <si>
    <t>TNTD03146708</t>
  </si>
  <si>
    <t>3128JNBN4 Mtge</t>
  </si>
  <si>
    <t>3128JRPE0</t>
  </si>
  <si>
    <t>TNTD03229114</t>
  </si>
  <si>
    <t>3128JRPE0 Mtge</t>
  </si>
  <si>
    <t>3128K3ZC4</t>
  </si>
  <si>
    <t>TNTD03148451</t>
  </si>
  <si>
    <t>3128K3ZC4 Mtge</t>
  </si>
  <si>
    <t>3128K7DW5</t>
  </si>
  <si>
    <t>TNTD03145979</t>
  </si>
  <si>
    <t>3128K7DW5 Mtge</t>
  </si>
  <si>
    <t>3128KDAY1</t>
  </si>
  <si>
    <t>TNTD03150014</t>
  </si>
  <si>
    <t>3128KDAY1 Mtge</t>
  </si>
  <si>
    <t>3128KWMW0</t>
  </si>
  <si>
    <t>TNTD03143471</t>
  </si>
  <si>
    <t>3128KWMW0 Mtge</t>
  </si>
  <si>
    <t>3128L7UY1</t>
  </si>
  <si>
    <t>TNTD03152946</t>
  </si>
  <si>
    <t>3128L7UY1 Mtge</t>
  </si>
  <si>
    <t>3128L8QS7</t>
  </si>
  <si>
    <t>TNTD03152951</t>
  </si>
  <si>
    <t>3128L8QS7 Mtge</t>
  </si>
  <si>
    <t>3128LDMN1</t>
  </si>
  <si>
    <t>TNTD03173779</t>
  </si>
  <si>
    <t>3128LDMN1 Mtge</t>
  </si>
  <si>
    <t>3128LDPL2</t>
  </si>
  <si>
    <t>TNTD03188379</t>
  </si>
  <si>
    <t>3128LDPL2 Mtge</t>
  </si>
  <si>
    <t>3128LUSW7</t>
  </si>
  <si>
    <t>TNTD03143314</t>
  </si>
  <si>
    <t>3128LUSW7 Mtge</t>
  </si>
  <si>
    <t>3128LXDE7</t>
  </si>
  <si>
    <t>TNTD03147334</t>
  </si>
  <si>
    <t>3128LXDE7 Mtge</t>
  </si>
  <si>
    <t>3128M1B81</t>
  </si>
  <si>
    <t>TNTD03179856</t>
  </si>
  <si>
    <t>3128M1B81 Mtge</t>
  </si>
  <si>
    <t>3128M1L80</t>
  </si>
  <si>
    <t>TNTD03150106</t>
  </si>
  <si>
    <t>3128M1L80 Mtge</t>
  </si>
  <si>
    <t>3128M4NJ8</t>
  </si>
  <si>
    <t>TNTD03133905</t>
  </si>
  <si>
    <t>3128M4NJ8 Mtge</t>
  </si>
  <si>
    <t>3128M4VW0</t>
  </si>
  <si>
    <t>TNTD03149461</t>
  </si>
  <si>
    <t>3128M4VW0 Mtge</t>
  </si>
  <si>
    <t>3128M5ED8</t>
  </si>
  <si>
    <t>TNTD03151841</t>
  </si>
  <si>
    <t>3128M5ED8 Mtge</t>
  </si>
  <si>
    <t>3128M6AX6</t>
  </si>
  <si>
    <t>TNTD03188617</t>
  </si>
  <si>
    <t>3128M6AX6 Mtge</t>
  </si>
  <si>
    <t>3128M6LZ9</t>
  </si>
  <si>
    <t>TNTD03181292</t>
  </si>
  <si>
    <t>3128M6LZ9 Mtge</t>
  </si>
  <si>
    <t>3128M6Q92</t>
  </si>
  <si>
    <t>TNTD03187513</t>
  </si>
  <si>
    <t>3128M6Q92 Mtge</t>
  </si>
  <si>
    <t>3128M6RS9</t>
  </si>
  <si>
    <t>TNTD03188816</t>
  </si>
  <si>
    <t>3128M6RS9 Mtge</t>
  </si>
  <si>
    <t>3128M6UU0</t>
  </si>
  <si>
    <t>TNTD03199481</t>
  </si>
  <si>
    <t>3128M6UU0 Mtge</t>
  </si>
  <si>
    <t>3128MB3A3</t>
  </si>
  <si>
    <t>TNTD03203093</t>
  </si>
  <si>
    <t>3128MB3A3 Mtge</t>
  </si>
  <si>
    <t>3128MB5P8</t>
  </si>
  <si>
    <t>TNTD03220497</t>
  </si>
  <si>
    <t>3128MB5P8 Mtge</t>
  </si>
  <si>
    <t>3128MBH26</t>
  </si>
  <si>
    <t>TNTD03142978</t>
  </si>
  <si>
    <t>3128MBH26 Mtge</t>
  </si>
  <si>
    <t>3128MBJS7</t>
  </si>
  <si>
    <t>TNTD03142953</t>
  </si>
  <si>
    <t>3128MBJS7 Mtge</t>
  </si>
  <si>
    <t>3128MBZR1</t>
  </si>
  <si>
    <t>TNTD03183367</t>
  </si>
  <si>
    <t>3128MBZR1 Mtge</t>
  </si>
  <si>
    <t>3128NFL70</t>
  </si>
  <si>
    <t>TNTD03142980</t>
  </si>
  <si>
    <t>3128NFL70 Mtge</t>
  </si>
  <si>
    <t>3128NGEM3</t>
  </si>
  <si>
    <t>TNTD03228255</t>
  </si>
  <si>
    <t>3128NGEM3 Mtge</t>
  </si>
  <si>
    <t>3128NGF75</t>
  </si>
  <si>
    <t>TNTD03137050</t>
  </si>
  <si>
    <t>3128NGF75 Mtge</t>
  </si>
  <si>
    <t>3128NHP98</t>
  </si>
  <si>
    <t>TNTD03134039</t>
  </si>
  <si>
    <t>3128NHP98 Mtge</t>
  </si>
  <si>
    <t>3128NHUD3</t>
  </si>
  <si>
    <t>TNTD03129030</t>
  </si>
  <si>
    <t>3128NHUD3 Mtge</t>
  </si>
  <si>
    <t>3128P7LU5</t>
  </si>
  <si>
    <t>TNTD03226710</t>
  </si>
  <si>
    <t>3128P7LU5 Mtge</t>
  </si>
  <si>
    <t>3128PLP22</t>
  </si>
  <si>
    <t>TNTD03181877</t>
  </si>
  <si>
    <t>3128PLP22 Mtge</t>
  </si>
  <si>
    <t>3128PPAR4</t>
  </si>
  <si>
    <t>TNTD03145303</t>
  </si>
  <si>
    <t>3128PPAR4 Mtge</t>
  </si>
  <si>
    <t>3128PPAS2</t>
  </si>
  <si>
    <t>TNTD03145302</t>
  </si>
  <si>
    <t>3128PPAS2 Mtge</t>
  </si>
  <si>
    <t>3128Q2GG2</t>
  </si>
  <si>
    <t>TNTD03186552</t>
  </si>
  <si>
    <t>3128Q2GG2 Mtge</t>
  </si>
  <si>
    <t>3128QGMM1</t>
  </si>
  <si>
    <t>TNTD03133730</t>
  </si>
  <si>
    <t>3128QGMM1 Mtge</t>
  </si>
  <si>
    <t>3128QHVC1</t>
  </si>
  <si>
    <t>TNTD03136994</t>
  </si>
  <si>
    <t>3128QHVC1 Mtge</t>
  </si>
  <si>
    <t>3128QJ4M5</t>
  </si>
  <si>
    <t>TNTD03152489</t>
  </si>
  <si>
    <t>3128QJ4M5 Mtge</t>
  </si>
  <si>
    <t>3128QS6G6</t>
  </si>
  <si>
    <t>TNTD03134117</t>
  </si>
  <si>
    <t>3128QS6G6 Mtge</t>
  </si>
  <si>
    <t>3128QSKM7</t>
  </si>
  <si>
    <t>TNTD03142688</t>
  </si>
  <si>
    <t>3128QSKM7 Mtge</t>
  </si>
  <si>
    <t>3128QT7C2</t>
  </si>
  <si>
    <t>TNTD03138488</t>
  </si>
  <si>
    <t>3128QT7C2 Mtge</t>
  </si>
  <si>
    <t>31292G2K1</t>
  </si>
  <si>
    <t>TNTD03118966</t>
  </si>
  <si>
    <t>31292G2K1 Mtge</t>
  </si>
  <si>
    <t>31292G4V5</t>
  </si>
  <si>
    <t>TNTD03119780</t>
  </si>
  <si>
    <t>31292G4V5 Mtge</t>
  </si>
  <si>
    <t>31292G6T8</t>
  </si>
  <si>
    <t>TNTD03120793</t>
  </si>
  <si>
    <t>31292G6T8 Mtge</t>
  </si>
  <si>
    <t>31292GY34</t>
  </si>
  <si>
    <t>TNTD03117638</t>
  </si>
  <si>
    <t>31292GY34 Mtge</t>
  </si>
  <si>
    <t>31292GYA8</t>
  </si>
  <si>
    <t>TNTD03115480</t>
  </si>
  <si>
    <t>31292GYA8 Mtge</t>
  </si>
  <si>
    <t>31292HYT5</t>
  </si>
  <si>
    <t>TNTD03135101</t>
  </si>
  <si>
    <t>31292HYT5 Mtge</t>
  </si>
  <si>
    <t>31292J5A4</t>
  </si>
  <si>
    <t>TNTD03151061</t>
  </si>
  <si>
    <t>31292J5A4 Mtge</t>
  </si>
  <si>
    <t>31292J5V8</t>
  </si>
  <si>
    <t>TNTD03151257</t>
  </si>
  <si>
    <t>31292J5V8 Mtge</t>
  </si>
  <si>
    <t>31293FJZ1</t>
  </si>
  <si>
    <t>TNTD03115479</t>
  </si>
  <si>
    <t>31293FJZ1 Mtge</t>
  </si>
  <si>
    <t>31293TFD4</t>
  </si>
  <si>
    <t>TNTD03119302</t>
  </si>
  <si>
    <t>31293TFD4 Mtge</t>
  </si>
  <si>
    <t>31293UAS3</t>
  </si>
  <si>
    <t>TNTD03111536</t>
  </si>
  <si>
    <t>31293UAS3 Mtge</t>
  </si>
  <si>
    <t>31293VCT7</t>
  </si>
  <si>
    <t>TNTD03119771</t>
  </si>
  <si>
    <t>31293VCT7 Mtge</t>
  </si>
  <si>
    <t>31293WAR1</t>
  </si>
  <si>
    <t>TNTD03120731</t>
  </si>
  <si>
    <t>31293WAR1 Mtge</t>
  </si>
  <si>
    <t>31294J3N6</t>
  </si>
  <si>
    <t>TNTD03110492</t>
  </si>
  <si>
    <t>31294J3N6 Mtge</t>
  </si>
  <si>
    <t>31294J5G9</t>
  </si>
  <si>
    <t>TNTD03121821</t>
  </si>
  <si>
    <t>31294J5G9 Mtge</t>
  </si>
  <si>
    <t>31294JYR3</t>
  </si>
  <si>
    <t>TNTD03119336</t>
  </si>
  <si>
    <t>31294JYR3 Mtge</t>
  </si>
  <si>
    <t>31294JYS1</t>
  </si>
  <si>
    <t>TNTD03105480</t>
  </si>
  <si>
    <t>31294JYS1 Mtge</t>
  </si>
  <si>
    <t>31294KJS5</t>
  </si>
  <si>
    <t>TNTD03114540</t>
  </si>
  <si>
    <t>31294KJS5 Mtge</t>
  </si>
  <si>
    <t>31294KLK9</t>
  </si>
  <si>
    <t>TNTD03129828</t>
  </si>
  <si>
    <t>31294KLK9 Mtge</t>
  </si>
  <si>
    <t>31294KM51</t>
  </si>
  <si>
    <t>TNTD03130419</t>
  </si>
  <si>
    <t>31294KM51 Mtge</t>
  </si>
  <si>
    <t>31294KRY3</t>
  </si>
  <si>
    <t>TNTD03131684</t>
  </si>
  <si>
    <t>31294KRY3 Mtge</t>
  </si>
  <si>
    <t>31294KSM8</t>
  </si>
  <si>
    <t>TNTD03134698</t>
  </si>
  <si>
    <t>31294KSM8 Mtge</t>
  </si>
  <si>
    <t>31294KZL2</t>
  </si>
  <si>
    <t>TNTD03139798</t>
  </si>
  <si>
    <t>31294KZL2 Mtge</t>
  </si>
  <si>
    <t>31295NZX9</t>
  </si>
  <si>
    <t>TNTD03151809</t>
  </si>
  <si>
    <t>31295NZX9 Mtge</t>
  </si>
  <si>
    <t>312962EA7</t>
  </si>
  <si>
    <t>TNTD03140176</t>
  </si>
  <si>
    <t>312962EA7 Mtge</t>
  </si>
  <si>
    <t>312962KF9</t>
  </si>
  <si>
    <t>TNTD03135931</t>
  </si>
  <si>
    <t>312962KF9 Mtge</t>
  </si>
  <si>
    <t>312965L87</t>
  </si>
  <si>
    <t>TNTD03138006</t>
  </si>
  <si>
    <t>312965L87 Mtge</t>
  </si>
  <si>
    <t>312967HF2</t>
  </si>
  <si>
    <t>TNTD03135143</t>
  </si>
  <si>
    <t>312967HF2 Mtge</t>
  </si>
  <si>
    <t>312967ME9</t>
  </si>
  <si>
    <t>TNTD03141972</t>
  </si>
  <si>
    <t>312967ME9 Mtge</t>
  </si>
  <si>
    <t>312967XJ6</t>
  </si>
  <si>
    <t>TNTD03145802</t>
  </si>
  <si>
    <t>312967XJ6 Mtge</t>
  </si>
  <si>
    <t>31296MC64</t>
  </si>
  <si>
    <t>TNTD03135131</t>
  </si>
  <si>
    <t>31296MC64 Mtge</t>
  </si>
  <si>
    <t>31296NA23</t>
  </si>
  <si>
    <t>TNTD03135626</t>
  </si>
  <si>
    <t>31296NA23 Mtge</t>
  </si>
  <si>
    <t>31296RSK5</t>
  </si>
  <si>
    <t>TNTD03132948</t>
  </si>
  <si>
    <t>31296RSK5 Mtge</t>
  </si>
  <si>
    <t>31296SLS3</t>
  </si>
  <si>
    <t>TNTD03132937</t>
  </si>
  <si>
    <t>31296SLS3 Mtge</t>
  </si>
  <si>
    <t>31297CKH2</t>
  </si>
  <si>
    <t>TNTD03116216</t>
  </si>
  <si>
    <t>31297CKH2 Mtge</t>
  </si>
  <si>
    <t>31297GXZ9</t>
  </si>
  <si>
    <t>TNTD03145464</t>
  </si>
  <si>
    <t>31297GXZ9 Mtge</t>
  </si>
  <si>
    <t>31297VFX1</t>
  </si>
  <si>
    <t>TNTD03149457</t>
  </si>
  <si>
    <t>31297VFX1 Mtge</t>
  </si>
  <si>
    <t>31297VKP2</t>
  </si>
  <si>
    <t>TNTD03149456</t>
  </si>
  <si>
    <t>31297VKP2 Mtge</t>
  </si>
  <si>
    <t>31297VQA9</t>
  </si>
  <si>
    <t>TNTD03147120</t>
  </si>
  <si>
    <t>31297VQA9 Mtge</t>
  </si>
  <si>
    <t>31298EZD0</t>
  </si>
  <si>
    <t>TNTD03135675</t>
  </si>
  <si>
    <t>31298EZD0 Mtge</t>
  </si>
  <si>
    <t>31298SM84</t>
  </si>
  <si>
    <t>TNTD03117662</t>
  </si>
  <si>
    <t>31298SM84 Mtge</t>
  </si>
  <si>
    <t>31335H4K6</t>
  </si>
  <si>
    <t>TNTD03138120</t>
  </si>
  <si>
    <t>31335H4K6 Mtge</t>
  </si>
  <si>
    <t>31335HUZ4</t>
  </si>
  <si>
    <t>TNTD03130667</t>
  </si>
  <si>
    <t>31335HUZ4 Mtge</t>
  </si>
  <si>
    <t>3133XD5F4</t>
  </si>
  <si>
    <t>TNTD04629367</t>
  </si>
  <si>
    <t>3133XD5F4 Mtge</t>
  </si>
  <si>
    <t>31349SF40</t>
  </si>
  <si>
    <t>TNTD03147910</t>
  </si>
  <si>
    <t>31349SF40 Mtge</t>
  </si>
  <si>
    <t>31349UFK9</t>
  </si>
  <si>
    <t>TNTD03229181</t>
  </si>
  <si>
    <t>31349UFK9 Mtge</t>
  </si>
  <si>
    <t>31368HM26</t>
  </si>
  <si>
    <t>TNTD03412489</t>
  </si>
  <si>
    <t>31368HM26 Mtge</t>
  </si>
  <si>
    <t>31368HMA8</t>
  </si>
  <si>
    <t>TNTD03380732</t>
  </si>
  <si>
    <t>31368HMA8 Mtge</t>
  </si>
  <si>
    <t>31368HME0</t>
  </si>
  <si>
    <t>TNTD03391496</t>
  </si>
  <si>
    <t>31368HME0 Mtge</t>
  </si>
  <si>
    <t>31368HMH3</t>
  </si>
  <si>
    <t>TNTD03397176</t>
  </si>
  <si>
    <t>31368HMH3 Mtge</t>
  </si>
  <si>
    <t>31371HLX4</t>
  </si>
  <si>
    <t>TNTD03326875</t>
  </si>
  <si>
    <t>31371HLX4 Mtge</t>
  </si>
  <si>
    <t>31371HNJ3</t>
  </si>
  <si>
    <t>TNTD03327694</t>
  </si>
  <si>
    <t>31371HNJ3 Mtge</t>
  </si>
  <si>
    <t>31371HQS0</t>
  </si>
  <si>
    <t>TNTD03327677</t>
  </si>
  <si>
    <t>31371HQS0 Mtge</t>
  </si>
  <si>
    <t>31371HQY7</t>
  </si>
  <si>
    <t>TNTD03327591</t>
  </si>
  <si>
    <t>31371HQY7 Mtge</t>
  </si>
  <si>
    <t>31371K3A7</t>
  </si>
  <si>
    <t>TNTD03361191</t>
  </si>
  <si>
    <t>31371K3A7 Mtge</t>
  </si>
  <si>
    <t>31371K5T4</t>
  </si>
  <si>
    <t>TNTD03362758</t>
  </si>
  <si>
    <t>31371K5T4 Mtge</t>
  </si>
  <si>
    <t>31371K6K2</t>
  </si>
  <si>
    <t>TNTD03362436</t>
  </si>
  <si>
    <t>31371K6K2 Mtge</t>
  </si>
  <si>
    <t>31371KDF5</t>
  </si>
  <si>
    <t>TNTD03362291</t>
  </si>
  <si>
    <t>31371KDF5 Mtge</t>
  </si>
  <si>
    <t>31371KGN5</t>
  </si>
  <si>
    <t>TNTD03362284</t>
  </si>
  <si>
    <t>31371KGN5 Mtge</t>
  </si>
  <si>
    <t>31371KNW7</t>
  </si>
  <si>
    <t>TNTD03360048</t>
  </si>
  <si>
    <t>31371KNW7 Mtge</t>
  </si>
  <si>
    <t>31371KWH0</t>
  </si>
  <si>
    <t>TNTD03358126</t>
  </si>
  <si>
    <t>31371KWH0 Mtge</t>
  </si>
  <si>
    <t>31371LBD0</t>
  </si>
  <si>
    <t>TNTD03362836</t>
  </si>
  <si>
    <t>31371LBD0 Mtge</t>
  </si>
  <si>
    <t>31371LDY2</t>
  </si>
  <si>
    <t>TNTD03364540</t>
  </si>
  <si>
    <t>31371LDY2 Mtge</t>
  </si>
  <si>
    <t>31371LQW2</t>
  </si>
  <si>
    <t>TNTD03381823</t>
  </si>
  <si>
    <t>31371LQW2 Mtge</t>
  </si>
  <si>
    <t>31371MB97</t>
  </si>
  <si>
    <t>TNTD03408033</t>
  </si>
  <si>
    <t>31371MB97 Mtge</t>
  </si>
  <si>
    <t>31371MLN5</t>
  </si>
  <si>
    <t>TNTD03402469</t>
  </si>
  <si>
    <t>31371MLN5 Mtge</t>
  </si>
  <si>
    <t>31371MWJ2</t>
  </si>
  <si>
    <t>TNTD03408561</t>
  </si>
  <si>
    <t>31371MWJ2 Mtge</t>
  </si>
  <si>
    <t>31371NGU3</t>
  </si>
  <si>
    <t>TNTD03375135</t>
  </si>
  <si>
    <t>31371NGU3 Mtge</t>
  </si>
  <si>
    <t>31371NJD8</t>
  </si>
  <si>
    <t>TNTD03380547</t>
  </si>
  <si>
    <t>31371NJD8 Mtge</t>
  </si>
  <si>
    <t>31374F2P3</t>
  </si>
  <si>
    <t>TNTD03319530</t>
  </si>
  <si>
    <t>31374F2P3 Mtge</t>
  </si>
  <si>
    <t>31374GLZ8</t>
  </si>
  <si>
    <t>TNTD03316770</t>
  </si>
  <si>
    <t>31374GLZ8 Mtge</t>
  </si>
  <si>
    <t>31374GNK9</t>
  </si>
  <si>
    <t>TNTD03320587</t>
  </si>
  <si>
    <t>31374GNK9 Mtge</t>
  </si>
  <si>
    <t>31376J2J7</t>
  </si>
  <si>
    <t>TNTD03331318</t>
  </si>
  <si>
    <t>31376J2J7 Mtge</t>
  </si>
  <si>
    <t>31376J2W8</t>
  </si>
  <si>
    <t>TNTD03363300</t>
  </si>
  <si>
    <t>31376J2W8 Mtge</t>
  </si>
  <si>
    <t>31377KKG9</t>
  </si>
  <si>
    <t>TNTD03321729</t>
  </si>
  <si>
    <t>31377KKG9 Mtge</t>
  </si>
  <si>
    <t>31379C5N7</t>
  </si>
  <si>
    <t>TNTD03323397</t>
  </si>
  <si>
    <t>31379C5N7 Mtge</t>
  </si>
  <si>
    <t>31379Q6J4</t>
  </si>
  <si>
    <t>TNTD03321719</t>
  </si>
  <si>
    <t>31379Q6J4 Mtge</t>
  </si>
  <si>
    <t>31379QA67</t>
  </si>
  <si>
    <t>TNTD03371469</t>
  </si>
  <si>
    <t>31379QA67 Mtge</t>
  </si>
  <si>
    <t>31380GNU9</t>
  </si>
  <si>
    <t>TNTD03337782</t>
  </si>
  <si>
    <t>31380GNU9 Mtge</t>
  </si>
  <si>
    <t>31380RMS1</t>
  </si>
  <si>
    <t>TNTD03325675</t>
  </si>
  <si>
    <t>31380RMS1 Mtge</t>
  </si>
  <si>
    <t>31380V6X9</t>
  </si>
  <si>
    <t>TNTD03325676</t>
  </si>
  <si>
    <t>31380V6X9 Mtge</t>
  </si>
  <si>
    <t>31381JRV6</t>
  </si>
  <si>
    <t>TNTD03415444</t>
  </si>
  <si>
    <t>31381JRV6 Mtge</t>
  </si>
  <si>
    <t>31382DQ98</t>
  </si>
  <si>
    <t>TNTD03335441</t>
  </si>
  <si>
    <t>31382DQ98 Mtge</t>
  </si>
  <si>
    <t>31382HBK0</t>
  </si>
  <si>
    <t>TNTD03335439</t>
  </si>
  <si>
    <t>31382HBK0 Mtge</t>
  </si>
  <si>
    <t>31382KQ43</t>
  </si>
  <si>
    <t>TNTD03335440</t>
  </si>
  <si>
    <t>31382KQ43 Mtge</t>
  </si>
  <si>
    <t>31382KR26</t>
  </si>
  <si>
    <t>TNTD03335437</t>
  </si>
  <si>
    <t>31382KR26 Mtge</t>
  </si>
  <si>
    <t>31382LKE5</t>
  </si>
  <si>
    <t>TNTD03325678</t>
  </si>
  <si>
    <t>31382LKE5 Mtge</t>
  </si>
  <si>
    <t>31382NES7</t>
  </si>
  <si>
    <t>TNTD03335431</t>
  </si>
  <si>
    <t>31382NES7 Mtge</t>
  </si>
  <si>
    <t>31382PPC5</t>
  </si>
  <si>
    <t>TNTD03335429</t>
  </si>
  <si>
    <t>31382PPC5 Mtge</t>
  </si>
  <si>
    <t>31382RRH8</t>
  </si>
  <si>
    <t>TNTD03326460</t>
  </si>
  <si>
    <t>31382RRH8 Mtge</t>
  </si>
  <si>
    <t>31382TTG4</t>
  </si>
  <si>
    <t>TNTD03335422</t>
  </si>
  <si>
    <t>31382TTG4 Mtge</t>
  </si>
  <si>
    <t>31382TUC1</t>
  </si>
  <si>
    <t>TNTD03335421</t>
  </si>
  <si>
    <t>31382TUC1 Mtge</t>
  </si>
  <si>
    <t>31382VHM9</t>
  </si>
  <si>
    <t>TNTD03335415</t>
  </si>
  <si>
    <t>31382VHM9 Mtge</t>
  </si>
  <si>
    <t>31382XQE3</t>
  </si>
  <si>
    <t>TNTD03331182</t>
  </si>
  <si>
    <t>31382XQE3 Mtge</t>
  </si>
  <si>
    <t>31382YJK5</t>
  </si>
  <si>
    <t>TNTD03308518</t>
  </si>
  <si>
    <t>31382YJK5 Mtge</t>
  </si>
  <si>
    <t>31384V6K3</t>
  </si>
  <si>
    <t>TNTD03367213</t>
  </si>
  <si>
    <t>31384V6K3 Mtge</t>
  </si>
  <si>
    <t>31384VQR6</t>
  </si>
  <si>
    <t>TNTD03344839</t>
  </si>
  <si>
    <t>31384VQR6 Mtge</t>
  </si>
  <si>
    <t>31384VR53</t>
  </si>
  <si>
    <t>TNTD03332426</t>
  </si>
  <si>
    <t>31384VR53 Mtge</t>
  </si>
  <si>
    <t>31384VRC8</t>
  </si>
  <si>
    <t>TNTD03320579</t>
  </si>
  <si>
    <t>31384VRC8 Mtge</t>
  </si>
  <si>
    <t>31385CEC3</t>
  </si>
  <si>
    <t>TNTD03330583</t>
  </si>
  <si>
    <t>31385CEC3 Mtge</t>
  </si>
  <si>
    <t>31385CHF3</t>
  </si>
  <si>
    <t>TNTD03336149</t>
  </si>
  <si>
    <t>31385CHF3 Mtge</t>
  </si>
  <si>
    <t>31385JD39</t>
  </si>
  <si>
    <t>TNTD03354131</t>
  </si>
  <si>
    <t>31385JD39 Mtge</t>
  </si>
  <si>
    <t>31385JJF6</t>
  </si>
  <si>
    <t>TNTD03332867</t>
  </si>
  <si>
    <t>31385JJF6 Mtge</t>
  </si>
  <si>
    <t>31385W6V6</t>
  </si>
  <si>
    <t>TNTD03316479</t>
  </si>
  <si>
    <t>31385W6V6 Mtge</t>
  </si>
  <si>
    <t>31385W7B9</t>
  </si>
  <si>
    <t>TNTD03383839</t>
  </si>
  <si>
    <t>31385W7B9 Mtge</t>
  </si>
  <si>
    <t>31385WYC7</t>
  </si>
  <si>
    <t>TNTD03360003</t>
  </si>
  <si>
    <t>31385WYC7 Mtge</t>
  </si>
  <si>
    <t>31385WZX0</t>
  </si>
  <si>
    <t>TNTD03408737</t>
  </si>
  <si>
    <t>31385WZX0 Mtge</t>
  </si>
  <si>
    <t>31385XDL8</t>
  </si>
  <si>
    <t>TNTD03384796</t>
  </si>
  <si>
    <t>31385XDL8 Mtge</t>
  </si>
  <si>
    <t>31385XEC7</t>
  </si>
  <si>
    <t>TNTD03363993</t>
  </si>
  <si>
    <t>31385XEC7 Mtge</t>
  </si>
  <si>
    <t>31385XFF9</t>
  </si>
  <si>
    <t>TNTD03409106</t>
  </si>
  <si>
    <t>31385XFF9 Mtge</t>
  </si>
  <si>
    <t>31385XKK2</t>
  </si>
  <si>
    <t>TNTD03379495</t>
  </si>
  <si>
    <t>31385XKK2 Mtge</t>
  </si>
  <si>
    <t>31385XLM7</t>
  </si>
  <si>
    <t>TNTD03384289</t>
  </si>
  <si>
    <t>31385XLM7 Mtge</t>
  </si>
  <si>
    <t>31385XLV7</t>
  </si>
  <si>
    <t>TNTD03369742</t>
  </si>
  <si>
    <t>31385XLV7 Mtge</t>
  </si>
  <si>
    <t>31385XNG8</t>
  </si>
  <si>
    <t>TNTD03369486</t>
  </si>
  <si>
    <t>31385XNG8 Mtge</t>
  </si>
  <si>
    <t>31386Y5M2</t>
  </si>
  <si>
    <t>TNTD03403252</t>
  </si>
  <si>
    <t>31386Y5M2 Mtge</t>
  </si>
  <si>
    <t>31388PCR0</t>
  </si>
  <si>
    <t>TNTD03330460</t>
  </si>
  <si>
    <t>31388PCR0 Mtge</t>
  </si>
  <si>
    <t>31388TC68</t>
  </si>
  <si>
    <t>TNTD03347997</t>
  </si>
  <si>
    <t>31388TC68 Mtge</t>
  </si>
  <si>
    <t>31389HN79</t>
  </si>
  <si>
    <t>TNTD03349070</t>
  </si>
  <si>
    <t>31389HN79 Mtge</t>
  </si>
  <si>
    <t>31390EJB9</t>
  </si>
  <si>
    <t>TNTD03354395</t>
  </si>
  <si>
    <t>31390EJB9 Mtge</t>
  </si>
  <si>
    <t>31390JTB7</t>
  </si>
  <si>
    <t>TNTD03308788</t>
  </si>
  <si>
    <t>31390JTB7 Mtge</t>
  </si>
  <si>
    <t>31390P7C5</t>
  </si>
  <si>
    <t>TNTD03365803</t>
  </si>
  <si>
    <t>31390P7C5 Mtge</t>
  </si>
  <si>
    <t>31390QTD7</t>
  </si>
  <si>
    <t>TNTD03362775</t>
  </si>
  <si>
    <t>31390QTD7 Mtge</t>
  </si>
  <si>
    <t>31390SJ85</t>
  </si>
  <si>
    <t>TNTD03381516</t>
  </si>
  <si>
    <t>31390SJ85 Mtge</t>
  </si>
  <si>
    <t>31391HFQ2</t>
  </si>
  <si>
    <t>TNTD03362215</t>
  </si>
  <si>
    <t>31391HFQ2 Mtge</t>
  </si>
  <si>
    <t>31391KAL1</t>
  </si>
  <si>
    <t>TNTD03360782</t>
  </si>
  <si>
    <t>31391KAL1 Mtge</t>
  </si>
  <si>
    <t>31391N7M7</t>
  </si>
  <si>
    <t>TNTD03361990</t>
  </si>
  <si>
    <t>31391N7M7 Mtge</t>
  </si>
  <si>
    <t>31391PUV6</t>
  </si>
  <si>
    <t>TNTD03392573</t>
  </si>
  <si>
    <t>31391PUV6 Mtge</t>
  </si>
  <si>
    <t>31391QTJ3</t>
  </si>
  <si>
    <t>TNTD03358513</t>
  </si>
  <si>
    <t>31391QTJ3 Mtge</t>
  </si>
  <si>
    <t>31391REW8</t>
  </si>
  <si>
    <t>TNTD03316702</t>
  </si>
  <si>
    <t>31391REW8 Mtge</t>
  </si>
  <si>
    <t>31391W6L0</t>
  </si>
  <si>
    <t>TNTD03322276</t>
  </si>
  <si>
    <t>31391W6L0 Mtge</t>
  </si>
  <si>
    <t>31391YTH0</t>
  </si>
  <si>
    <t>TNTD03359807</t>
  </si>
  <si>
    <t>31391YTH0 Mtge</t>
  </si>
  <si>
    <t>31400AMX3</t>
  </si>
  <si>
    <t>TNTD03359920</t>
  </si>
  <si>
    <t>31400AMX3 Mtge</t>
  </si>
  <si>
    <t>31400JA25</t>
  </si>
  <si>
    <t>TNTD03336006</t>
  </si>
  <si>
    <t>31400JA25 Mtge</t>
  </si>
  <si>
    <t>31400JBY4</t>
  </si>
  <si>
    <t>TNTD03336053</t>
  </si>
  <si>
    <t>31400JBY4 Mtge</t>
  </si>
  <si>
    <t>31400KQ66</t>
  </si>
  <si>
    <t>TNTD03333831</t>
  </si>
  <si>
    <t>31400KQ66 Mtge</t>
  </si>
  <si>
    <t>31400QVB6</t>
  </si>
  <si>
    <t>TNTD03371468</t>
  </si>
  <si>
    <t>31400QVB6 Mtge</t>
  </si>
  <si>
    <t>31400RNS6</t>
  </si>
  <si>
    <t>TNTD03402471</t>
  </si>
  <si>
    <t>31400RNS6 Mtge</t>
  </si>
  <si>
    <t>31400RV24</t>
  </si>
  <si>
    <t>TNTD03333620</t>
  </si>
  <si>
    <t>31400RV24 Mtge</t>
  </si>
  <si>
    <t>31400RXM8</t>
  </si>
  <si>
    <t>TNTD03336055</t>
  </si>
  <si>
    <t>31400RXM8 Mtge</t>
  </si>
  <si>
    <t>31401A3J4</t>
  </si>
  <si>
    <t>TNTD03397107</t>
  </si>
  <si>
    <t>31401A3J4 Mtge</t>
  </si>
  <si>
    <t>31401GLF9</t>
  </si>
  <si>
    <t>TNTD03370869</t>
  </si>
  <si>
    <t>31401GLF9 Mtge</t>
  </si>
  <si>
    <t>31401JTD0</t>
  </si>
  <si>
    <t>TNTD03386265</t>
  </si>
  <si>
    <t>31401JTD0 Mtge</t>
  </si>
  <si>
    <t>31401JUA4</t>
  </si>
  <si>
    <t>TNTD03378165</t>
  </si>
  <si>
    <t>31401JUA4 Mtge</t>
  </si>
  <si>
    <t>31401KCF0</t>
  </si>
  <si>
    <t>TNTD03396199</t>
  </si>
  <si>
    <t>31401KCF0 Mtge</t>
  </si>
  <si>
    <t>31401KR49</t>
  </si>
  <si>
    <t>TNTD03362520</t>
  </si>
  <si>
    <t>31401KR49 Mtge</t>
  </si>
  <si>
    <t>31401MDP3</t>
  </si>
  <si>
    <t>TNTD03364373</t>
  </si>
  <si>
    <t>31401MDP3 Mtge</t>
  </si>
  <si>
    <t>31401WKE8</t>
  </si>
  <si>
    <t>TNTD03368427</t>
  </si>
  <si>
    <t>31401WKE8 Mtge</t>
  </si>
  <si>
    <t>31401XSY4</t>
  </si>
  <si>
    <t>TNTD03390064</t>
  </si>
  <si>
    <t>31401XSY4 Mtge</t>
  </si>
  <si>
    <t>31401XU96</t>
  </si>
  <si>
    <t>TNTD03384886</t>
  </si>
  <si>
    <t>31401XU96 Mtge</t>
  </si>
  <si>
    <t>31402BGQ1</t>
  </si>
  <si>
    <t>TNTD03433613</t>
  </si>
  <si>
    <t>31402BGQ1 Mtge</t>
  </si>
  <si>
    <t>31402C5E8</t>
  </si>
  <si>
    <t>TNTD03384648</t>
  </si>
  <si>
    <t>31402C5E8 Mtge</t>
  </si>
  <si>
    <t>31402CPL0</t>
  </si>
  <si>
    <t>TNTD03364606</t>
  </si>
  <si>
    <t>31402CPL0 Mtge</t>
  </si>
  <si>
    <t>31402CQZ8</t>
  </si>
  <si>
    <t>TNTD03365237</t>
  </si>
  <si>
    <t>31402CQZ8 Mtge</t>
  </si>
  <si>
    <t>31402CTT9</t>
  </si>
  <si>
    <t>TNTD03380845</t>
  </si>
  <si>
    <t>31402CTT9 Mtge</t>
  </si>
  <si>
    <t>31402CZR6</t>
  </si>
  <si>
    <t>TNTD03415332</t>
  </si>
  <si>
    <t>31402CZR6 Mtge</t>
  </si>
  <si>
    <t>31402D7K0</t>
  </si>
  <si>
    <t>TNTD03364445</t>
  </si>
  <si>
    <t>31402D7K0 Mtge</t>
  </si>
  <si>
    <t>31402DDK3</t>
  </si>
  <si>
    <t>TNTD03382816</t>
  </si>
  <si>
    <t>31402DDK3 Mtge</t>
  </si>
  <si>
    <t>31402DP79</t>
  </si>
  <si>
    <t>TNTD03387630</t>
  </si>
  <si>
    <t>31402DP79 Mtge</t>
  </si>
  <si>
    <t>31402FFF7</t>
  </si>
  <si>
    <t>TNTD03377177</t>
  </si>
  <si>
    <t>31402FFF7 Mtge</t>
  </si>
  <si>
    <t>31402NY77</t>
  </si>
  <si>
    <t>TNTD03390228</t>
  </si>
  <si>
    <t>31402NY77 Mtge</t>
  </si>
  <si>
    <t>31402Q2X8</t>
  </si>
  <si>
    <t>TNTD03392343</t>
  </si>
  <si>
    <t>31402Q2X8 Mtge</t>
  </si>
  <si>
    <t>31402Q4R9</t>
  </si>
  <si>
    <t>TNTD03413910</t>
  </si>
  <si>
    <t>31402Q4R9 Mtge</t>
  </si>
  <si>
    <t>31402QHS3</t>
  </si>
  <si>
    <t>TNTD03371998</t>
  </si>
  <si>
    <t>31402QHS3 Mtge</t>
  </si>
  <si>
    <t>31402QSL6</t>
  </si>
  <si>
    <t>TNTD03395930</t>
  </si>
  <si>
    <t>31402QSL6 Mtge</t>
  </si>
  <si>
    <t>31402QWA5</t>
  </si>
  <si>
    <t>TNTD03388791</t>
  </si>
  <si>
    <t>31402QWA5 Mtge</t>
  </si>
  <si>
    <t>31402QYZ8</t>
  </si>
  <si>
    <t>TNTD03390200</t>
  </si>
  <si>
    <t>31402QYZ8 Mtge</t>
  </si>
  <si>
    <t>31402RBX6</t>
  </si>
  <si>
    <t>TNTD03392370</t>
  </si>
  <si>
    <t>31402RBX6 Mtge</t>
  </si>
  <si>
    <t>31402RCV9</t>
  </si>
  <si>
    <t>TNTD03393843</t>
  </si>
  <si>
    <t>31402RCV9 Mtge</t>
  </si>
  <si>
    <t>31402RD30</t>
  </si>
  <si>
    <t>TNTD03392591</t>
  </si>
  <si>
    <t>31402RD30 Mtge</t>
  </si>
  <si>
    <t>31402REL9</t>
  </si>
  <si>
    <t>TNTD03408501</t>
  </si>
  <si>
    <t>31402REL9 Mtge</t>
  </si>
  <si>
    <t>31402RGU7</t>
  </si>
  <si>
    <t>TNTD03393575</t>
  </si>
  <si>
    <t>31402RGU7 Mtge</t>
  </si>
  <si>
    <t>31402RH28</t>
  </si>
  <si>
    <t>TNTD03393892</t>
  </si>
  <si>
    <t>31402RH28 Mtge</t>
  </si>
  <si>
    <t>31402RJL4</t>
  </si>
  <si>
    <t>TNTD03395043</t>
  </si>
  <si>
    <t>31402RJL4 Mtge</t>
  </si>
  <si>
    <t>31402RLV9</t>
  </si>
  <si>
    <t>TNTD03398369</t>
  </si>
  <si>
    <t>31402RLV9 Mtge</t>
  </si>
  <si>
    <t>31402RR84</t>
  </si>
  <si>
    <t>TNTD03398221</t>
  </si>
  <si>
    <t>31402RR84 Mtge</t>
  </si>
  <si>
    <t>31402TVS1</t>
  </si>
  <si>
    <t>TNTD03366489</t>
  </si>
  <si>
    <t>31402TVS1 Mtge</t>
  </si>
  <si>
    <t>31402UHZ8</t>
  </si>
  <si>
    <t>TNTD03376987</t>
  </si>
  <si>
    <t>31402UHZ8 Mtge</t>
  </si>
  <si>
    <t>31402WMC9</t>
  </si>
  <si>
    <t>TNTD03384161</t>
  </si>
  <si>
    <t>31402WMC9 Mtge</t>
  </si>
  <si>
    <t>31403ARS6</t>
  </si>
  <si>
    <t>TNTD03371393</t>
  </si>
  <si>
    <t>31403ARS6 Mtge</t>
  </si>
  <si>
    <t>31403C2Z3</t>
  </si>
  <si>
    <t>TNTD03408824</t>
  </si>
  <si>
    <t>31403C2Z3 Mtge</t>
  </si>
  <si>
    <t>31403C6L0</t>
  </si>
  <si>
    <t>TNTD03410160</t>
  </si>
  <si>
    <t>31403C6L0 Mtge</t>
  </si>
  <si>
    <t>31403CUZ2</t>
  </si>
  <si>
    <t>TNTD03402233</t>
  </si>
  <si>
    <t>31403CUZ2 Mtge</t>
  </si>
  <si>
    <t>31403DDK2</t>
  </si>
  <si>
    <t>TNTD03405266</t>
  </si>
  <si>
    <t>31403DDK2 Mtge</t>
  </si>
  <si>
    <t>31403DDL0</t>
  </si>
  <si>
    <t>TNTD03405354</t>
  </si>
  <si>
    <t>31403DDL0 Mtge</t>
  </si>
  <si>
    <t>31403DDR7</t>
  </si>
  <si>
    <t>TNTD03404253</t>
  </si>
  <si>
    <t>31403DDR7 Mtge</t>
  </si>
  <si>
    <t>31403DET2</t>
  </si>
  <si>
    <t>TNTD03406421</t>
  </si>
  <si>
    <t>31403DET2 Mtge</t>
  </si>
  <si>
    <t>31403DGG8</t>
  </si>
  <si>
    <t>TNTD03407277</t>
  </si>
  <si>
    <t>31403DGG8 Mtge</t>
  </si>
  <si>
    <t>31403DQT9</t>
  </si>
  <si>
    <t>TNTD03410009</t>
  </si>
  <si>
    <t>31403DQT9 Mtge</t>
  </si>
  <si>
    <t>31403DR68</t>
  </si>
  <si>
    <t>TNTD03409356</t>
  </si>
  <si>
    <t>31403DR68 Mtge</t>
  </si>
  <si>
    <t>31403DTT6</t>
  </si>
  <si>
    <t>TNTD03374825</t>
  </si>
  <si>
    <t>31403DTT6 Mtge</t>
  </si>
  <si>
    <t>31403DV22</t>
  </si>
  <si>
    <t>TNTD03412491</t>
  </si>
  <si>
    <t>31403DV22 Mtge</t>
  </si>
  <si>
    <t>31403DWU9</t>
  </si>
  <si>
    <t>TNTD03412496</t>
  </si>
  <si>
    <t>31403DWU9 Mtge</t>
  </si>
  <si>
    <t>31403EDC8</t>
  </si>
  <si>
    <t>TNTD03411571</t>
  </si>
  <si>
    <t>31403EDC8 Mtge</t>
  </si>
  <si>
    <t>31403F6S8</t>
  </si>
  <si>
    <t>TNTD03365979</t>
  </si>
  <si>
    <t>31403F6S8 Mtge</t>
  </si>
  <si>
    <t>31403K4Q3</t>
  </si>
  <si>
    <t>TNTD03409683</t>
  </si>
  <si>
    <t>31403K4Q3 Mtge</t>
  </si>
  <si>
    <t>31403KRB1</t>
  </si>
  <si>
    <t>TNTD03376286</t>
  </si>
  <si>
    <t>31403KRB1 Mtge</t>
  </si>
  <si>
    <t>31403R2E7</t>
  </si>
  <si>
    <t>TNTD03365426</t>
  </si>
  <si>
    <t>31403R2E7 Mtge</t>
  </si>
  <si>
    <t>31403R3B2</t>
  </si>
  <si>
    <t>TNTD03377013</t>
  </si>
  <si>
    <t>31403R3B2 Mtge</t>
  </si>
  <si>
    <t>31403R4H8</t>
  </si>
  <si>
    <t>TNTD03365425</t>
  </si>
  <si>
    <t>31403R4H8 Mtge</t>
  </si>
  <si>
    <t>31404EVB9</t>
  </si>
  <si>
    <t>TNTD03402781</t>
  </si>
  <si>
    <t>31404EVB9 Mtge</t>
  </si>
  <si>
    <t>31404GGN5</t>
  </si>
  <si>
    <t>TNTD03384157</t>
  </si>
  <si>
    <t>31404GGN5 Mtge</t>
  </si>
  <si>
    <t>31404J2J3</t>
  </si>
  <si>
    <t>TNTD03411520</t>
  </si>
  <si>
    <t>31404J2J3 Mtge</t>
  </si>
  <si>
    <t>31404JHV0</t>
  </si>
  <si>
    <t>TNTD03417747</t>
  </si>
  <si>
    <t>31404JHV0 Mtge</t>
  </si>
  <si>
    <t>31404M5N4</t>
  </si>
  <si>
    <t>TNTD03384016</t>
  </si>
  <si>
    <t>31404M5N4 Mtge</t>
  </si>
  <si>
    <t>31404ML97</t>
  </si>
  <si>
    <t>TNTD03378789</t>
  </si>
  <si>
    <t>31404ML97 Mtge</t>
  </si>
  <si>
    <t>31404QA74</t>
  </si>
  <si>
    <t>TNTD03374196</t>
  </si>
  <si>
    <t>31404QA74 Mtge</t>
  </si>
  <si>
    <t>31404UE63</t>
  </si>
  <si>
    <t>TNTD03390253</t>
  </si>
  <si>
    <t>31404UE63 Mtge</t>
  </si>
  <si>
    <t>31404WTM8</t>
  </si>
  <si>
    <t>TNTD03417692</t>
  </si>
  <si>
    <t>31404WTM8 Mtge</t>
  </si>
  <si>
    <t>31404XJG0</t>
  </si>
  <si>
    <t>TNTD03415311</t>
  </si>
  <si>
    <t>31404XJG0 Mtge</t>
  </si>
  <si>
    <t>31404YDK5</t>
  </si>
  <si>
    <t>TNTD03401194</t>
  </si>
  <si>
    <t>31404YDK5 Mtge</t>
  </si>
  <si>
    <t>31405AZR7</t>
  </si>
  <si>
    <t>TNTD03383391</t>
  </si>
  <si>
    <t>31405AZR7 Mtge</t>
  </si>
  <si>
    <t>31405CQ85</t>
  </si>
  <si>
    <t>TNTD03390227</t>
  </si>
  <si>
    <t>31405CQ85 Mtge</t>
  </si>
  <si>
    <t>31405H4U9</t>
  </si>
  <si>
    <t>TNTD03415369</t>
  </si>
  <si>
    <t>31405H4U9 Mtge</t>
  </si>
  <si>
    <t>31405JWZ3</t>
  </si>
  <si>
    <t>TNTD03395263</t>
  </si>
  <si>
    <t>31405JWZ3 Mtge</t>
  </si>
  <si>
    <t>31405KZ20</t>
  </si>
  <si>
    <t>TNTD03413252</t>
  </si>
  <si>
    <t>31405KZ20 Mtge</t>
  </si>
  <si>
    <t>31405UVD8</t>
  </si>
  <si>
    <t>TNTD03415257</t>
  </si>
  <si>
    <t>31405UVD8 Mtge</t>
  </si>
  <si>
    <t>31405VG76</t>
  </si>
  <si>
    <t>TNTD03403255</t>
  </si>
  <si>
    <t>31405VG76 Mtge</t>
  </si>
  <si>
    <t>31405XXV0</t>
  </si>
  <si>
    <t>TNTD03409107</t>
  </si>
  <si>
    <t>31405XXV0 Mtge</t>
  </si>
  <si>
    <t>31405YX48</t>
  </si>
  <si>
    <t>TNTD03408256</t>
  </si>
  <si>
    <t>31405YX48 Mtge</t>
  </si>
  <si>
    <t>31405YXX4</t>
  </si>
  <si>
    <t>TNTD03408841</t>
  </si>
  <si>
    <t>31405YXX4 Mtge</t>
  </si>
  <si>
    <t>31406BYJ3</t>
  </si>
  <si>
    <t>TNTD03388891</t>
  </si>
  <si>
    <t>31406BYJ3 Mtge</t>
  </si>
  <si>
    <t>31406DJV9</t>
  </si>
  <si>
    <t>TNTD03409126</t>
  </si>
  <si>
    <t>31406DJV9 Mtge</t>
  </si>
  <si>
    <t>31406DJX5</t>
  </si>
  <si>
    <t>TNTD03408821</t>
  </si>
  <si>
    <t>31406DJX5 Mtge</t>
  </si>
  <si>
    <t>31406GDY2</t>
  </si>
  <si>
    <t>TNTD03415279</t>
  </si>
  <si>
    <t>31406GDY2 Mtge</t>
  </si>
  <si>
    <t>31406H3D7</t>
  </si>
  <si>
    <t>TNTD03389186</t>
  </si>
  <si>
    <t>31406H3D7 Mtge</t>
  </si>
  <si>
    <t>31406QGE1</t>
  </si>
  <si>
    <t>TNTD03413251</t>
  </si>
  <si>
    <t>31406QGE1 Mtge</t>
  </si>
  <si>
    <t>31406UL48</t>
  </si>
  <si>
    <t>TNTD03397617</t>
  </si>
  <si>
    <t>31406UL48 Mtge</t>
  </si>
  <si>
    <t>31406VQ74</t>
  </si>
  <si>
    <t>TNTD03374835</t>
  </si>
  <si>
    <t>31406VQ74 Mtge</t>
  </si>
  <si>
    <t>31406YB58</t>
  </si>
  <si>
    <t>TNTD03401380</t>
  </si>
  <si>
    <t>31406YB58 Mtge</t>
  </si>
  <si>
    <t>31407JBC5</t>
  </si>
  <si>
    <t>TNTD03410081</t>
  </si>
  <si>
    <t>31407JBC5 Mtge</t>
  </si>
  <si>
    <t>31407KGJ2</t>
  </si>
  <si>
    <t>TNTD03384029</t>
  </si>
  <si>
    <t>31407KGJ2 Mtge</t>
  </si>
  <si>
    <t>31407LE60</t>
  </si>
  <si>
    <t>TNTD03410707</t>
  </si>
  <si>
    <t>31407LE60 Mtge</t>
  </si>
  <si>
    <t>31407LEA1</t>
  </si>
  <si>
    <t>TNTD03366949</t>
  </si>
  <si>
    <t>31407LEA1 Mtge</t>
  </si>
  <si>
    <t>31407RVA9</t>
  </si>
  <si>
    <t>TNTD03406729</t>
  </si>
  <si>
    <t>31407RVA9 Mtge</t>
  </si>
  <si>
    <t>31407WSP9</t>
  </si>
  <si>
    <t>TNTD03416536</t>
  </si>
  <si>
    <t>31407WSP9 Mtge</t>
  </si>
  <si>
    <t>31407X2Q3</t>
  </si>
  <si>
    <t>TNTD03412942</t>
  </si>
  <si>
    <t>31407X2Q3 Mtge</t>
  </si>
  <si>
    <t>31408EN81</t>
  </si>
  <si>
    <t>TNTD03411683</t>
  </si>
  <si>
    <t>31408EN81 Mtge</t>
  </si>
  <si>
    <t>31408HJ55</t>
  </si>
  <si>
    <t>TNTD03412843</t>
  </si>
  <si>
    <t>31408HJ55 Mtge</t>
  </si>
  <si>
    <t>31408HXP5</t>
  </si>
  <si>
    <t>TNTD03405598</t>
  </si>
  <si>
    <t>31408HXP5 Mtge</t>
  </si>
  <si>
    <t>31409D2C6</t>
  </si>
  <si>
    <t>TNTD03414010</t>
  </si>
  <si>
    <t>31409D2C6 Mtge</t>
  </si>
  <si>
    <t>31409EW80</t>
  </si>
  <si>
    <t>TNTD03412392</t>
  </si>
  <si>
    <t>31409EW80 Mtge</t>
  </si>
  <si>
    <t>31409TRU4</t>
  </si>
  <si>
    <t>TNTD03428199</t>
  </si>
  <si>
    <t>31409TRU4 Mtge</t>
  </si>
  <si>
    <t>31409TUG1</t>
  </si>
  <si>
    <t>TNTD03411313</t>
  </si>
  <si>
    <t>31409TUG1 Mtge</t>
  </si>
  <si>
    <t>31409XHN2</t>
  </si>
  <si>
    <t>TNTD03413638</t>
  </si>
  <si>
    <t>31409XHN2 Mtge</t>
  </si>
  <si>
    <t>31410C3Q3</t>
  </si>
  <si>
    <t>TNTD03410945</t>
  </si>
  <si>
    <t>31410C3Q3 Mtge</t>
  </si>
  <si>
    <t>31410C6S6</t>
  </si>
  <si>
    <t>TNTD03415530</t>
  </si>
  <si>
    <t>31410C6S6 Mtge</t>
  </si>
  <si>
    <t>31410DVM9</t>
  </si>
  <si>
    <t>TNTD03411636</t>
  </si>
  <si>
    <t>31410DVM9 Mtge</t>
  </si>
  <si>
    <t>31410DXZ8</t>
  </si>
  <si>
    <t>TNTD03409698</t>
  </si>
  <si>
    <t>31410DXZ8 Mtge</t>
  </si>
  <si>
    <t>31410EPE2</t>
  </si>
  <si>
    <t>TNTD03420520</t>
  </si>
  <si>
    <t>31410EPE2 Mtge</t>
  </si>
  <si>
    <t>31410F2Z7</t>
  </si>
  <si>
    <t>TNTD03366676</t>
  </si>
  <si>
    <t>31410F2Z7 Mtge</t>
  </si>
  <si>
    <t>31410F6J9</t>
  </si>
  <si>
    <t>TNTD03372948</t>
  </si>
  <si>
    <t>31410F6J9 Mtge</t>
  </si>
  <si>
    <t>31410G6A6</t>
  </si>
  <si>
    <t>TNTD03422857</t>
  </si>
  <si>
    <t>31410G6A6 Mtge</t>
  </si>
  <si>
    <t>31410GE66</t>
  </si>
  <si>
    <t>TNTD03426907</t>
  </si>
  <si>
    <t>31410GE66 Mtge</t>
  </si>
  <si>
    <t>31410GFV0</t>
  </si>
  <si>
    <t>TNTD03421404</t>
  </si>
  <si>
    <t>31410GFV0 Mtge</t>
  </si>
  <si>
    <t>31410GH97</t>
  </si>
  <si>
    <t>TNTD03416513</t>
  </si>
  <si>
    <t>31410GH97 Mtge</t>
  </si>
  <si>
    <t>31410GHN6</t>
  </si>
  <si>
    <t>TNTD03384105</t>
  </si>
  <si>
    <t>31410GHN6 Mtge</t>
  </si>
  <si>
    <t>31410GJB0</t>
  </si>
  <si>
    <t>TNTD03415260</t>
  </si>
  <si>
    <t>31410GJB0 Mtge</t>
  </si>
  <si>
    <t>31410GQ55</t>
  </si>
  <si>
    <t>TNTD03417698</t>
  </si>
  <si>
    <t>31410GQ55 Mtge</t>
  </si>
  <si>
    <t>31410GRM7</t>
  </si>
  <si>
    <t>TNTD03418584</t>
  </si>
  <si>
    <t>31410GRM7 Mtge</t>
  </si>
  <si>
    <t>31410GRN5</t>
  </si>
  <si>
    <t>TNTD03419017</t>
  </si>
  <si>
    <t>31410GRN5 Mtge</t>
  </si>
  <si>
    <t>31410KQJ6</t>
  </si>
  <si>
    <t>TNTD03426713</t>
  </si>
  <si>
    <t>31410KQJ6 Mtge</t>
  </si>
  <si>
    <t>31410KR22</t>
  </si>
  <si>
    <t>TNTD03427007</t>
  </si>
  <si>
    <t>31410KR22 Mtge</t>
  </si>
  <si>
    <t>31410KRX4</t>
  </si>
  <si>
    <t>TNTD03428194</t>
  </si>
  <si>
    <t>31410KRX4 Mtge</t>
  </si>
  <si>
    <t>31410KTH7</t>
  </si>
  <si>
    <t>TNTD03428197</t>
  </si>
  <si>
    <t>31410KTH7 Mtge</t>
  </si>
  <si>
    <t>31410KUN2</t>
  </si>
  <si>
    <t>TNTD03428893</t>
  </si>
  <si>
    <t>31410KUN2 Mtge</t>
  </si>
  <si>
    <t>31410M4L1</t>
  </si>
  <si>
    <t>TNTD03413067</t>
  </si>
  <si>
    <t>31410M4L1 Mtge</t>
  </si>
  <si>
    <t>31410MYP9</t>
  </si>
  <si>
    <t>TNTD03413871</t>
  </si>
  <si>
    <t>31410MYP9 Mtge</t>
  </si>
  <si>
    <t>31410PYM9</t>
  </si>
  <si>
    <t>TNTD03418130</t>
  </si>
  <si>
    <t>31410PYM9 Mtge</t>
  </si>
  <si>
    <t>31410QPT2</t>
  </si>
  <si>
    <t>TNTD03410759</t>
  </si>
  <si>
    <t>31410QPT2 Mtge</t>
  </si>
  <si>
    <t>31410RP29</t>
  </si>
  <si>
    <t>TNTD03415308</t>
  </si>
  <si>
    <t>31410RP29 Mtge</t>
  </si>
  <si>
    <t>31410S5Y9</t>
  </si>
  <si>
    <t>TNTD03416344</t>
  </si>
  <si>
    <t>31410S5Y9 Mtge</t>
  </si>
  <si>
    <t>31410TVY8</t>
  </si>
  <si>
    <t>TNTD03410793</t>
  </si>
  <si>
    <t>31410TVY8 Mtge</t>
  </si>
  <si>
    <t>31410UQW5</t>
  </si>
  <si>
    <t>TNTD03386000</t>
  </si>
  <si>
    <t>31410UQW5 Mtge</t>
  </si>
  <si>
    <t>31410V2L3</t>
  </si>
  <si>
    <t>TNTD03341331</t>
  </si>
  <si>
    <t>31410V2L3 Mtge</t>
  </si>
  <si>
    <t>31410WX37</t>
  </si>
  <si>
    <t>TNTD03415710</t>
  </si>
  <si>
    <t>31410WX37 Mtge</t>
  </si>
  <si>
    <t>31410XF84</t>
  </si>
  <si>
    <t>TNTD03411213</t>
  </si>
  <si>
    <t>31410XF84 Mtge</t>
  </si>
  <si>
    <t>31410XGK6</t>
  </si>
  <si>
    <t>TNTD03410173</t>
  </si>
  <si>
    <t>31410XGK6 Mtge</t>
  </si>
  <si>
    <t>31411AYF6</t>
  </si>
  <si>
    <t>TNTD03412789</t>
  </si>
  <si>
    <t>31411AYF6 Mtge</t>
  </si>
  <si>
    <t>31411GDL3</t>
  </si>
  <si>
    <t>TNTD03418072</t>
  </si>
  <si>
    <t>31411GDL3 Mtge</t>
  </si>
  <si>
    <t>31411GP30</t>
  </si>
  <si>
    <t>TNTD03366941</t>
  </si>
  <si>
    <t>31411GP30 Mtge</t>
  </si>
  <si>
    <t>31411RCQ9</t>
  </si>
  <si>
    <t>TNTD03380485</t>
  </si>
  <si>
    <t>31411RCQ9 Mtge</t>
  </si>
  <si>
    <t>31411SNF9</t>
  </si>
  <si>
    <t>TNTD03374255</t>
  </si>
  <si>
    <t>31411SNF9 Mtge</t>
  </si>
  <si>
    <t>31411UDL2</t>
  </si>
  <si>
    <t>TNTD03380178</t>
  </si>
  <si>
    <t>31411UDL2 Mtge</t>
  </si>
  <si>
    <t>31411UPM7</t>
  </si>
  <si>
    <t>TNTD03416834</t>
  </si>
  <si>
    <t>31411UPM7 Mtge</t>
  </si>
  <si>
    <t>31411WA49</t>
  </si>
  <si>
    <t>TNTD03386116</t>
  </si>
  <si>
    <t>31411WA49 Mtge</t>
  </si>
  <si>
    <t>31411X6Z3</t>
  </si>
  <si>
    <t>TNTD03387728</t>
  </si>
  <si>
    <t>31411X6Z3 Mtge</t>
  </si>
  <si>
    <t>31411YDS9</t>
  </si>
  <si>
    <t>TNTD03418263</t>
  </si>
  <si>
    <t>31411YDS9 Mtge</t>
  </si>
  <si>
    <t>31411YGA5</t>
  </si>
  <si>
    <t>TNTD03418860</t>
  </si>
  <si>
    <t>31411YGA5 Mtge</t>
  </si>
  <si>
    <t>31412B2P6</t>
  </si>
  <si>
    <t>TNTD03416983</t>
  </si>
  <si>
    <t>31412B2P6 Mtge</t>
  </si>
  <si>
    <t>31412BPZ9</t>
  </si>
  <si>
    <t>TNTD03391444</t>
  </si>
  <si>
    <t>31412BPZ9 Mtge</t>
  </si>
  <si>
    <t>31412BWG3</t>
  </si>
  <si>
    <t>TNTD03372825</t>
  </si>
  <si>
    <t>31412BWG3 Mtge</t>
  </si>
  <si>
    <t>31412DYV4</t>
  </si>
  <si>
    <t>TNTD03372694</t>
  </si>
  <si>
    <t>31412DYV4 Mtge</t>
  </si>
  <si>
    <t>31412ETK2</t>
  </si>
  <si>
    <t>TNTD03416751</t>
  </si>
  <si>
    <t>31412ETK2 Mtge</t>
  </si>
  <si>
    <t>31412G4H1</t>
  </si>
  <si>
    <t>TNTD03417000</t>
  </si>
  <si>
    <t>31412G4H1 Mtge</t>
  </si>
  <si>
    <t>31412GSR3</t>
  </si>
  <si>
    <t>TNTD03418287</t>
  </si>
  <si>
    <t>31412GSR3 Mtge</t>
  </si>
  <si>
    <t>31412LZK9</t>
  </si>
  <si>
    <t>TNTD03418561</t>
  </si>
  <si>
    <t>31412LZK9 Mtge</t>
  </si>
  <si>
    <t>31412M3C0</t>
  </si>
  <si>
    <t>TNTD03428648</t>
  </si>
  <si>
    <t>31412M3C0 Mtge</t>
  </si>
  <si>
    <t>31412M4Y1</t>
  </si>
  <si>
    <t>TNTD03428169</t>
  </si>
  <si>
    <t>31412M4Y1 Mtge</t>
  </si>
  <si>
    <t>31412PBG5</t>
  </si>
  <si>
    <t>TNTD03433690</t>
  </si>
  <si>
    <t>31412PBG5 Mtge</t>
  </si>
  <si>
    <t>31412PEV9</t>
  </si>
  <si>
    <t>TNTD03434360</t>
  </si>
  <si>
    <t>31412PEV9 Mtge</t>
  </si>
  <si>
    <t>31412T5U3</t>
  </si>
  <si>
    <t>TNTD03433573</t>
  </si>
  <si>
    <t>31412T5U3 Mtge</t>
  </si>
  <si>
    <t>31412XSV7</t>
  </si>
  <si>
    <t>TNTD03415448</t>
  </si>
  <si>
    <t>31412XSV7 Mtge</t>
  </si>
  <si>
    <t>31412YFJ6</t>
  </si>
  <si>
    <t>TNTD03374797</t>
  </si>
  <si>
    <t>31412YFJ6 Mtge</t>
  </si>
  <si>
    <t>31413AGJ6</t>
  </si>
  <si>
    <t>TNTD03418133</t>
  </si>
  <si>
    <t>31413AGJ6 Mtge</t>
  </si>
  <si>
    <t>31413BEW7</t>
  </si>
  <si>
    <t>TNTD03380224</t>
  </si>
  <si>
    <t>31413BEW7 Mtge</t>
  </si>
  <si>
    <t>31413CCD9</t>
  </si>
  <si>
    <t>TNTD03418175</t>
  </si>
  <si>
    <t>31413CCD9 Mtge</t>
  </si>
  <si>
    <t>31413DGE1</t>
  </si>
  <si>
    <t>TNTD03415467</t>
  </si>
  <si>
    <t>31413DGE1 Mtge</t>
  </si>
  <si>
    <t>31413GMM9</t>
  </si>
  <si>
    <t>TNTD03415513</t>
  </si>
  <si>
    <t>31413GMM9 Mtge</t>
  </si>
  <si>
    <t>31413JJ96</t>
  </si>
  <si>
    <t>TNTD03415783</t>
  </si>
  <si>
    <t>31413JJ96 Mtge</t>
  </si>
  <si>
    <t>31413JLB8</t>
  </si>
  <si>
    <t>TNTD03416109</t>
  </si>
  <si>
    <t>31413JLB8 Mtge</t>
  </si>
  <si>
    <t>31413K5A5</t>
  </si>
  <si>
    <t>TNTD03418077</t>
  </si>
  <si>
    <t>31413K5A5 Mtge</t>
  </si>
  <si>
    <t>31413KBU4</t>
  </si>
  <si>
    <t>TNTD03418324</t>
  </si>
  <si>
    <t>31413KBU4 Mtge</t>
  </si>
  <si>
    <t>31413KKF7</t>
  </si>
  <si>
    <t>TNTD03418607</t>
  </si>
  <si>
    <t>31413KKF7 Mtge</t>
  </si>
  <si>
    <t>31413KL33</t>
  </si>
  <si>
    <t>TNTD03418215</t>
  </si>
  <si>
    <t>31413KL33 Mtge</t>
  </si>
  <si>
    <t>31413ME78</t>
  </si>
  <si>
    <t>TNTD03386640</t>
  </si>
  <si>
    <t>31413ME78 Mtge</t>
  </si>
  <si>
    <t>31413N5R2</t>
  </si>
  <si>
    <t>TNTD03418560</t>
  </si>
  <si>
    <t>31413N5R2 Mtge</t>
  </si>
  <si>
    <t>31413NCZ6</t>
  </si>
  <si>
    <t>TNTD03428165</t>
  </si>
  <si>
    <t>31413NCZ6 Mtge</t>
  </si>
  <si>
    <t>31413NDT9</t>
  </si>
  <si>
    <t>TNTD03423894</t>
  </si>
  <si>
    <t>31413NDT9 Mtge</t>
  </si>
  <si>
    <t>31413QS90</t>
  </si>
  <si>
    <t>TNTD03418617</t>
  </si>
  <si>
    <t>31413QS90 Mtge</t>
  </si>
  <si>
    <t>31413SCS1</t>
  </si>
  <si>
    <t>TNTD03419299</t>
  </si>
  <si>
    <t>31413SCS1 Mtge</t>
  </si>
  <si>
    <t>31413SHF4</t>
  </si>
  <si>
    <t>TNTD03417814</t>
  </si>
  <si>
    <t>31413SHF4 Mtge</t>
  </si>
  <si>
    <t>31413UWD7</t>
  </si>
  <si>
    <t>TNTD03418026</t>
  </si>
  <si>
    <t>31413UWD7 Mtge</t>
  </si>
  <si>
    <t>31414CV88</t>
  </si>
  <si>
    <t>TNTD03428421</t>
  </si>
  <si>
    <t>31414CV88 Mtge</t>
  </si>
  <si>
    <t>31414CZ84</t>
  </si>
  <si>
    <t>TNTD03428327</t>
  </si>
  <si>
    <t>31414CZ84 Mtge</t>
  </si>
  <si>
    <t>31414FKG5</t>
  </si>
  <si>
    <t>TNTD03428166</t>
  </si>
  <si>
    <t>31414FKG5 Mtge</t>
  </si>
  <si>
    <t>31414FPH8</t>
  </si>
  <si>
    <t>TNTD03429160</t>
  </si>
  <si>
    <t>31414FPH8 Mtge</t>
  </si>
  <si>
    <t>31414HDB0</t>
  </si>
  <si>
    <t>TNTD03424284</t>
  </si>
  <si>
    <t>31414HDB0 Mtge</t>
  </si>
  <si>
    <t>31414KAV2</t>
  </si>
  <si>
    <t>TNTD03422817</t>
  </si>
  <si>
    <t>31414KAV2 Mtge</t>
  </si>
  <si>
    <t>31414LAH1</t>
  </si>
  <si>
    <t>TNTD03421258</t>
  </si>
  <si>
    <t>31414LAH1 Mtge</t>
  </si>
  <si>
    <t>31414PTH2</t>
  </si>
  <si>
    <t>TNTD03428649</t>
  </si>
  <si>
    <t>31414PTH2 Mtge</t>
  </si>
  <si>
    <t>31414QAE7</t>
  </si>
  <si>
    <t>TNTD03425068</t>
  </si>
  <si>
    <t>31414QAE7 Mtge</t>
  </si>
  <si>
    <t>31414TNR8</t>
  </si>
  <si>
    <t>TNTD03429658</t>
  </si>
  <si>
    <t>31414TNR8 Mtge</t>
  </si>
  <si>
    <t>31414TSB8</t>
  </si>
  <si>
    <t>TNTD03424103</t>
  </si>
  <si>
    <t>31414TSB8 Mtge</t>
  </si>
  <si>
    <t>31415A3C3</t>
  </si>
  <si>
    <t>TNTD03425662</t>
  </si>
  <si>
    <t>31415A3C3 Mtge</t>
  </si>
  <si>
    <t>31415BBF5</t>
  </si>
  <si>
    <t>TNTD03425614</t>
  </si>
  <si>
    <t>31415BBF5 Mtge</t>
  </si>
  <si>
    <t>31415BNG0</t>
  </si>
  <si>
    <t>TNTD03427443</t>
  </si>
  <si>
    <t>31415BNG0 Mtge</t>
  </si>
  <si>
    <t>31415PGB8</t>
  </si>
  <si>
    <t>TNTD03428167</t>
  </si>
  <si>
    <t>31415PGB8 Mtge</t>
  </si>
  <si>
    <t>31415PMH8</t>
  </si>
  <si>
    <t>TNTD03431053</t>
  </si>
  <si>
    <t>31415PMH8 Mtge</t>
  </si>
  <si>
    <t>31415QGG5</t>
  </si>
  <si>
    <t>TNTD03427615</t>
  </si>
  <si>
    <t>31415QGG5 Mtge</t>
  </si>
  <si>
    <t>31415RFH2</t>
  </si>
  <si>
    <t>TNTD03430022</t>
  </si>
  <si>
    <t>31415RFH2 Mtge</t>
  </si>
  <si>
    <t>31415RR30</t>
  </si>
  <si>
    <t>TNTD03431936</t>
  </si>
  <si>
    <t>31415RR30 Mtge</t>
  </si>
  <si>
    <t>31415SCE0</t>
  </si>
  <si>
    <t>TNTD03428168</t>
  </si>
  <si>
    <t>31415SCE0 Mtge</t>
  </si>
  <si>
    <t>31415TF70</t>
  </si>
  <si>
    <t>TNTD03428694</t>
  </si>
  <si>
    <t>31415TF70 Mtge</t>
  </si>
  <si>
    <t>31415TLM0</t>
  </si>
  <si>
    <t>TNTD03429229</t>
  </si>
  <si>
    <t>31415TLM0 Mtge</t>
  </si>
  <si>
    <t>31415WQC0</t>
  </si>
  <si>
    <t>TNTD03433032</t>
  </si>
  <si>
    <t>31415WQC0 Mtge</t>
  </si>
  <si>
    <t>31415XJE2</t>
  </si>
  <si>
    <t>TNTD03432015</t>
  </si>
  <si>
    <t>31415XJE2 Mtge</t>
  </si>
  <si>
    <t>31415XSZ5</t>
  </si>
  <si>
    <t>TNTD03430605</t>
  </si>
  <si>
    <t>31415XSZ5 Mtge</t>
  </si>
  <si>
    <t>31416BVN5</t>
  </si>
  <si>
    <t>TNTD03433545</t>
  </si>
  <si>
    <t>31416BVN5 Mtge</t>
  </si>
  <si>
    <t>31416BZ68</t>
  </si>
  <si>
    <t>TNTD03433547</t>
  </si>
  <si>
    <t>31416BZ68 Mtge</t>
  </si>
  <si>
    <t>31417YAY3</t>
  </si>
  <si>
    <t>TNTD03433713</t>
  </si>
  <si>
    <t>31417YAY3 Mtge</t>
  </si>
  <si>
    <t>36200EDN8</t>
  </si>
  <si>
    <t>TNTD03545237</t>
  </si>
  <si>
    <t>36200EDN8 Mtge</t>
  </si>
  <si>
    <t>36200KMY0</t>
  </si>
  <si>
    <t>TNTD03544152</t>
  </si>
  <si>
    <t>36200KMY0 Mtge</t>
  </si>
  <si>
    <t>36200M6G3</t>
  </si>
  <si>
    <t>TNTD03551400</t>
  </si>
  <si>
    <t>36200M6G3 Mtge</t>
  </si>
  <si>
    <t>36200MTF0</t>
  </si>
  <si>
    <t>TNTD03547810</t>
  </si>
  <si>
    <t>36200MTF0 Mtge</t>
  </si>
  <si>
    <t>36200QJD7</t>
  </si>
  <si>
    <t>TNTD03512000</t>
  </si>
  <si>
    <t>36200QJD7 Mtge</t>
  </si>
  <si>
    <t>36200QSL9</t>
  </si>
  <si>
    <t>TNTD03505010</t>
  </si>
  <si>
    <t>36200QSL9 Mtge</t>
  </si>
  <si>
    <t>36200R6U1</t>
  </si>
  <si>
    <t>TNTD03543045</t>
  </si>
  <si>
    <t>36200R6U1 Mtge</t>
  </si>
  <si>
    <t>36200WJE2</t>
  </si>
  <si>
    <t>TNTD03551969</t>
  </si>
  <si>
    <t>36200WJE2 Mtge</t>
  </si>
  <si>
    <t>36201JDG1</t>
  </si>
  <si>
    <t>TNTD03548968</t>
  </si>
  <si>
    <t>36201JDG1 Mtge</t>
  </si>
  <si>
    <t>36201JFW4</t>
  </si>
  <si>
    <t>TNTD03529143</t>
  </si>
  <si>
    <t>36201JFW4 Mtge</t>
  </si>
  <si>
    <t>36201SRB7</t>
  </si>
  <si>
    <t>TNTD03544492</t>
  </si>
  <si>
    <t>36201SRB7 Mtge</t>
  </si>
  <si>
    <t>36201YC95</t>
  </si>
  <si>
    <t>TNTD03547865</t>
  </si>
  <si>
    <t>36201YC95 Mtge</t>
  </si>
  <si>
    <t>36202SBN7</t>
  </si>
  <si>
    <t>TNTD03526319</t>
  </si>
  <si>
    <t>36202SBN7 Mtge</t>
  </si>
  <si>
    <t>36202WGD5</t>
  </si>
  <si>
    <t>TNTD03556615</t>
  </si>
  <si>
    <t>36202WGD5 Mtge</t>
  </si>
  <si>
    <t>36202WH69</t>
  </si>
  <si>
    <t>TNTD03544868</t>
  </si>
  <si>
    <t>36202WH69 Mtge</t>
  </si>
  <si>
    <t>36204RN87</t>
  </si>
  <si>
    <t>TNTD03503443</t>
  </si>
  <si>
    <t>36204RN87 Mtge</t>
  </si>
  <si>
    <t>36206JJ96</t>
  </si>
  <si>
    <t>TNTD03520369</t>
  </si>
  <si>
    <t>36206JJ96 Mtge</t>
  </si>
  <si>
    <t>36208YF46</t>
  </si>
  <si>
    <t>TNTD03517300</t>
  </si>
  <si>
    <t>36208YF46 Mtge</t>
  </si>
  <si>
    <t>36209EX56</t>
  </si>
  <si>
    <t>TNTD03524277</t>
  </si>
  <si>
    <t>36209EX56 Mtge</t>
  </si>
  <si>
    <t>36209WQL9</t>
  </si>
  <si>
    <t>TNTD03521422</t>
  </si>
  <si>
    <t>36209WQL9 Mtge</t>
  </si>
  <si>
    <t>36210BTC9</t>
  </si>
  <si>
    <t>TNTD03536016</t>
  </si>
  <si>
    <t>36210BTC9 Mtge</t>
  </si>
  <si>
    <t>36210LPE7</t>
  </si>
  <si>
    <t>TNTD03544527</t>
  </si>
  <si>
    <t>36210LPE7 Mtge</t>
  </si>
  <si>
    <t>36210VRS2</t>
  </si>
  <si>
    <t>TNTD03526764</t>
  </si>
  <si>
    <t>36210VRS2 Mtge</t>
  </si>
  <si>
    <t>36211DPQ7</t>
  </si>
  <si>
    <t>TNTD03526923</t>
  </si>
  <si>
    <t>36211DPQ7 Mtge</t>
  </si>
  <si>
    <t>36213EWY8</t>
  </si>
  <si>
    <t>TNTD03526137</t>
  </si>
  <si>
    <t>36213EWY8 Mtge</t>
  </si>
  <si>
    <t>36213GSU6</t>
  </si>
  <si>
    <t>TNTD03544513</t>
  </si>
  <si>
    <t>36213GSU6 Mtge</t>
  </si>
  <si>
    <t>36225A3K4</t>
  </si>
  <si>
    <t>TNTD03600512</t>
  </si>
  <si>
    <t>36225A3K4 Mtge</t>
  </si>
  <si>
    <t>36225BAP3</t>
  </si>
  <si>
    <t>TNTD03531416</t>
  </si>
  <si>
    <t>36225BAP3 Mtge</t>
  </si>
  <si>
    <t>36225BB31</t>
  </si>
  <si>
    <t>TNTD03512071</t>
  </si>
  <si>
    <t>36225BB31 Mtge</t>
  </si>
  <si>
    <t>36225BG93</t>
  </si>
  <si>
    <t>TNTD03538446</t>
  </si>
  <si>
    <t>36225BG93 Mtge</t>
  </si>
  <si>
    <t>36225BPM4</t>
  </si>
  <si>
    <t>TNTD03524617</t>
  </si>
  <si>
    <t>36225BPM4 Mtge</t>
  </si>
  <si>
    <t>36225BWH7</t>
  </si>
  <si>
    <t>TNTD03532756</t>
  </si>
  <si>
    <t>36225BWH7 Mtge</t>
  </si>
  <si>
    <t>36225BYJ1</t>
  </si>
  <si>
    <t>TNTD03543747</t>
  </si>
  <si>
    <t>36225BYJ1 Mtge</t>
  </si>
  <si>
    <t>36241KNL8</t>
  </si>
  <si>
    <t>TNTD03553034</t>
  </si>
  <si>
    <t>36241KNL8 Mtge</t>
  </si>
  <si>
    <t>36290V5G5</t>
  </si>
  <si>
    <t>TNTD03556622</t>
  </si>
  <si>
    <t>36290V5G5 Mtge</t>
  </si>
  <si>
    <t>36290W3Y6</t>
  </si>
  <si>
    <t>TNTD03556619</t>
  </si>
  <si>
    <t>36290W3Y6 Mtge</t>
  </si>
  <si>
    <t>36291ACW7</t>
  </si>
  <si>
    <t>TNTD03549300</t>
  </si>
  <si>
    <t>36291ACW7 Mtge</t>
  </si>
  <si>
    <t>36291AM48</t>
  </si>
  <si>
    <t>TNTD03556618</t>
  </si>
  <si>
    <t>36291AM48 Mtge</t>
  </si>
  <si>
    <t>36291GYR1</t>
  </si>
  <si>
    <t>TNTD03521178</t>
  </si>
  <si>
    <t>36291GYR1 Mtge</t>
  </si>
  <si>
    <t>36291JVC1</t>
  </si>
  <si>
    <t>TNTD03556620</t>
  </si>
  <si>
    <t>36291JVC1 Mtge</t>
  </si>
  <si>
    <t>36291NM40</t>
  </si>
  <si>
    <t>TNTD03554236</t>
  </si>
  <si>
    <t>36291NM40 Mtge</t>
  </si>
  <si>
    <t>36291PSB3</t>
  </si>
  <si>
    <t>TNTD03556608</t>
  </si>
  <si>
    <t>36291PSB3 Mtge</t>
  </si>
  <si>
    <t>36294NV54</t>
  </si>
  <si>
    <t>TNTD03550375</t>
  </si>
  <si>
    <t>36294NV54 Mtge</t>
  </si>
  <si>
    <t>36295JMQ6</t>
  </si>
  <si>
    <t>TNTD03552715</t>
  </si>
  <si>
    <t>36295JMQ6 Mtge</t>
  </si>
  <si>
    <t>MTG_PREPAY_TYP</t>
  </si>
  <si>
    <t>MTG_PREPAY_SPEED</t>
  </si>
  <si>
    <t>MTG_PL_PSA_1M</t>
  </si>
  <si>
    <t>MTG_PL_PSA_3M</t>
  </si>
  <si>
    <t>MTG_PL_PSA_6M</t>
  </si>
  <si>
    <t>PSA</t>
  </si>
  <si>
    <t>#N/A N/A</t>
  </si>
  <si>
    <t>#N/A Invalid Field</t>
  </si>
  <si>
    <t>#N/A Invalid Override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</si>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</sst>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Invalid Field</v>
        <stp/>
        <stp>##V3_BDHV12</stp>
        <stp>31382KR26 Mtge</stp>
        <stp>MTG_GEN_CPR_12M</stp>
        <stp>20090610</stp>
        <stp>20090610</stp>
        <stp>[Copy of 02_cpr_main.xlsx]data!R198C10</stp>
        <stp>Dts=H</stp>
        <tr r="J198" s="2"/>
      </tp>
      <tp t="s">
        <v>#N/A Invalid Field</v>
        <stp/>
        <stp>##V3_BDHV12</stp>
        <stp>31416BZ68 Mtge</stp>
        <stp>MTG_GEN_CPR_12M</stp>
        <stp>20090610</stp>
        <stp>20090610</stp>
        <stp>[Copy of 02_cpr_main.xlsx]data!R461C10</stp>
        <stp>Dts=H</stp>
        <tr r="J461" s="2"/>
      </tp>
      <tp>
        <v>194</v>
        <stp/>
        <stp>##V3_BDPV12</stp>
        <stp>3128Q2GG2 Mtge</stp>
        <stp xml:space="preserve">MTG_PL_PSA_6M </stp>
        <stp>[Copy of 02_cpr_main.xlsx]data!R106C15</stp>
        <tr r="O106" s="2"/>
      </tp>
      <tp>
        <v>712.6</v>
        <stp/>
        <stp>##V3_BDPV12</stp>
        <stp>312962EA7 Mtge</stp>
        <stp xml:space="preserve">MTG_PL_PSA_6M </stp>
        <stp>[Copy of 02_cpr_main.xlsx]data!R137C15</stp>
        <tr r="O137" s="2"/>
      </tp>
      <tp>
        <v>287.89999999999998</v>
        <stp/>
        <stp>##V3_BDPV12</stp>
        <stp>3128Q2GG2 Mtge</stp>
        <stp xml:space="preserve">MTG_PL_PSA_3M </stp>
        <stp>[Copy of 02_cpr_main.xlsx]data!R106C14</stp>
        <tr r="N106" s="2"/>
      </tp>
      <tp>
        <v>0</v>
        <stp/>
        <stp>##V3_BDPV12</stp>
        <stp>312962EA7 Mtge</stp>
        <stp xml:space="preserve">MTG_PL_PSA_1M </stp>
        <stp>[Copy of 02_cpr_main.xlsx]data!R137C13</stp>
        <tr r="M137" s="2"/>
      </tp>
      <tp>
        <v>140</v>
        <stp/>
        <stp>##V3_BDPV12</stp>
        <stp>31283H4W2 Mtge</stp>
        <stp>MTG_PREPAY_SPEED</stp>
        <stp>[Copy of 02_cpr_main.xlsx]data!R29C12</stp>
        <tr r="L29" s="2"/>
      </tp>
      <tp>
        <v>346.6</v>
        <stp/>
        <stp>##V3_BDPV12</stp>
        <stp>312962EA7 Mtge</stp>
        <stp xml:space="preserve">MTG_PL_PSA_3M </stp>
        <stp>[Copy of 02_cpr_main.xlsx]data!R137C14</stp>
        <tr r="N137" s="2"/>
      </tp>
      <tp>
        <v>659.7</v>
        <stp/>
        <stp>##V3_BDPV12</stp>
        <stp>3128Q2GG2 Mtge</stp>
        <stp xml:space="preserve">MTG_PL_PSA_1M </stp>
        <stp>[Copy of 02_cpr_main.xlsx]data!R106C13</stp>
        <tr r="M106" s="2"/>
      </tp>
      <tp>
        <v>921.2</v>
        <stp/>
        <stp>##V3_BDPV12</stp>
        <stp>312962KF9 Mtge</stp>
        <stp xml:space="preserve">MTG_PL_PSA_3M </stp>
        <stp>[Copy of 02_cpr_main.xlsx]data!R138C14</stp>
        <tr r="N138" s="2"/>
      </tp>
      <tp>
        <v>0</v>
        <stp/>
        <stp>##V3_BDPV12</stp>
        <stp>312962KF9 Mtge</stp>
        <stp xml:space="preserve">MTG_PL_PSA_1M </stp>
        <stp>[Copy of 02_cpr_main.xlsx]data!R138C13</stp>
        <tr r="M138" s="2"/>
      </tp>
      <tp>
        <v>852.2</v>
        <stp/>
        <stp>##V3_BDPV12</stp>
        <stp>312962KF9 Mtge</stp>
        <stp xml:space="preserve">MTG_PL_PSA_6M </stp>
        <stp>[Copy of 02_cpr_main.xlsx]data!R138C15</stp>
        <tr r="O138" s="2"/>
      </tp>
      <tp t="s">
        <v>#N/A Invalid Field</v>
        <stp/>
        <stp>##V3_BDHV12</stp>
        <stp>31402CZR6 Mtge</stp>
        <stp>MTG_GEN_CPR_12M</stp>
        <stp>20090610</stp>
        <stp>20090610</stp>
        <stp>[Copy of 02_cpr_main.xlsx]data!R267C10</stp>
        <stp>Dts=H</stp>
        <tr r="J267" s="2"/>
      </tp>
      <tp t="s">
        <v>#N/A Invalid Field</v>
        <stp/>
        <stp>##V3_BDHV12</stp>
        <stp>36210VRS2 Mtge</stp>
        <stp>MTG_GEN_CPR_12M</stp>
        <stp>20090610</stp>
        <stp>20090610</stp>
        <stp>[Copy of 02_cpr_main.xlsx]data!R485C10</stp>
        <stp>Dts=H</stp>
        <tr r="J485" s="2"/>
      </tp>
      <tp t="s">
        <v>#N/A Invalid Field</v>
        <stp/>
        <stp>##V3_BDHV12</stp>
        <stp>31385WZX0 Mtge</stp>
        <stp>MTG_GEN_CPR_12M</stp>
        <stp>20090610</stp>
        <stp>20090610</stp>
        <stp>[Copy of 02_cpr_main.xlsx]data!R219C10</stp>
        <stp>Dts=H</stp>
        <tr r="J219" s="2"/>
      </tp>
      <tp t="s">
        <v>#N/A Invalid Field</v>
        <stp/>
        <stp>##V3_BDHV12</stp>
        <stp>31381JRV6 Mtge</stp>
        <stp>MTG_GEN_CPR_12M</stp>
        <stp>20090610</stp>
        <stp>20090610</stp>
        <stp>[Copy of 02_cpr_main.xlsx]data!R194C10</stp>
        <stp>Dts=H</stp>
        <tr r="J194" s="2"/>
      </tp>
      <tp t="s">
        <v>#N/A Invalid Field</v>
        <stp/>
        <stp>##V3_BDHV12</stp>
        <stp>31403CUZ2 Mtge</stp>
        <stp>MTG_GEN_CPR_12M</stp>
        <stp>20090610</stp>
        <stp>20090610</stp>
        <stp>[Copy of 02_cpr_main.xlsx]data!R294C10</stp>
        <stp>Dts=H</stp>
        <tr r="J294" s="2"/>
      </tp>
      <tp t="s">
        <v>#N/A N/A</v>
        <stp/>
        <stp>##V3_BDPV12</stp>
        <stp>3128MB5P8 Mtge</stp>
        <stp>MTG_PREPAY_SPEED</stp>
        <stp>[Copy of 02_cpr_main.xlsx]data!R93C12</stp>
        <tr r="L93" s="2"/>
      </tp>
      <tp t="s">
        <v>#N/A Invalid Field</v>
        <stp/>
        <stp>##V3_BDHV12</stp>
        <stp>31408HXP5 Mtge</stp>
        <stp>MTG_GEN_CPR_12M</stp>
        <stp>20090610</stp>
        <stp>20090610</stp>
        <stp>[Copy of 02_cpr_main.xlsx]data!R351C10</stp>
        <stp>Dts=H</stp>
        <tr r="J351" s="2"/>
      </tp>
      <tp t="s">
        <v>#N/A Invalid Field</v>
        <stp/>
        <stp>##V3_BDHV12</stp>
        <stp>31294JYS1 Mtge</stp>
        <stp>MTG_GEN_CPR_12M</stp>
        <stp>20090610</stp>
        <stp>20090610</stp>
        <stp>[Copy of 02_cpr_main.xlsx]data!R129C10</stp>
        <stp>Dts=H</stp>
        <tr r="J129" s="2"/>
      </tp>
      <tp t="s">
        <v>#N/A Invalid Field</v>
        <stp/>
        <stp>##V3_BDHV12</stp>
        <stp>31294JYR3 Mtge</stp>
        <stp>MTG_GEN_CPR_12M</stp>
        <stp>20090610</stp>
        <stp>20090610</stp>
        <stp>[Copy of 02_cpr_main.xlsx]data!R128C10</stp>
        <stp>Dts=H</stp>
        <tr r="J128" s="2"/>
      </tp>
      <tp t="s">
        <v>#N/A Invalid Field</v>
        <stp/>
        <stp>##V3_BDHV12</stp>
        <stp>36213GSU6 Mtge</stp>
        <stp>MTG_GEN_CPR_12M</stp>
        <stp>20090610</stp>
        <stp>20090610</stp>
        <stp>[Copy of 02_cpr_main.xlsx]data!R488C10</stp>
        <stp>Dts=H</stp>
        <tr r="J488" s="2"/>
      </tp>
      <tp t="s">
        <v>#N/A Invalid Field</v>
        <stp/>
        <stp>##V3_BDHV12</stp>
        <stp>31400RXM8 Mtge</stp>
        <stp>MTG_GEN_CPR_12M</stp>
        <stp>20090610</stp>
        <stp>20090610</stp>
        <stp>[Copy of 02_cpr_main.xlsx]data!R251C10</stp>
        <stp>Dts=H</stp>
        <tr r="J251" s="2"/>
      </tp>
      <tp t="s">
        <v>#N/A Invalid Field</v>
        <stp/>
        <stp>##V3_BDHV12</stp>
        <stp>31402NY77 Mtge</stp>
        <stp>MTG_GEN_CPR_12M</stp>
        <stp>20090610</stp>
        <stp>20090610</stp>
        <stp>[Copy of 02_cpr_main.xlsx]data!R272C10</stp>
        <stp>Dts=H</stp>
        <tr r="J272" s="2"/>
      </tp>
      <tp t="s">
        <v>#N/A Invalid Field</v>
        <stp/>
        <stp>##V3_BDHV12</stp>
        <stp>31292GY34 Mtge</stp>
        <stp>MTG_GEN_CPR_12M</stp>
        <stp>20090610</stp>
        <stp>20090610</stp>
        <stp>[Copy of 02_cpr_main.xlsx]data!R116C10</stp>
        <stp>Dts=H</stp>
        <tr r="J116" s="2"/>
      </tp>
      <tp t="s">
        <v>#N/A Invalid Field</v>
        <stp/>
        <stp>##V3_BDHV12</stp>
        <stp>31402QYZ8 Mtge</stp>
        <stp>MTG_GEN_CPR_12M</stp>
        <stp>20090610</stp>
        <stp>20090610</stp>
        <stp>[Copy of 02_cpr_main.xlsx]data!R278C10</stp>
        <stp>Dts=H</stp>
        <tr r="J278" s="2"/>
      </tp>
      <tp t="s">
        <v>#N/A Invalid Field</v>
        <stp/>
        <stp>##V3_BDHV12</stp>
        <stp>31292HYT5 Mtge</stp>
        <stp>MTG_GEN_CPR_12M</stp>
        <stp>20090610</stp>
        <stp>20090610</stp>
        <stp>[Copy of 02_cpr_main.xlsx]data!R118C10</stp>
        <stp>Dts=H</stp>
        <tr r="J118" s="2"/>
      </tp>
      <tp t="s">
        <v>#N/A Invalid Field</v>
        <stp/>
        <stp>##V3_BDHV12</stp>
        <stp>36211DPQ7 Mtge</stp>
        <stp>MTG_GEN_CPR_12M</stp>
        <stp>20090610</stp>
        <stp>20090610</stp>
        <stp>[Copy of 02_cpr_main.xlsx]data!R486C10</stp>
        <stp>Dts=H</stp>
        <tr r="J486" s="2"/>
      </tp>
      <tp t="s">
        <v>#N/A Invalid Field</v>
        <stp/>
        <stp>##V3_BDHV12</stp>
        <stp>31410MYP9 Mtge</stp>
        <stp>MTG_GEN_CPR_12M</stp>
        <stp>20090610</stp>
        <stp>20090610</stp>
        <stp>[Copy of 02_cpr_main.xlsx]data!R379C10</stp>
        <stp>Dts=H</stp>
        <tr r="J379" s="2"/>
      </tp>
      <tp t="s">
        <v>#N/A Invalid Field</v>
        <stp/>
        <stp>##V3_BDHV12</stp>
        <stp>31410DXZ8 Mtge</stp>
        <stp>MTG_GEN_CPR_12M</stp>
        <stp>20090610</stp>
        <stp>20090610</stp>
        <stp>[Copy of 02_cpr_main.xlsx]data!R360C10</stp>
        <stp>Dts=H</stp>
        <tr r="J360" s="2"/>
      </tp>
      <tp t="s">
        <v>#N/A Invalid Field</v>
        <stp/>
        <stp>##V3_BDHV12</stp>
        <stp>31402TVS1 Mtge</stp>
        <stp>MTG_GEN_CPR_12M</stp>
        <stp>20090610</stp>
        <stp>20090610</stp>
        <stp>[Copy of 02_cpr_main.xlsx]data!R288C10</stp>
        <stp>Dts=H</stp>
        <tr r="J288" s="2"/>
      </tp>
      <tp t="s">
        <v>#N/A Invalid Field</v>
        <stp/>
        <stp>##V3_BDHV12</stp>
        <stp>31410TVY8 Mtge</stp>
        <stp>MTG_GEN_CPR_12M</stp>
        <stp>20090610</stp>
        <stp>20090610</stp>
        <stp>[Copy of 02_cpr_main.xlsx]data!R384C10</stp>
        <stp>Dts=H</stp>
        <tr r="J384" s="2"/>
      </tp>
      <tp t="s">
        <v>#N/A Invalid Field</v>
        <stp/>
        <stp>##V3_BDHV12</stp>
        <stp>36210LPE7 Mtge</stp>
        <stp>MTG_GEN_CPR_12M</stp>
        <stp>20090610</stp>
        <stp>20090610</stp>
        <stp>[Copy of 02_cpr_main.xlsx]data!R484C10</stp>
        <stp>Dts=H</stp>
        <tr r="J484" s="2"/>
      </tp>
      <tp t="s">
        <v>#N/A Invalid Field</v>
        <stp/>
        <stp>##V3_BDHV12</stp>
        <stp>31292GYA8 Mtge</stp>
        <stp>MTG_GEN_CPR_12M</stp>
        <stp>20090610</stp>
        <stp>20090610</stp>
        <stp>[Copy of 02_cpr_main.xlsx]data!R117C10</stp>
        <stp>Dts=H</stp>
        <tr r="J117" s="2"/>
      </tp>
      <tp t="s">
        <v>#N/A Invalid Field</v>
        <stp/>
        <stp>##V3_BDHV12</stp>
        <stp>31382DQ98 Mtge</stp>
        <stp>MTG_GEN_CPR_12M</stp>
        <stp>20090610</stp>
        <stp>20090610</stp>
        <stp>[Copy of 02_cpr_main.xlsx]data!R195C10</stp>
        <stp>Dts=H</stp>
        <tr r="J195" s="2"/>
      </tp>
      <tp t="s">
        <v>#N/A Invalid Field</v>
        <stp/>
        <stp>##V3_BDHV12</stp>
        <stp>31382KQ43 Mtge</stp>
        <stp>MTG_GEN_CPR_12M</stp>
        <stp>20090610</stp>
        <stp>20090610</stp>
        <stp>[Copy of 02_cpr_main.xlsx]data!R197C10</stp>
        <stp>Dts=H</stp>
        <tr r="J197" s="2"/>
      </tp>
      <tp t="s">
        <v>#N/A Invalid Field</v>
        <stp/>
        <stp>##V3_BDHV12</stp>
        <stp>31295NZX9 Mtge</stp>
        <stp>MTG_GEN_CPR_12M</stp>
        <stp>20090610</stp>
        <stp>20090610</stp>
        <stp>[Copy of 02_cpr_main.xlsx]data!R136C10</stp>
        <stp>Dts=H</stp>
        <tr r="J136" s="2"/>
      </tp>
      <tp t="s">
        <v>#N/A Invalid Field</v>
        <stp/>
        <stp>##V3_BDHV12</stp>
        <stp>36291GYR1 Mtge</stp>
        <stp>MTG_GEN_CPR_12M</stp>
        <stp>20090610</stp>
        <stp>20090610</stp>
        <stp>[Copy of 02_cpr_main.xlsx]data!R501C10</stp>
        <stp>Dts=H</stp>
        <tr r="J501" s="2"/>
      </tp>
      <tp t="s">
        <v>#N/A Invalid Field</v>
        <stp/>
        <stp>##V3_BDHV12</stp>
        <stp>31294KZL2 Mtge</stp>
        <stp>MTG_GEN_CPR_12M</stp>
        <stp>20090610</stp>
        <stp>20090610</stp>
        <stp>[Copy of 02_cpr_main.xlsx]data!R135C10</stp>
        <stp>Dts=H</stp>
        <tr r="J135" s="2"/>
      </tp>
      <tp t="s">
        <v>#N/A Invalid Field</v>
        <stp/>
        <stp>##V3_BDHV12</stp>
        <stp>31385WYC7 Mtge</stp>
        <stp>MTG_GEN_CPR_12M</stp>
        <stp>20090610</stp>
        <stp>20090610</stp>
        <stp>[Copy of 02_cpr_main.xlsx]data!R218C10</stp>
        <stp>Dts=H</stp>
        <tr r="J218" s="2"/>
      </tp>
      <tp t="s">
        <v>#N/A Invalid Field</v>
        <stp/>
        <stp>##V3_BDHV12</stp>
        <stp>36225BPM4 Mtge</stp>
        <stp>MTG_GEN_CPR_12M</stp>
        <stp>20090610</stp>
        <stp>20090610</stp>
        <stp>[Copy of 02_cpr_main.xlsx]data!R493C10</stp>
        <stp>Dts=H</stp>
        <tr r="J493" s="2"/>
      </tp>
      <tp t="s">
        <v>#N/A Invalid Field</v>
        <stp/>
        <stp>##V3_BDHV12</stp>
        <stp>36209WQL9 Mtge</stp>
        <stp>MTG_GEN_CPR_12M</stp>
        <stp>20090610</stp>
        <stp>20090610</stp>
        <stp>[Copy of 02_cpr_main.xlsx]data!R482C10</stp>
        <stp>Dts=H</stp>
        <tr r="J482" s="2"/>
      </tp>
      <tp t="s">
        <v>#N/A Invalid Field</v>
        <stp/>
        <stp>##V3_BDHV12</stp>
        <stp>31410RP29 Mtge</stp>
        <stp>MTG_GEN_CPR_12M</stp>
        <stp>20090610</stp>
        <stp>20090610</stp>
        <stp>[Copy of 02_cpr_main.xlsx]data!R382C10</stp>
        <stp>Dts=H</stp>
        <tr r="J382" s="2"/>
      </tp>
      <tp t="s">
        <v>#N/A Invalid Field</v>
        <stp/>
        <stp>##V3_BDHV12</stp>
        <stp>31405KZ20 Mtge</stp>
        <stp>MTG_GEN_CPR_12M</stp>
        <stp>20090610</stp>
        <stp>20090610</stp>
        <stp>[Copy of 02_cpr_main.xlsx]data!R327C10</stp>
        <stp>Dts=H</stp>
        <tr r="J327" s="2"/>
      </tp>
      <tp t="s">
        <v>#N/A Invalid Field</v>
        <stp/>
        <stp>##V3_BDHV12</stp>
        <stp>31405AZR7 Mtge</stp>
        <stp>MTG_GEN_CPR_12M</stp>
        <stp>20090610</stp>
        <stp>20090610</stp>
        <stp>[Copy of 02_cpr_main.xlsx]data!R323C10</stp>
        <stp>Dts=H</stp>
        <tr r="J323" s="2"/>
      </tp>
      <tp t="s">
        <v>#N/A Invalid Field</v>
        <stp/>
        <stp>##V3_BDHV12</stp>
        <stp>31410QPT2 Mtge</stp>
        <stp>MTG_GEN_CPR_12M</stp>
        <stp>20090610</stp>
        <stp>20090610</stp>
        <stp>[Copy of 02_cpr_main.xlsx]data!R381C10</stp>
        <stp>Dts=H</stp>
        <tr r="J381" s="2"/>
      </tp>
      <tp t="s">
        <v>#N/A Invalid Field</v>
        <stp/>
        <stp>##V3_BDHV12</stp>
        <stp>36225BWH7 Mtge</stp>
        <stp>MTG_GEN_CPR_12M</stp>
        <stp>20090610</stp>
        <stp>20090610</stp>
        <stp>[Copy of 02_cpr_main.xlsx]data!R494C10</stp>
        <stp>Dts=H</stp>
        <tr r="J494" s="2"/>
      </tp>
      <tp t="s">
        <v>#N/A Invalid Field</v>
        <stp/>
        <stp>##V3_BDHV12</stp>
        <stp>31411GP30 Mtge</stp>
        <stp>MTG_GEN_CPR_12M</stp>
        <stp>20090610</stp>
        <stp>20090610</stp>
        <stp>[Copy of 02_cpr_main.xlsx]data!R392C10</stp>
        <stp>Dts=H</stp>
        <tr r="J392" s="2"/>
      </tp>
      <tp t="s">
        <v>#N/A Invalid Field</v>
        <stp/>
        <stp>##V3_BDHV12</stp>
        <stp>31414CZ84 Mtge</stp>
        <stp>MTG_GEN_CPR_12M</stp>
        <stp>20090610</stp>
        <stp>20090610</stp>
        <stp>[Copy of 02_cpr_main.xlsx]data!R436C10</stp>
        <stp>Dts=H</stp>
        <tr r="J436" s="2"/>
      </tp>
      <tp>
        <v>0</v>
        <stp/>
        <stp>##V3_BDPV12</stp>
        <stp>312967HF2 Mtge</stp>
        <stp xml:space="preserve">MTG_PL_PSA_1M </stp>
        <stp>[Copy of 02_cpr_main.xlsx]data!R140C13</stp>
        <tr r="M140" s="2"/>
      </tp>
      <tp>
        <v>207.2</v>
        <stp/>
        <stp>##V3_BDPV12</stp>
        <stp>3128P7LU5 Mtge</stp>
        <stp xml:space="preserve">MTG_PL_PSA_6M </stp>
        <stp>[Copy of 02_cpr_main.xlsx]data!R102C15</stp>
        <tr r="O102" s="2"/>
      </tp>
      <tp>
        <v>1512.8</v>
        <stp/>
        <stp>##V3_BDPV12</stp>
        <stp>312967HF2 Mtge</stp>
        <stp xml:space="preserve">MTG_PL_PSA_3M </stp>
        <stp>[Copy of 02_cpr_main.xlsx]data!R140C14</stp>
        <tr r="N140" s="2"/>
      </tp>
      <tp>
        <v>1374.4</v>
        <stp/>
        <stp>##V3_BDPV12</stp>
        <stp>312967ME9 Mtge</stp>
        <stp xml:space="preserve">MTG_PL_PSA_6M </stp>
        <stp>[Copy of 02_cpr_main.xlsx]data!R141C15</stp>
        <tr r="O141" s="2"/>
      </tp>
      <tp>
        <v>0</v>
        <stp/>
        <stp>##V3_BDPV12</stp>
        <stp>312967ME9 Mtge</stp>
        <stp xml:space="preserve">MTG_PL_PSA_1M </stp>
        <stp>[Copy of 02_cpr_main.xlsx]data!R141C13</stp>
        <tr r="M141" s="2"/>
      </tp>
      <tp>
        <v>102.4</v>
        <stp/>
        <stp>##V3_BDPV12</stp>
        <stp>3128P7LU5 Mtge</stp>
        <stp xml:space="preserve">MTG_PL_PSA_1M </stp>
        <stp>[Copy of 02_cpr_main.xlsx]data!R102C13</stp>
        <tr r="M102" s="2"/>
      </tp>
      <tp>
        <v>1269.2</v>
        <stp/>
        <stp>##V3_BDPV12</stp>
        <stp>312967HF2 Mtge</stp>
        <stp xml:space="preserve">MTG_PL_PSA_6M </stp>
        <stp>[Copy of 02_cpr_main.xlsx]data!R140C15</stp>
        <tr r="O140" s="2"/>
      </tp>
      <tp>
        <v>1505.9</v>
        <stp/>
        <stp>##V3_BDPV12</stp>
        <stp>312967ME9 Mtge</stp>
        <stp xml:space="preserve">MTG_PL_PSA_3M </stp>
        <stp>[Copy of 02_cpr_main.xlsx]data!R141C14</stp>
        <tr r="N141" s="2"/>
      </tp>
      <tp>
        <v>218.8</v>
        <stp/>
        <stp>##V3_BDPV12</stp>
        <stp>3128P7LU5 Mtge</stp>
        <stp xml:space="preserve">MTG_PL_PSA_3M </stp>
        <stp>[Copy of 02_cpr_main.xlsx]data!R102C14</stp>
        <tr r="N102" s="2"/>
      </tp>
      <tp>
        <v>0</v>
        <stp/>
        <stp>##V3_BDPV12</stp>
        <stp>312967XJ6 Mtge</stp>
        <stp xml:space="preserve">MTG_PL_PSA_1M </stp>
        <stp>[Copy of 02_cpr_main.xlsx]data!R142C13</stp>
        <tr r="M142" s="2"/>
      </tp>
      <tp>
        <v>1579</v>
        <stp/>
        <stp>##V3_BDPV12</stp>
        <stp>312967XJ6 Mtge</stp>
        <stp xml:space="preserve">MTG_PL_PSA_3M </stp>
        <stp>[Copy of 02_cpr_main.xlsx]data!R142C14</stp>
        <tr r="N142" s="2"/>
      </tp>
      <tp>
        <v>1332.5</v>
        <stp/>
        <stp>##V3_BDPV12</stp>
        <stp>312967XJ6 Mtge</stp>
        <stp xml:space="preserve">MTG_PL_PSA_6M </stp>
        <stp>[Copy of 02_cpr_main.xlsx]data!R142C15</stp>
        <tr r="O142" s="2"/>
      </tp>
      <tp t="s">
        <v>#N/A Invalid Field</v>
        <stp/>
        <stp>##V3_BDHV12</stp>
        <stp>31410UQW5 Mtge</stp>
        <stp>MTG_GEN_CPR_12M</stp>
        <stp>20090610</stp>
        <stp>20090610</stp>
        <stp>[Copy of 02_cpr_main.xlsx]data!R385C10</stp>
        <stp>Dts=H</stp>
        <tr r="J385" s="2"/>
      </tp>
      <tp t="s">
        <v>#N/A Invalid Field</v>
        <stp/>
        <stp>##V3_BDHV12</stp>
        <stp>31412DYV4 Mtge</stp>
        <stp>MTG_GEN_CPR_12M</stp>
        <stp>20090610</stp>
        <stp>20090610</stp>
        <stp>[Copy of 02_cpr_main.xlsx]data!R404C10</stp>
        <stp>Dts=H</stp>
        <tr r="J404" s="2"/>
      </tp>
      <tp t="s">
        <v>#N/A Invalid Field</v>
        <stp/>
        <stp>##V3_BDHV12</stp>
        <stp>36213EWY8 Mtge</stp>
        <stp>MTG_GEN_CPR_12M</stp>
        <stp>20090610</stp>
        <stp>20090610</stp>
        <stp>[Copy of 02_cpr_main.xlsx]data!R487C10</stp>
        <stp>Dts=H</stp>
        <tr r="J487" s="2"/>
      </tp>
      <tp t="s">
        <v>#N/A Invalid Field</v>
        <stp/>
        <stp>##V3_BDHV12</stp>
        <stp>31411UPM7 Mtge</stp>
        <stp>MTG_GEN_CPR_12M</stp>
        <stp>20090610</stp>
        <stp>20090610</stp>
        <stp>[Copy of 02_cpr_main.xlsx]data!R396C10</stp>
        <stp>Dts=H</stp>
        <tr r="J396" s="2"/>
      </tp>
      <tp t="s">
        <v>#N/A Invalid Field</v>
        <stp/>
        <stp>##V3_BDHV12</stp>
        <stp>31298EZD0 Mtge</stp>
        <stp>MTG_GEN_CPR_12M</stp>
        <stp>20090610</stp>
        <stp>20090610</stp>
        <stp>[Copy of 02_cpr_main.xlsx]data!R152C10</stp>
        <stp>Dts=H</stp>
        <tr r="J152" s="2"/>
      </tp>
      <tp t="s">
        <v>#N/A Invalid Field</v>
        <stp/>
        <stp>##V3_BDHV12</stp>
        <stp>31402RR84 Mtge</stp>
        <stp>MTG_GEN_CPR_12M</stp>
        <stp>20090610</stp>
        <stp>20090610</stp>
        <stp>[Copy of 02_cpr_main.xlsx]data!R287C10</stp>
        <stp>Dts=H</stp>
        <tr r="J287" s="2"/>
      </tp>
      <tp t="s">
        <v>#N/A N/A</v>
        <stp/>
        <stp>##V3_BDPV12</stp>
        <stp>31287R2R9 Mtge</stp>
        <stp>MTG_PREPAY_SPEED</stp>
        <stp>[Copy of 02_cpr_main.xlsx]data!R37C12</stp>
        <tr r="L37" s="2"/>
      </tp>
      <tp t="s">
        <v>#N/A Invalid Field</v>
        <stp/>
        <stp>##V3_BDHV12</stp>
        <stp>31297GXZ9 Mtge</stp>
        <stp>MTG_GEN_CPR_12M</stp>
        <stp>20090610</stp>
        <stp>20090610</stp>
        <stp>[Copy of 02_cpr_main.xlsx]data!R148C10</stp>
        <stp>Dts=H</stp>
        <tr r="J148" s="2"/>
      </tp>
      <tp t="s">
        <v>#N/A Invalid Field</v>
        <stp/>
        <stp>##V3_BDHV12</stp>
        <stp>36210BTC9 Mtge</stp>
        <stp>MTG_GEN_CPR_12M</stp>
        <stp>20090610</stp>
        <stp>20090610</stp>
        <stp>[Copy of 02_cpr_main.xlsx]data!R483C10</stp>
        <stp>Dts=H</stp>
        <tr r="J483" s="2"/>
      </tp>
      <tp t="s">
        <v>#N/A Invalid Field</v>
        <stp/>
        <stp>##V3_BDHV12</stp>
        <stp>312967XJ6 Mtge</stp>
        <stp>MTG_GEN_CPR_12M</stp>
        <stp>20090610</stp>
        <stp>20090610</stp>
        <stp>[Copy of 02_cpr_main.xlsx]data!R142C10</stp>
        <stp>Dts=H</stp>
        <tr r="J142" s="2"/>
      </tp>
      <tp t="s">
        <v>#N/A Invalid Field</v>
        <stp/>
        <stp>##V3_BDHV12</stp>
        <stp>31412LZK9 Mtge</stp>
        <stp>MTG_GEN_CPR_12M</stp>
        <stp>20090610</stp>
        <stp>20090610</stp>
        <stp>[Copy of 02_cpr_main.xlsx]data!R408C10</stp>
        <stp>Dts=H</stp>
        <tr r="J408" s="2"/>
      </tp>
      <tp t="s">
        <v>#N/A Invalid Field</v>
        <stp/>
        <stp>##V3_BDHV12</stp>
        <stp>31406BYJ3 Mtge</stp>
        <stp>MTG_GEN_CPR_12M</stp>
        <stp>20090610</stp>
        <stp>20090610</stp>
        <stp>[Copy of 02_cpr_main.xlsx]data!R333C10</stp>
        <stp>Dts=H</stp>
        <tr r="J333" s="2"/>
      </tp>
      <tp t="s">
        <v>#N/A Invalid Field</v>
        <stp/>
        <stp>##V3_BDHV12</stp>
        <stp>31405YX48 Mtge</stp>
        <stp>MTG_GEN_CPR_12M</stp>
        <stp>20090610</stp>
        <stp>20090610</stp>
        <stp>[Copy of 02_cpr_main.xlsx]data!R331C10</stp>
        <stp>Dts=H</stp>
        <tr r="J331" s="2"/>
      </tp>
      <tp t="s">
        <v>#N/A N/A</v>
        <stp/>
        <stp>##V3_BDPV12</stp>
        <stp>3128H33R0 Mtge</stp>
        <stp>MTG_PREPAY_SPEED</stp>
        <stp>[Copy of 02_cpr_main.xlsx]data!R65C12</stp>
        <tr r="L65" s="2"/>
      </tp>
      <tp>
        <v>723.1</v>
        <stp/>
        <stp>##V3_BDPV12</stp>
        <stp>312965L87 Mtge</stp>
        <stp xml:space="preserve">MTG_PL_PSA_6M </stp>
        <stp>[Copy of 02_cpr_main.xlsx]data!R139C15</stp>
        <tr r="O139" s="2"/>
      </tp>
      <tp>
        <v>0</v>
        <stp/>
        <stp>##V3_BDPV12</stp>
        <stp>312965L87 Mtge</stp>
        <stp xml:space="preserve">MTG_PL_PSA_1M </stp>
        <stp>[Copy of 02_cpr_main.xlsx]data!R139C13</stp>
        <tr r="M139" s="2"/>
      </tp>
      <tp>
        <v>-421.4</v>
        <stp/>
        <stp>##V3_BDPV12</stp>
        <stp>312965L87 Mtge</stp>
        <stp xml:space="preserve">MTG_PL_PSA_3M </stp>
        <stp>[Copy of 02_cpr_main.xlsx]data!R139C14</stp>
        <tr r="N139" s="2"/>
      </tp>
      <tp t="s">
        <v>#N/A N/A</v>
        <stp/>
        <stp>##V3_BDPV12</stp>
        <stp>31283K3C0 Mtge</stp>
        <stp>MTG_PREPAY_SPEED</stp>
        <stp>[Copy of 02_cpr_main.xlsx]data!R34C12</stp>
        <tr r="L34" s="2"/>
      </tp>
      <tp t="s">
        <v>#N/A N/A</v>
        <stp/>
        <stp>##V3_BDPV12</stp>
        <stp>3128MB3A3 Mtge</stp>
        <stp>MTG_PREPAY_SPEED</stp>
        <stp>[Copy of 02_cpr_main.xlsx]data!R92C12</stp>
        <tr r="L92" s="2"/>
      </tp>
      <tp t="s">
        <v>#N/A Invalid Field</v>
        <stp/>
        <stp>##V3_BDHV12</stp>
        <stp>31403ARS6 Mtge</stp>
        <stp>MTG_GEN_CPR_12M</stp>
        <stp>20090610</stp>
        <stp>20090610</stp>
        <stp>[Copy of 02_cpr_main.xlsx]data!R291C10</stp>
        <stp>Dts=H</stp>
        <tr r="J291" s="2"/>
      </tp>
      <tp t="s">
        <v>#N/A Invalid Field</v>
        <stp/>
        <stp>##V3_BDHV12</stp>
        <stp>31405XXV0 Mtge</stp>
        <stp>MTG_GEN_CPR_12M</stp>
        <stp>20090610</stp>
        <stp>20090610</stp>
        <stp>[Copy of 02_cpr_main.xlsx]data!R330C10</stp>
        <stp>Dts=H</stp>
        <tr r="J330" s="2"/>
      </tp>
      <tp t="s">
        <v>#N/A Invalid Field</v>
        <stp/>
        <stp>##V3_BDHV12</stp>
        <stp>31405YXX4 Mtge</stp>
        <stp>MTG_GEN_CPR_12M</stp>
        <stp>20090610</stp>
        <stp>20090610</stp>
        <stp>[Copy of 02_cpr_main.xlsx]data!R332C10</stp>
        <stp>Dts=H</stp>
        <tr r="J332" s="2"/>
      </tp>
      <tp t="s">
        <v>#N/A Invalid Field</v>
        <stp/>
        <stp>##V3_BDHV12</stp>
        <stp>31384VR53 Mtge</stp>
        <stp>MTG_GEN_CPR_12M</stp>
        <stp>20090610</stp>
        <stp>20090610</stp>
        <stp>[Copy of 02_cpr_main.xlsx]data!R210C10</stp>
        <stp>Dts=H</stp>
        <tr r="J210" s="2"/>
      </tp>
      <tp t="s">
        <v>#N/A Invalid Field</v>
        <stp/>
        <stp>##V3_BDHV12</stp>
        <stp>31403DTT6 Mtge</stp>
        <stp>MTG_GEN_CPR_12M</stp>
        <stp>20090610</stp>
        <stp>20090610</stp>
        <stp>[Copy of 02_cpr_main.xlsx]data!R302C10</stp>
        <stp>Dts=H</stp>
        <tr r="J302" s="2"/>
      </tp>
      <tp t="s">
        <v>#N/A Invalid Field</v>
        <stp/>
        <stp>##V3_BDHV12</stp>
        <stp>31413UWD7 Mtge</stp>
        <stp>MTG_GEN_CPR_12M</stp>
        <stp>20090610</stp>
        <stp>20090610</stp>
        <stp>[Copy of 02_cpr_main.xlsx]data!R434C10</stp>
        <stp>Dts=H</stp>
        <tr r="J434" s="2"/>
      </tp>
      <tp t="s">
        <v>#N/A Invalid Field</v>
        <stp/>
        <stp>##V3_BDHV12</stp>
        <stp>36200MTF0 Mtge</stp>
        <stp>MTG_GEN_CPR_12M</stp>
        <stp>20090610</stp>
        <stp>20090610</stp>
        <stp>[Copy of 02_cpr_main.xlsx]data!R466C10</stp>
        <stp>Dts=H</stp>
        <tr r="J466" s="2"/>
      </tp>
      <tp t="s">
        <v>#N/A Invalid Field</v>
        <stp/>
        <stp>##V3_BDHV12</stp>
        <stp>31415WQC0 Mtge</stp>
        <stp>MTG_GEN_CPR_12M</stp>
        <stp>20090610</stp>
        <stp>20090610</stp>
        <stp>[Copy of 02_cpr_main.xlsx]data!R457C10</stp>
        <stp>Dts=H</stp>
        <tr r="J457" s="2"/>
      </tp>
      <tp t="s">
        <v>#N/A Invalid Field</v>
        <stp/>
        <stp>##V3_BDHV12</stp>
        <stp>31384VRC8 Mtge</stp>
        <stp>MTG_GEN_CPR_12M</stp>
        <stp>20090610</stp>
        <stp>20090610</stp>
        <stp>[Copy of 02_cpr_main.xlsx]data!R211C10</stp>
        <stp>Dts=H</stp>
        <tr r="J211" s="2"/>
      </tp>
      <tp t="s">
        <v>#N/A Invalid Field</v>
        <stp/>
        <stp>##V3_BDHV12</stp>
        <stp>31402QSL6 Mtge</stp>
        <stp>MTG_GEN_CPR_12M</stp>
        <stp>20090610</stp>
        <stp>20090610</stp>
        <stp>[Copy of 02_cpr_main.xlsx]data!R276C10</stp>
        <stp>Dts=H</stp>
        <tr r="J276" s="2"/>
      </tp>
      <tp t="s">
        <v>#N/A Invalid Field</v>
        <stp/>
        <stp>##V3_BDHV12</stp>
        <stp>31405UVD8 Mtge</stp>
        <stp>MTG_GEN_CPR_12M</stp>
        <stp>20090610</stp>
        <stp>20090610</stp>
        <stp>[Copy of 02_cpr_main.xlsx]data!R328C10</stp>
        <stp>Dts=H</stp>
        <tr r="J328" s="2"/>
      </tp>
      <tp t="s">
        <v>#N/A Invalid Field</v>
        <stp/>
        <stp>##V3_BDHV12</stp>
        <stp>31412ETK2 Mtge</stp>
        <stp>MTG_GEN_CPR_12M</stp>
        <stp>20090610</stp>
        <stp>20090610</stp>
        <stp>[Copy of 02_cpr_main.xlsx]data!R405C10</stp>
        <stp>Dts=H</stp>
        <tr r="J405" s="2"/>
      </tp>
      <tp t="s">
        <v>#N/A Invalid Field</v>
        <stp/>
        <stp>##V3_BDHV12</stp>
        <stp>31400KQ66 Mtge</stp>
        <stp>MTG_GEN_CPR_12M</stp>
        <stp>20090610</stp>
        <stp>20090610</stp>
        <stp>[Copy of 02_cpr_main.xlsx]data!R247C10</stp>
        <stp>Dts=H</stp>
        <tr r="J247" s="2"/>
      </tp>
      <tp t="s">
        <v>#N/A Invalid Field</v>
        <stp/>
        <stp>##V3_BDHV12</stp>
        <stp>31410KR22 Mtge</stp>
        <stp>MTG_GEN_CPR_12M</stp>
        <stp>20090610</stp>
        <stp>20090610</stp>
        <stp>[Copy of 02_cpr_main.xlsx]data!R374C10</stp>
        <stp>Dts=H</stp>
        <tr r="J374" s="2"/>
      </tp>
      <tp t="s">
        <v>#N/A Invalid Field</v>
        <stp/>
        <stp>##V3_BDHV12</stp>
        <stp>31406VQ74 Mtge</stp>
        <stp>MTG_GEN_CPR_12M</stp>
        <stp>20090610</stp>
        <stp>20090610</stp>
        <stp>[Copy of 02_cpr_main.xlsx]data!R340C10</stp>
        <stp>Dts=H</stp>
        <tr r="J340" s="2"/>
      </tp>
      <tp t="s">
        <v>#N/A Invalid Field</v>
        <stp/>
        <stp>##V3_BDHV12</stp>
        <stp>31414CV88 Mtge</stp>
        <stp>MTG_GEN_CPR_12M</stp>
        <stp>20090610</stp>
        <stp>20090610</stp>
        <stp>[Copy of 02_cpr_main.xlsx]data!R435C10</stp>
        <stp>Dts=H</stp>
        <tr r="J435" s="2"/>
      </tp>
      <tp t="s">
        <v>#N/A Invalid Field</v>
        <stp/>
        <stp>##V3_BDHV12</stp>
        <stp>31401XSY4 Mtge</stp>
        <stp>MTG_GEN_CPR_12M</stp>
        <stp>20090610</stp>
        <stp>20090610</stp>
        <stp>[Copy of 02_cpr_main.xlsx]data!R260C10</stp>
        <stp>Dts=H</stp>
        <tr r="J260" s="2"/>
      </tp>
      <tp t="s">
        <v>#N/A Invalid Field</v>
        <stp/>
        <stp>##V3_BDHV12</stp>
        <stp>31410KRX4 Mtge</stp>
        <stp>MTG_GEN_CPR_12M</stp>
        <stp>20090610</stp>
        <stp>20090610</stp>
        <stp>[Copy of 02_cpr_main.xlsx]data!R375C10</stp>
        <stp>Dts=H</stp>
        <tr r="J375" s="2"/>
      </tp>
      <tp t="s">
        <v>#N/A Invalid Field</v>
        <stp/>
        <stp>##V3_BDHV12</stp>
        <stp>31405JWZ3 Mtge</stp>
        <stp>MTG_GEN_CPR_12M</stp>
        <stp>20090610</stp>
        <stp>20090610</stp>
        <stp>[Copy of 02_cpr_main.xlsx]data!R326C10</stp>
        <stp>Dts=H</stp>
        <tr r="J326" s="2"/>
      </tp>
      <tp t="s">
        <v>#N/A Invalid Field</v>
        <stp/>
        <stp>##V3_BDHV12</stp>
        <stp>31382RRH8 Mtge</stp>
        <stp>MTG_GEN_CPR_12M</stp>
        <stp>20090610</stp>
        <stp>20090610</stp>
        <stp>[Copy of 02_cpr_main.xlsx]data!R202C10</stp>
        <stp>Dts=H</stp>
        <tr r="J202" s="2"/>
      </tp>
      <tp t="s">
        <v>#N/A Invalid Field</v>
        <stp/>
        <stp>##V3_BDHV12</stp>
        <stp>31410GRN5 Mtge</stp>
        <stp>MTG_GEN_CPR_12M</stp>
        <stp>20090610</stp>
        <stp>20090610</stp>
        <stp>[Copy of 02_cpr_main.xlsx]data!R372C10</stp>
        <stp>Dts=H</stp>
        <tr r="J372" s="2"/>
      </tp>
      <tp t="s">
        <v>#N/A Invalid Field</v>
        <stp/>
        <stp>##V3_BDHV12</stp>
        <stp>31410GRM7 Mtge</stp>
        <stp>MTG_GEN_CPR_12M</stp>
        <stp>20090610</stp>
        <stp>20090610</stp>
        <stp>[Copy of 02_cpr_main.xlsx]data!R371C10</stp>
        <stp>Dts=H</stp>
        <tr r="J371" s="2"/>
      </tp>
      <tp t="s">
        <v>#N/A Invalid Field</v>
        <stp/>
        <stp>##V3_BDHV12</stp>
        <stp>36291PSB3 Mtge</stp>
        <stp>MTG_GEN_CPR_12M</stp>
        <stp>20090610</stp>
        <stp>20090610</stp>
        <stp>[Copy of 02_cpr_main.xlsx]data!R504C10</stp>
        <stp>Dts=H</stp>
        <tr r="J504" s="2"/>
      </tp>
      <tp t="s">
        <v>#N/A Invalid Field</v>
        <stp/>
        <stp>##V3_BDHV12</stp>
        <stp>31403DV22 Mtge</stp>
        <stp>MTG_GEN_CPR_12M</stp>
        <stp>20090610</stp>
        <stp>20090610</stp>
        <stp>[Copy of 02_cpr_main.xlsx]data!R303C10</stp>
        <stp>Dts=H</stp>
        <tr r="J303" s="2"/>
      </tp>
      <tp t="s">
        <v>#N/A Invalid Field</v>
        <stp/>
        <stp>##V3_BDHV12</stp>
        <stp>3128NHP98 Mtge</stp>
        <stp>MTG_GEN_CPR_12M</stp>
        <stp>20090610</stp>
        <stp>20090610</stp>
        <stp>[Copy of 02_cpr_main.xlsx]data!R100C10</stp>
        <stp>Dts=H</stp>
        <tr r="J100" s="2"/>
      </tp>
      <tp t="s">
        <v>#N/A Invalid Field</v>
        <stp/>
        <stp>##V3_BDHV12</stp>
        <stp>36209EX56 Mtge</stp>
        <stp>MTG_GEN_CPR_12M</stp>
        <stp>20090610</stp>
        <stp>20090610</stp>
        <stp>[Copy of 02_cpr_main.xlsx]data!R481C10</stp>
        <stp>Dts=H</stp>
        <tr r="J481" s="2"/>
      </tp>
      <tp t="s">
        <v>#N/A Invalid Field</v>
        <stp/>
        <stp>##V3_BDHV12</stp>
        <stp>31410GQ55 Mtge</stp>
        <stp>MTG_GEN_CPR_12M</stp>
        <stp>20090610</stp>
        <stp>20090610</stp>
        <stp>[Copy of 02_cpr_main.xlsx]data!R370C10</stp>
        <stp>Dts=H</stp>
        <tr r="J370" s="2"/>
      </tp>
      <tp t="s">
        <v>#N/A Invalid Field</v>
        <stp/>
        <stp>##V3_BDHV12</stp>
        <stp>3128PLP22 Mtge</stp>
        <stp>MTG_GEN_CPR_12M</stp>
        <stp>20090610</stp>
        <stp>20090610</stp>
        <stp>[Copy of 02_cpr_main.xlsx]data!R103C10</stp>
        <stp>Dts=H</stp>
        <tr r="J103" s="2"/>
      </tp>
      <tp t="s">
        <v>#N/A Invalid Field</v>
        <stp/>
        <stp>##V3_BDHV12</stp>
        <stp>31384VQR6 Mtge</stp>
        <stp>MTG_GEN_CPR_12M</stp>
        <stp>20090610</stp>
        <stp>20090610</stp>
        <stp>[Copy of 02_cpr_main.xlsx]data!R209C10</stp>
        <stp>Dts=H</stp>
        <tr r="J209" s="2"/>
      </tp>
      <tp t="s">
        <v>#N/A Invalid Field</v>
        <stp/>
        <stp>##V3_BDHV12</stp>
        <stp>31415XSZ5 Mtge</stp>
        <stp>MTG_GEN_CPR_12M</stp>
        <stp>20090610</stp>
        <stp>20090610</stp>
        <stp>[Copy of 02_cpr_main.xlsx]data!R459C10</stp>
        <stp>Dts=H</stp>
        <tr r="J459" s="2"/>
      </tp>
      <tp t="s">
        <v>#N/A Invalid Field</v>
        <stp/>
        <stp>##V3_BDHV12</stp>
        <stp>31294KSM8 Mtge</stp>
        <stp>MTG_GEN_CPR_12M</stp>
        <stp>20090610</stp>
        <stp>20090610</stp>
        <stp>[Copy of 02_cpr_main.xlsx]data!R134C10</stp>
        <stp>Dts=H</stp>
        <tr r="J134" s="2"/>
      </tp>
      <tp t="s">
        <v>#N/A Invalid Field</v>
        <stp/>
        <stp>##V3_BDHV12</stp>
        <stp>31410EPE2 Mtge</stp>
        <stp>MTG_GEN_CPR_12M</stp>
        <stp>20090610</stp>
        <stp>20090610</stp>
        <stp>[Copy of 02_cpr_main.xlsx]data!R361C10</stp>
        <stp>Dts=H</stp>
        <tr r="J361" s="2"/>
      </tp>
      <tp t="s">
        <v>#N/A Invalid Field</v>
        <stp/>
        <stp>##V3_BDHV12</stp>
        <stp>31410KQJ6 Mtge</stp>
        <stp>MTG_GEN_CPR_12M</stp>
        <stp>20090610</stp>
        <stp>20090610</stp>
        <stp>[Copy of 02_cpr_main.xlsx]data!R373C10</stp>
        <stp>Dts=H</stp>
        <tr r="J373" s="2"/>
      </tp>
      <tp t="s">
        <v>#N/A Invalid Field</v>
        <stp/>
        <stp>##V3_BDHV12</stp>
        <stp>31402CPL0 Mtge</stp>
        <stp>MTG_GEN_CPR_12M</stp>
        <stp>20090610</stp>
        <stp>20090610</stp>
        <stp>[Copy of 02_cpr_main.xlsx]data!R264C10</stp>
        <stp>Dts=H</stp>
        <tr r="J264" s="2"/>
      </tp>
      <tp t="s">
        <v>#N/A Invalid Field</v>
        <stp/>
        <stp>##V3_BDHV12</stp>
        <stp>31382XQE3 Mtge</stp>
        <stp>MTG_GEN_CPR_12M</stp>
        <stp>20090610</stp>
        <stp>20090610</stp>
        <stp>[Copy of 02_cpr_main.xlsx]data!R206C10</stp>
        <stp>Dts=H</stp>
        <tr r="J206" s="2"/>
      </tp>
      <tp t="s">
        <v>#N/A Invalid Field</v>
        <stp/>
        <stp>##V3_BDHV12</stp>
        <stp>31404WTM8 Mtge</stp>
        <stp>MTG_GEN_CPR_12M</stp>
        <stp>20090610</stp>
        <stp>20090610</stp>
        <stp>[Copy of 02_cpr_main.xlsx]data!R320C10</stp>
        <stp>Dts=H</stp>
        <tr r="J320" s="2"/>
      </tp>
      <tp t="s">
        <v>#N/A Invalid Field</v>
        <stp/>
        <stp>##V3_BDHV12</stp>
        <stp>36225BYJ1 Mtge</stp>
        <stp>MTG_GEN_CPR_12M</stp>
        <stp>20090610</stp>
        <stp>20090610</stp>
        <stp>[Copy of 02_cpr_main.xlsx]data!R495C10</stp>
        <stp>Dts=H</stp>
        <tr r="J495" s="2"/>
      </tp>
      <tp t="s">
        <v>#N/A Invalid Field</v>
        <stp/>
        <stp>##V3_BDHV12</stp>
        <stp>31415RR30 Mtge</stp>
        <stp>MTG_GEN_CPR_12M</stp>
        <stp>20090610</stp>
        <stp>20090610</stp>
        <stp>[Copy of 02_cpr_main.xlsx]data!R453C10</stp>
        <stp>Dts=H</stp>
        <tr r="J453" s="2"/>
      </tp>
      <tp t="s">
        <v>#N/A Invalid Field</v>
        <stp/>
        <stp>##V3_BDHV12</stp>
        <stp>31401KR49 Mtge</stp>
        <stp>MTG_GEN_CPR_12M</stp>
        <stp>20090610</stp>
        <stp>20090610</stp>
        <stp>[Copy of 02_cpr_main.xlsx]data!R257C10</stp>
        <stp>Dts=H</stp>
        <tr r="J257" s="2"/>
      </tp>
      <tp t="s">
        <v>#N/A Invalid Field</v>
        <stp/>
        <stp>##V3_BDHV12</stp>
        <stp>31402DP79 Mtge</stp>
        <stp>MTG_GEN_CPR_12M</stp>
        <stp>20090610</stp>
        <stp>20090610</stp>
        <stp>[Copy of 02_cpr_main.xlsx]data!R270C10</stp>
        <stp>Dts=H</stp>
        <tr r="J270" s="2"/>
      </tp>
      <tp t="s">
        <v>#N/A Invalid Field</v>
        <stp/>
        <stp>##V3_BDHV12</stp>
        <stp>31409TRU4 Mtge</stp>
        <stp>MTG_GEN_CPR_12M</stp>
        <stp>20090610</stp>
        <stp>20090610</stp>
        <stp>[Copy of 02_cpr_main.xlsx]data!R354C10</stp>
        <stp>Dts=H</stp>
        <tr r="J354" s="2"/>
      </tp>
      <tp t="s">
        <v>#N/A Invalid Field</v>
        <stp/>
        <stp>##V3_BDHV12</stp>
        <stp>31403DWU9 Mtge</stp>
        <stp>MTG_GEN_CPR_12M</stp>
        <stp>20090610</stp>
        <stp>20090610</stp>
        <stp>[Copy of 02_cpr_main.xlsx]data!R304C10</stp>
        <stp>Dts=H</stp>
        <tr r="J304" s="2"/>
      </tp>
      <tp t="s">
        <v>#N/A Invalid Field</v>
        <stp/>
        <stp>##V3_BDHV12</stp>
        <stp>31294KRY3 Mtge</stp>
        <stp>MTG_GEN_CPR_12M</stp>
        <stp>20090610</stp>
        <stp>20090610</stp>
        <stp>[Copy of 02_cpr_main.xlsx]data!R133C10</stp>
        <stp>Dts=H</stp>
        <tr r="J133" s="2"/>
      </tp>
      <tp t="s">
        <v>#N/A Invalid Field</v>
        <stp/>
        <stp>##V3_BDHV12</stp>
        <stp>31407WSP9 Mtge</stp>
        <stp>MTG_GEN_CPR_12M</stp>
        <stp>20090610</stp>
        <stp>20090610</stp>
        <stp>[Copy of 02_cpr_main.xlsx]data!R347C10</stp>
        <stp>Dts=H</stp>
        <tr r="J347" s="2"/>
      </tp>
      <tp t="s">
        <v>#N/A Invalid Field</v>
        <stp/>
        <stp>##V3_BDHV12</stp>
        <stp>31335HUZ4 Mtge</stp>
        <stp>MTG_GEN_CPR_12M</stp>
        <stp>20090610</stp>
        <stp>20090610</stp>
        <stp>[Copy of 02_cpr_main.xlsx]data!R155C10</stp>
        <stp>Dts=H</stp>
        <tr r="J155" s="2"/>
      </tp>
      <tp t="s">
        <v>#N/A Invalid Field</v>
        <stp/>
        <stp>##V3_BDHV12</stp>
        <stp>31402CQZ8 Mtge</stp>
        <stp>MTG_GEN_CPR_12M</stp>
        <stp>20090610</stp>
        <stp>20090610</stp>
        <stp>[Copy of 02_cpr_main.xlsx]data!R265C10</stp>
        <stp>Dts=H</stp>
        <tr r="J265" s="2"/>
      </tp>
      <tp t="s">
        <v>#N/A Invalid Field</v>
        <stp/>
        <stp>##V3_BDHV12</stp>
        <stp>31404EVB9 Mtge</stp>
        <stp>MTG_GEN_CPR_12M</stp>
        <stp>20090610</stp>
        <stp>20090610</stp>
        <stp>[Copy of 02_cpr_main.xlsx]data!R312C10</stp>
        <stp>Dts=H</stp>
        <tr r="J312" s="2"/>
      </tp>
      <tp t="s">
        <v>#N/A Invalid Field</v>
        <stp/>
        <stp>##V3_BDHV12</stp>
        <stp>31391QTJ3 Mtge</stp>
        <stp>MTG_GEN_CPR_12M</stp>
        <stp>20090610</stp>
        <stp>20090610</stp>
        <stp>[Copy of 02_cpr_main.xlsx]data!R240C10</stp>
        <stp>Dts=H</stp>
        <tr r="J240" s="2"/>
      </tp>
      <tp t="s">
        <v>#N/A Invalid Field</v>
        <stp/>
        <stp>##V3_BDHV12</stp>
        <stp>31391YTH0 Mtge</stp>
        <stp>MTG_GEN_CPR_12M</stp>
        <stp>20090610</stp>
        <stp>20090610</stp>
        <stp>[Copy of 02_cpr_main.xlsx]data!R243C10</stp>
        <stp>Dts=H</stp>
        <tr r="J243" s="2"/>
      </tp>
      <tp t="s">
        <v>#N/A Invalid Field</v>
        <stp/>
        <stp>##V3_BDHV12</stp>
        <stp>31412BWG3 Mtge</stp>
        <stp>MTG_GEN_CPR_12M</stp>
        <stp>20090610</stp>
        <stp>20090610</stp>
        <stp>[Copy of 02_cpr_main.xlsx]data!R403C10</stp>
        <stp>Dts=H</stp>
        <tr r="J403" s="2"/>
      </tp>
      <tp t="s">
        <v>#N/A Invalid Field</v>
        <stp/>
        <stp>##V3_BDHV12</stp>
        <stp>31371MWJ2 Mtge</stp>
        <stp>MTG_GEN_CPR_12M</stp>
        <stp>20090610</stp>
        <stp>20090610</stp>
        <stp>[Copy of 02_cpr_main.xlsx]data!R179C10</stp>
        <stp>Dts=H</stp>
        <tr r="J179" s="2"/>
      </tp>
      <tp t="s">
        <v>#N/A Invalid Field</v>
        <stp/>
        <stp>##V3_BDHV12</stp>
        <stp>31414TSB8 Mtge</stp>
        <stp>MTG_GEN_CPR_12M</stp>
        <stp>20090610</stp>
        <stp>20090610</stp>
        <stp>[Copy of 02_cpr_main.xlsx]data!R445C10</stp>
        <stp>Dts=H</stp>
        <tr r="J445" s="2"/>
      </tp>
      <tp t="s">
        <v>#N/A Invalid Field</v>
        <stp/>
        <stp>##V3_BDHV12</stp>
        <stp>31382PPC5 Mtge</stp>
        <stp>MTG_GEN_CPR_12M</stp>
        <stp>20090610</stp>
        <stp>20090610</stp>
        <stp>[Copy of 02_cpr_main.xlsx]data!R201C10</stp>
        <stp>Dts=H</stp>
        <tr r="J201" s="2"/>
      </tp>
      <tp t="s">
        <v>#N/A Invalid Field</v>
        <stp/>
        <stp>##V3_BDHV12</stp>
        <stp>31371KWH0 Mtge</stp>
        <stp>MTG_GEN_CPR_12M</stp>
        <stp>20090610</stp>
        <stp>20090610</stp>
        <stp>[Copy of 02_cpr_main.xlsx]data!R173C10</stp>
        <stp>Dts=H</stp>
        <tr r="J173" s="2"/>
      </tp>
      <tp t="s">
        <v>#N/A Invalid Field</v>
        <stp/>
        <stp>##V3_BDHV12</stp>
        <stp>31410WX37 Mtge</stp>
        <stp>MTG_GEN_CPR_12M</stp>
        <stp>20090610</stp>
        <stp>20090610</stp>
        <stp>[Copy of 02_cpr_main.xlsx]data!R387C10</stp>
        <stp>Dts=H</stp>
        <tr r="J387" s="2"/>
      </tp>
      <tp t="s">
        <v>#N/A Invalid Field</v>
        <stp/>
        <stp>##V3_BDHV12</stp>
        <stp>36294NV54 Mtge</stp>
        <stp>MTG_GEN_CPR_12M</stp>
        <stp>20090610</stp>
        <stp>20090610</stp>
        <stp>[Copy of 02_cpr_main.xlsx]data!R505C10</stp>
        <stp>Dts=H</stp>
        <tr r="J505" s="2"/>
      </tp>
      <tp t="s">
        <v>#N/A Invalid Field</v>
        <stp/>
        <stp>##V3_BDHV12</stp>
        <stp>31413QS90 Mtge</stp>
        <stp>MTG_GEN_CPR_12M</stp>
        <stp>20090610</stp>
        <stp>20090610</stp>
        <stp>[Copy of 02_cpr_main.xlsx]data!R431C10</stp>
        <stp>Dts=H</stp>
        <tr r="J431" s="2"/>
      </tp>
      <tp t="s">
        <v>#N/A Invalid Field</v>
        <stp/>
        <stp>##V3_BDHV12</stp>
        <stp>31371HQS0 Mtge</stp>
        <stp>MTG_GEN_CPR_12M</stp>
        <stp>20090610</stp>
        <stp>20090610</stp>
        <stp>[Copy of 02_cpr_main.xlsx]data!R165C10</stp>
        <stp>Dts=H</stp>
        <tr r="J165" s="2"/>
      </tp>
      <tp t="s">
        <v>#N/A Invalid Field</v>
        <stp/>
        <stp>##V3_BDHV12</stp>
        <stp>31412BPZ9 Mtge</stp>
        <stp>MTG_GEN_CPR_12M</stp>
        <stp>20090610</stp>
        <stp>20090610</stp>
        <stp>[Copy of 02_cpr_main.xlsx]data!R402C10</stp>
        <stp>Dts=H</stp>
        <tr r="J402" s="2"/>
      </tp>
      <tp t="s">
        <v>#N/A Invalid Field</v>
        <stp/>
        <stp>##V3_BDHV12</stp>
        <stp>31371HQY7 Mtge</stp>
        <stp>MTG_GEN_CPR_12M</stp>
        <stp>20090610</stp>
        <stp>20090610</stp>
        <stp>[Copy of 02_cpr_main.xlsx]data!R166C10</stp>
        <stp>Dts=H</stp>
        <tr r="J166" s="2"/>
      </tp>
      <tp t="s">
        <v>#N/A Invalid Field</v>
        <stp/>
        <stp>##V3_BDHV12</stp>
        <stp>3128QHVC1 Mtge</stp>
        <stp>MTG_GEN_CPR_12M</stp>
        <stp>20090610</stp>
        <stp>20090610</stp>
        <stp>[Copy of 02_cpr_main.xlsx]data!R108C10</stp>
        <stp>Dts=H</stp>
        <tr r="J108" s="2"/>
      </tp>
      <tp t="s">
        <v>#N/A Invalid Field</v>
        <stp/>
        <stp>##V3_BDHV12</stp>
        <stp>31409TUG1 Mtge</stp>
        <stp>MTG_GEN_CPR_12M</stp>
        <stp>20090610</stp>
        <stp>20090610</stp>
        <stp>[Copy of 02_cpr_main.xlsx]data!R355C10</stp>
        <stp>Dts=H</stp>
        <tr r="J355" s="2"/>
      </tp>
      <tp t="s">
        <v>#N/A Invalid Field</v>
        <stp/>
        <stp>##V3_BDHV12</stp>
        <stp>31401JUA4 Mtge</stp>
        <stp>MTG_GEN_CPR_12M</stp>
        <stp>20090610</stp>
        <stp>20090610</stp>
        <stp>[Copy of 02_cpr_main.xlsx]data!R255C10</stp>
        <stp>Dts=H</stp>
        <tr r="J255" s="2"/>
      </tp>
      <tp t="s">
        <v>#N/A Invalid Field</v>
        <stp/>
        <stp>##V3_BDHV12</stp>
        <stp>31411AYF6 Mtge</stp>
        <stp>MTG_GEN_CPR_12M</stp>
        <stp>20090610</stp>
        <stp>20090610</stp>
        <stp>[Copy of 02_cpr_main.xlsx]data!R390C10</stp>
        <stp>Dts=H</stp>
        <tr r="J390" s="2"/>
      </tp>
      <tp t="s">
        <v>#N/A Invalid Field</v>
        <stp/>
        <stp>##V3_BDHV12</stp>
        <stp>31402QWA5 Mtge</stp>
        <stp>MTG_GEN_CPR_12M</stp>
        <stp>20090610</stp>
        <stp>20090610</stp>
        <stp>[Copy of 02_cpr_main.xlsx]data!R277C10</stp>
        <stp>Dts=H</stp>
        <tr r="J277" s="2"/>
      </tp>
      <tp t="s">
        <v>#N/A Invalid Field</v>
        <stp/>
        <stp>##V3_BDHV12</stp>
        <stp>31390JTB7 Mtge</stp>
        <stp>MTG_GEN_CPR_12M</stp>
        <stp>20090610</stp>
        <stp>20090610</stp>
        <stp>[Copy of 02_cpr_main.xlsx]data!R232C10</stp>
        <stp>Dts=H</stp>
        <tr r="J232" s="2"/>
      </tp>
      <tp t="s">
        <v>#N/A Invalid Field</v>
        <stp/>
        <stp>##V3_BDHV12</stp>
        <stp>31390QTD7 Mtge</stp>
        <stp>MTG_GEN_CPR_12M</stp>
        <stp>20090610</stp>
        <stp>20090610</stp>
        <stp>[Copy of 02_cpr_main.xlsx]data!R234C10</stp>
        <stp>Dts=H</stp>
        <tr r="J234" s="2"/>
      </tp>
      <tp t="s">
        <v>#N/A Invalid Field</v>
        <stp/>
        <stp>##V3_BDHV12</stp>
        <stp>36291JVC1 Mtge</stp>
        <stp>MTG_GEN_CPR_12M</stp>
        <stp>20090610</stp>
        <stp>20090610</stp>
        <stp>[Copy of 02_cpr_main.xlsx]data!R502C10</stp>
        <stp>Dts=H</stp>
        <tr r="J502" s="2"/>
      </tp>
      <tp t="s">
        <v>#N/A Invalid Field</v>
        <stp/>
        <stp>##V3_BDHV12</stp>
        <stp>31414PTH2 Mtge</stp>
        <stp>MTG_GEN_CPR_12M</stp>
        <stp>20090610</stp>
        <stp>20090610</stp>
        <stp>[Copy of 02_cpr_main.xlsx]data!R442C10</stp>
        <stp>Dts=H</stp>
        <tr r="J442" s="2"/>
      </tp>
      <tp t="s">
        <v>#N/A Invalid Field</v>
        <stp/>
        <stp>##V3_BDHV12</stp>
        <stp>31416BVN5 Mtge</stp>
        <stp>MTG_GEN_CPR_12M</stp>
        <stp>20090610</stp>
        <stp>20090610</stp>
        <stp>[Copy of 02_cpr_main.xlsx]data!R460C10</stp>
        <stp>Dts=H</stp>
        <tr r="J460" s="2"/>
      </tp>
      <tp t="s">
        <v>#N/A Invalid Field</v>
        <stp/>
        <stp>##V3_BDHV12</stp>
        <stp>31403DQT9 Mtge</stp>
        <stp>MTG_GEN_CPR_12M</stp>
        <stp>20090610</stp>
        <stp>20090610</stp>
        <stp>[Copy of 02_cpr_main.xlsx]data!R300C10</stp>
        <stp>Dts=H</stp>
        <tr r="J300" s="2"/>
      </tp>
      <tp t="s">
        <v>#N/A Invalid Field</v>
        <stp/>
        <stp>##V3_BDHV12</stp>
        <stp>31391PUV6 Mtge</stp>
        <stp>MTG_GEN_CPR_12M</stp>
        <stp>20090610</stp>
        <stp>20090610</stp>
        <stp>[Copy of 02_cpr_main.xlsx]data!R239C10</stp>
        <stp>Dts=H</stp>
        <tr r="J239" s="2"/>
      </tp>
      <tp t="s">
        <v>#N/A Invalid Field</v>
        <stp/>
        <stp>##V3_BDHV12</stp>
        <stp>31371LQW2 Mtge</stp>
        <stp>MTG_GEN_CPR_12M</stp>
        <stp>20090610</stp>
        <stp>20090610</stp>
        <stp>[Copy of 02_cpr_main.xlsx]data!R176C10</stp>
        <stp>Dts=H</stp>
        <tr r="J176" s="2"/>
      </tp>
      <tp t="s">
        <v>#N/A Invalid Field</v>
        <stp/>
        <stp>##V3_BDHV12</stp>
        <stp>31401JTD0 Mtge</stp>
        <stp>MTG_GEN_CPR_12M</stp>
        <stp>20090610</stp>
        <stp>20090610</stp>
        <stp>[Copy of 02_cpr_main.xlsx]data!R254C10</stp>
        <stp>Dts=H</stp>
        <tr r="J254" s="2"/>
      </tp>
      <tp t="s">
        <v>#N/A Invalid Field</v>
        <stp/>
        <stp>##V3_BDHV12</stp>
        <stp>31296RSK5 Mtge</stp>
        <stp>MTG_GEN_CPR_12M</stp>
        <stp>20090610</stp>
        <stp>20090610</stp>
        <stp>[Copy of 02_cpr_main.xlsx]data!R145C10</stp>
        <stp>Dts=H</stp>
        <tr r="J145" s="2"/>
      </tp>
      <tp t="s">
        <v>#N/A Invalid Field</v>
        <stp/>
        <stp>##V3_BDHV12</stp>
        <stp>31410PYM9 Mtge</stp>
        <stp>MTG_GEN_CPR_12M</stp>
        <stp>20090610</stp>
        <stp>20090610</stp>
        <stp>[Copy of 02_cpr_main.xlsx]data!R380C10</stp>
        <stp>Dts=H</stp>
        <tr r="J380" s="2"/>
      </tp>
      <tp t="s">
        <v>#N/A Invalid Field</v>
        <stp/>
        <stp>##V3_BDHV12</stp>
        <stp>31403DR68 Mtge</stp>
        <stp>MTG_GEN_CPR_12M</stp>
        <stp>20090610</stp>
        <stp>20090610</stp>
        <stp>[Copy of 02_cpr_main.xlsx]data!R301C10</stp>
        <stp>Dts=H</stp>
        <tr r="J301" s="2"/>
      </tp>
      <tp t="s">
        <v>#N/A Invalid Field</v>
        <stp/>
        <stp>##V3_BDHV12</stp>
        <stp>31409EW80 Mtge</stp>
        <stp>MTG_GEN_CPR_12M</stp>
        <stp>20090610</stp>
        <stp>20090610</stp>
        <stp>[Copy of 02_cpr_main.xlsx]data!R353C10</stp>
        <stp>Dts=H</stp>
        <tr r="J353" s="2"/>
      </tp>
      <tp t="s">
        <v>#N/A Invalid Field</v>
        <stp/>
        <stp>##V3_BDHV12</stp>
        <stp>31412XSV7 Mtge</stp>
        <stp>MTG_GEN_CPR_12M</stp>
        <stp>20090610</stp>
        <stp>20090610</stp>
        <stp>[Copy of 02_cpr_main.xlsx]data!R414C10</stp>
        <stp>Dts=H</stp>
        <tr r="J414" s="2"/>
      </tp>
      <tp t="s">
        <v>#N/A Invalid Field</v>
        <stp/>
        <stp>##V3_BDHV12</stp>
        <stp>31402CTT9 Mtge</stp>
        <stp>MTG_GEN_CPR_12M</stp>
        <stp>20090610</stp>
        <stp>20090610</stp>
        <stp>[Copy of 02_cpr_main.xlsx]data!R266C10</stp>
        <stp>Dts=H</stp>
        <tr r="J266" s="2"/>
      </tp>
      <tp t="s">
        <v>#N/A Invalid Field</v>
        <stp/>
        <stp>##V3_BDHV12</stp>
        <stp>31407RVA9 Mtge</stp>
        <stp>MTG_GEN_CPR_12M</stp>
        <stp>20090610</stp>
        <stp>20090610</stp>
        <stp>[Copy of 02_cpr_main.xlsx]data!R346C10</stp>
        <stp>Dts=H</stp>
        <tr r="J346" s="2"/>
      </tp>
      <tp t="s">
        <v>#N/A Invalid Field</v>
        <stp/>
        <stp>##V3_BDHV12</stp>
        <stp>31297VQA9 Mtge</stp>
        <stp>MTG_GEN_CPR_12M</stp>
        <stp>20090610</stp>
        <stp>20090610</stp>
        <stp>[Copy of 02_cpr_main.xlsx]data!R151C10</stp>
        <stp>Dts=H</stp>
        <tr r="J151" s="2"/>
      </tp>
      <tp t="s">
        <v>#N/A Invalid Field</v>
        <stp/>
        <stp>##V3_BDHV12</stp>
        <stp>31410KUN2 Mtge</stp>
        <stp>MTG_GEN_CPR_12M</stp>
        <stp>20090610</stp>
        <stp>20090610</stp>
        <stp>[Copy of 02_cpr_main.xlsx]data!R377C10</stp>
        <stp>Dts=H</stp>
        <tr r="J377" s="2"/>
      </tp>
      <tp t="s">
        <v>#N/A Invalid Field</v>
        <stp/>
        <stp>##V3_BDHV12</stp>
        <stp>31400QVB6 Mtge</stp>
        <stp>MTG_GEN_CPR_12M</stp>
        <stp>20090610</stp>
        <stp>20090610</stp>
        <stp>[Copy of 02_cpr_main.xlsx]data!R248C10</stp>
        <stp>Dts=H</stp>
        <tr r="J248" s="2"/>
      </tp>
      <tp t="s">
        <v>#N/A Invalid Field</v>
        <stp/>
        <stp>##V3_BDHV12</stp>
        <stp>31403KRB1 Mtge</stp>
        <stp>MTG_GEN_CPR_12M</stp>
        <stp>20090610</stp>
        <stp>20090610</stp>
        <stp>[Copy of 02_cpr_main.xlsx]data!R308C10</stp>
        <stp>Dts=H</stp>
        <tr r="J308" s="2"/>
      </tp>
      <tp t="s">
        <v>#N/A Invalid Field</v>
        <stp/>
        <stp>##V3_BDHV12</stp>
        <stp>31382TUC1 Mtge</stp>
        <stp>MTG_GEN_CPR_12M</stp>
        <stp>20090610</stp>
        <stp>20090610</stp>
        <stp>[Copy of 02_cpr_main.xlsx]data!R204C10</stp>
        <stp>Dts=H</stp>
        <tr r="J204" s="2"/>
      </tp>
      <tp t="s">
        <v>#N/A Invalid Field</v>
        <stp/>
        <stp>##V3_BDHV12</stp>
        <stp>31400RV24 Mtge</stp>
        <stp>MTG_GEN_CPR_12M</stp>
        <stp>20090610</stp>
        <stp>20090610</stp>
        <stp>[Copy of 02_cpr_main.xlsx]data!R250C10</stp>
        <stp>Dts=H</stp>
        <tr r="J250" s="2"/>
      </tp>
      <tp t="s">
        <v>#N/A Invalid Field</v>
        <stp/>
        <stp>##V3_BDHV12</stp>
        <stp>31401XU96 Mtge</stp>
        <stp>MTG_GEN_CPR_12M</stp>
        <stp>20090610</stp>
        <stp>20090610</stp>
        <stp>[Copy of 02_cpr_main.xlsx]data!R261C10</stp>
        <stp>Dts=H</stp>
        <tr r="J261" s="2"/>
      </tp>
      <tp t="s">
        <v>#N/A Invalid Field</v>
        <stp/>
        <stp>##V3_BDHV12</stp>
        <stp>31405CQ85 Mtge</stp>
        <stp>MTG_GEN_CPR_12M</stp>
        <stp>20090610</stp>
        <stp>20090610</stp>
        <stp>[Copy of 02_cpr_main.xlsx]data!R324C10</stp>
        <stp>Dts=H</stp>
        <tr r="J324" s="2"/>
      </tp>
      <tp t="s">
        <v>#N/A Invalid Field</v>
        <stp/>
        <stp>##V3_BDHV12</stp>
        <stp>31412GSR3 Mtge</stp>
        <stp>MTG_GEN_CPR_12M</stp>
        <stp>20090610</stp>
        <stp>20090610</stp>
        <stp>[Copy of 02_cpr_main.xlsx]data!R407C10</stp>
        <stp>Dts=H</stp>
        <tr r="J407" s="2"/>
      </tp>
      <tp t="s">
        <v>#N/A Invalid Field</v>
        <stp/>
        <stp>##V3_BDHV12</stp>
        <stp>31414FPH8 Mtge</stp>
        <stp>MTG_GEN_CPR_12M</stp>
        <stp>20090610</stp>
        <stp>20090610</stp>
        <stp>[Copy of 02_cpr_main.xlsx]data!R438C10</stp>
        <stp>Dts=H</stp>
        <tr r="J438" s="2"/>
      </tp>
      <tp t="s">
        <v>#N/A Invalid Field</v>
        <stp/>
        <stp>##V3_BDHV12</stp>
        <stp>36201SRB7 Mtge</stp>
        <stp>MTG_GEN_CPR_12M</stp>
        <stp>20090610</stp>
        <stp>20090610</stp>
        <stp>[Copy of 02_cpr_main.xlsx]data!R473C10</stp>
        <stp>Dts=H</stp>
        <tr r="J473" s="2"/>
      </tp>
      <tp t="s">
        <v>#N/A Invalid Field</v>
        <stp/>
        <stp>##V3_BDHV12</stp>
        <stp>31410DVM9 Mtge</stp>
        <stp>MTG_GEN_CPR_12M</stp>
        <stp>20090610</stp>
        <stp>20090610</stp>
        <stp>[Copy of 02_cpr_main.xlsx]data!R359C10</stp>
        <stp>Dts=H</stp>
        <tr r="J359" s="2"/>
      </tp>
      <tp t="s">
        <v>#N/A Invalid Field</v>
        <stp/>
        <stp>##V3_BDHV12</stp>
        <stp>36200QSL9 Mtge</stp>
        <stp>MTG_GEN_CPR_12M</stp>
        <stp>20090610</stp>
        <stp>20090610</stp>
        <stp>[Copy of 02_cpr_main.xlsx]data!R468C10</stp>
        <stp>Dts=H</stp>
        <tr r="J468" s="2"/>
      </tp>
      <tp t="s">
        <v>#N/A Invalid Field</v>
        <stp/>
        <stp>##V3_BDHV12</stp>
        <stp>3128NHUD3 Mtge</stp>
        <stp>MTG_GEN_CPR_12M</stp>
        <stp>20090610</stp>
        <stp>20090610</stp>
        <stp>[Copy of 02_cpr_main.xlsx]data!R101C10</stp>
        <stp>Dts=H</stp>
        <tr r="J101" s="2"/>
      </tp>
      <tp t="s">
        <v>#N/A Invalid Field</v>
        <stp/>
        <stp>##V3_BDHV12</stp>
        <stp>31382TTG4 Mtge</stp>
        <stp>MTG_GEN_CPR_12M</stp>
        <stp>20090610</stp>
        <stp>20090610</stp>
        <stp>[Copy of 02_cpr_main.xlsx]data!R203C10</stp>
        <stp>Dts=H</stp>
        <tr r="J203" s="2"/>
      </tp>
      <tp t="s">
        <v>#N/A Invalid Field</v>
        <stp/>
        <stp>##V3_BDHV12</stp>
        <stp>31410KTH7 Mtge</stp>
        <stp>MTG_GEN_CPR_12M</stp>
        <stp>20090610</stp>
        <stp>20090610</stp>
        <stp>[Copy of 02_cpr_main.xlsx]data!R376C10</stp>
        <stp>Dts=H</stp>
        <tr r="J376" s="2"/>
      </tp>
      <tp t="s">
        <v>#N/A Invalid Field</v>
        <stp/>
        <stp>##V3_BDHV12</stp>
        <stp>31402RD30 Mtge</stp>
        <stp>MTG_GEN_CPR_12M</stp>
        <stp>20090610</stp>
        <stp>20090610</stp>
        <stp>[Copy of 02_cpr_main.xlsx]data!R281C10</stp>
        <stp>Dts=H</stp>
        <tr r="J281" s="2"/>
      </tp>
    </main>
    <main first="bloomberg.rtd">
      <tp t="s">
        <v>#N/A Invalid Field</v>
        <stp/>
        <stp>##V3_BDHV12</stp>
        <stp>36291ACW7 Mtge</stp>
        <stp>MTG_GEN_CPR_12M</stp>
        <stp>20090610</stp>
        <stp>20090610</stp>
        <stp>[Copy of 02_cpr_main.xlsx]data!R499C10</stp>
        <stp>Dts=H</stp>
        <tr r="J499" s="2"/>
      </tp>
    </main>
    <main first="bloomberg.rtd">
      <tp t="s">
        <v>#N/A Invalid Field</v>
        <stp/>
        <stp>##V3_BDHV12</stp>
        <stp>31403DET2 Mtge</stp>
        <stp>MTG_GEN_CPR_12M</stp>
        <stp>20090610</stp>
        <stp>20090610</stp>
        <stp>[Copy of 02_cpr_main.xlsx]data!R298C10</stp>
        <stp>Dts=H</stp>
        <tr r="J298" s="2"/>
      </tp>
    </main>
    <main first="bloomberg.rtd">
      <tp t="s">
        <v>#N/A Invalid Field</v>
        <stp/>
        <stp>##V3_BDHV12</stp>
        <stp>31371MLN5 Mtge</stp>
        <stp>MTG_GEN_CPR_12M</stp>
        <stp>20090610</stp>
        <stp>20090610</stp>
        <stp>[Copy of 02_cpr_main.xlsx]data!R178C10</stp>
        <stp>Dts=H</stp>
        <tr r="J178" s="2"/>
      </tp>
    </main>
    <main first="bloomberg.rtd">
      <tp t="s">
        <v>#N/A Invalid Field</v>
        <stp/>
        <stp>##V3_BDHV12</stp>
        <stp>31368HME0 Mtge</stp>
        <stp>MTG_GEN_CPR_12M</stp>
        <stp>20090610</stp>
        <stp>20090610</stp>
        <stp>[Copy of 02_cpr_main.xlsx]data!R161C10</stp>
        <stp>Dts=H</stp>
        <tr r="J161" s="2"/>
      </tp>
    </main>
    <main first="bloomberg.rtd">
      <tp t="s">
        <v>#N/A Invalid Field</v>
        <stp/>
        <stp>##V3_BDHV12</stp>
        <stp>31382HBK0 Mtge</stp>
        <stp>MTG_GEN_CPR_12M</stp>
        <stp>20090610</stp>
        <stp>20090610</stp>
        <stp>[Copy of 02_cpr_main.xlsx]data!R196C10</stp>
        <stp>Dts=H</stp>
        <tr r="J196" s="2"/>
      </tp>
    </main>
    <main first="bloomberg.rtd">
      <tp t="s">
        <v>#N/A Invalid Field</v>
        <stp/>
        <stp>##V3_BDHV12</stp>
        <stp>3128QSKM7 Mtge</stp>
        <stp>MTG_GEN_CPR_12M</stp>
        <stp>20090610</stp>
        <stp>20090610</stp>
        <stp>[Copy of 02_cpr_main.xlsx]data!R111C10</stp>
        <stp>Dts=H</stp>
        <tr r="J111" s="2"/>
      </tp>
    </main>
    <main first="bloomberg.rtd">
      <tp t="s">
        <v>#N/A Invalid Field</v>
        <stp/>
        <stp>##V3_BDHV12</stp>
        <stp>31368HMA8 Mtge</stp>
        <stp>MTG_GEN_CPR_12M</stp>
        <stp>20090610</stp>
        <stp>20090610</stp>
        <stp>[Copy of 02_cpr_main.xlsx]data!R160C10</stp>
        <stp>Dts=H</stp>
        <tr r="J160" s="2"/>
      </tp>
    </main>
    <main first="bloomberg.rtd">
      <tp t="s">
        <v>#N/A Invalid Field</v>
        <stp/>
        <stp>##V3_BDHV12</stp>
        <stp>31385JJF6 Mtge</stp>
        <stp>MTG_GEN_CPR_12M</stp>
        <stp>20090610</stp>
        <stp>20090610</stp>
        <stp>[Copy of 02_cpr_main.xlsx]data!R215C10</stp>
        <stp>Dts=H</stp>
        <tr r="J215" s="2"/>
      </tp>
    </main>
    <main first="bloomberg.rtd">
      <tp t="s">
        <v>#N/A Invalid Field</v>
        <stp/>
        <stp>##V3_BDHV12</stp>
        <stp>31410GJB0 Mtge</stp>
        <stp>MTG_GEN_CPR_12M</stp>
        <stp>20090610</stp>
        <stp>20090610</stp>
        <stp>[Copy of 02_cpr_main.xlsx]data!R369C10</stp>
        <stp>Dts=H</stp>
        <tr r="J369" s="2"/>
      </tp>
    </main>
    <main first="bloomberg.rtd">
      <tp t="s">
        <v>#N/A Invalid Field</v>
        <stp/>
        <stp>##V3_BDHV12</stp>
        <stp>31368HMH3 Mtge</stp>
        <stp>MTG_GEN_CPR_12M</stp>
        <stp>20090610</stp>
        <stp>20090610</stp>
        <stp>[Copy of 02_cpr_main.xlsx]data!R162C10</stp>
        <stp>Dts=H</stp>
        <tr r="J162" s="2"/>
      </tp>
    </main>
    <main first="bloomberg.rtd">
      <tp t="s">
        <v>#N/A Invalid Field</v>
        <stp/>
        <stp>##V3_BDHV12</stp>
        <stp>36225BB31 Mtge</stp>
        <stp>MTG_GEN_CPR_12M</stp>
        <stp>20090610</stp>
        <stp>20090610</stp>
        <stp>[Copy of 02_cpr_main.xlsx]data!R491C10</stp>
        <stp>Dts=H</stp>
        <tr r="J491" s="2"/>
      </tp>
      <tp t="s">
        <v>#N/A Invalid Field</v>
        <stp/>
        <stp>##V3_BDHV12</stp>
        <stp>31404ML97 Mtge</stp>
        <stp>MTG_GEN_CPR_12M</stp>
        <stp>20090610</stp>
        <stp>20090610</stp>
        <stp>[Copy of 02_cpr_main.xlsx]data!R317C10</stp>
        <stp>Dts=H</stp>
        <tr r="J317" s="2"/>
      </tp>
    </main>
    <main first="bloomberg.rtd">
      <tp t="s">
        <v>#N/A Invalid Field</v>
        <stp/>
        <stp>##V3_BDHV12</stp>
        <stp>31403DDR7 Mtge</stp>
        <stp>MTG_GEN_CPR_12M</stp>
        <stp>20090610</stp>
        <stp>20090610</stp>
        <stp>[Copy of 02_cpr_main.xlsx]data!R297C10</stp>
        <stp>Dts=H</stp>
        <tr r="J297" s="2"/>
      </tp>
    </main>
    <main first="bloomberg.rtd">
      <tp t="s">
        <v>#N/A Invalid Field</v>
        <stp/>
        <stp>##V3_BDHV12</stp>
        <stp>31411YDS9 Mtge</stp>
        <stp>MTG_GEN_CPR_12M</stp>
        <stp>20090610</stp>
        <stp>20090610</stp>
        <stp>[Copy of 02_cpr_main.xlsx]data!R399C10</stp>
        <stp>Dts=H</stp>
        <tr r="J399" s="2"/>
      </tp>
    </main>
    <main first="bloomberg.rtd">
      <tp t="s">
        <v>#N/A Invalid Field</v>
        <stp/>
        <stp>##V3_BDHV12</stp>
        <stp>36200KMY0 Mtge</stp>
        <stp>MTG_GEN_CPR_12M</stp>
        <stp>20090610</stp>
        <stp>20090610</stp>
        <stp>[Copy of 02_cpr_main.xlsx]data!R464C10</stp>
        <stp>Dts=H</stp>
        <tr r="J464" s="2"/>
      </tp>
    </main>
    <main first="bloomberg.rtd">
      <tp t="s">
        <v>#N/A Invalid Field</v>
        <stp/>
        <stp>##V3_BDHV12</stp>
        <stp>31371HLX4 Mtge</stp>
        <stp>MTG_GEN_CPR_12M</stp>
        <stp>20090610</stp>
        <stp>20090610</stp>
        <stp>[Copy of 02_cpr_main.xlsx]data!R163C10</stp>
        <stp>Dts=H</stp>
        <tr r="J163" s="2"/>
      </tp>
    </main>
    <main first="bloomberg.rtd">
      <tp t="s">
        <v>#N/A Invalid Field</v>
        <stp/>
        <stp>##V3_BDHV12</stp>
        <stp>31382YJK5 Mtge</stp>
        <stp>MTG_GEN_CPR_12M</stp>
        <stp>20090610</stp>
        <stp>20090610</stp>
        <stp>[Copy of 02_cpr_main.xlsx]data!R207C10</stp>
        <stp>Dts=H</stp>
        <tr r="J207" s="2"/>
      </tp>
    </main>
    <main first="bloomberg.rtd">
      <tp t="s">
        <v>#N/A Invalid Field</v>
        <stp/>
        <stp>##V3_BDHV12</stp>
        <stp>31409XHN2 Mtge</stp>
        <stp>MTG_GEN_CPR_12M</stp>
        <stp>20090610</stp>
        <stp>20090610</stp>
        <stp>[Copy of 02_cpr_main.xlsx]data!R356C10</stp>
        <stp>Dts=H</stp>
        <tr r="J356" s="2"/>
      </tp>
      <tp t="s">
        <v>#N/A Invalid Field</v>
        <stp/>
        <stp>##V3_BDHV12</stp>
        <stp>31411UDL2 Mtge</stp>
        <stp>MTG_GEN_CPR_12M</stp>
        <stp>20090610</stp>
        <stp>20090610</stp>
        <stp>[Copy of 02_cpr_main.xlsx]data!R395C10</stp>
        <stp>Dts=H</stp>
        <tr r="J395" s="2"/>
      </tp>
    </main>
    <main first="bloomberg.rtd">
      <tp t="s">
        <v>#N/A Invalid Field</v>
        <stp/>
        <stp>##V3_BDHV12</stp>
        <stp>31403DDL0 Mtge</stp>
        <stp>MTG_GEN_CPR_12M</stp>
        <stp>20090610</stp>
        <stp>20090610</stp>
        <stp>[Copy of 02_cpr_main.xlsx]data!R296C10</stp>
        <stp>Dts=H</stp>
        <tr r="J296" s="2"/>
      </tp>
    </main>
    <main first="bloomberg.rtd">
      <tp t="s">
        <v>#N/A Invalid Field</v>
        <stp/>
        <stp>##V3_BDHV12</stp>
        <stp>31411GDL3 Mtge</stp>
        <stp>MTG_GEN_CPR_12M</stp>
        <stp>20090610</stp>
        <stp>20090610</stp>
        <stp>[Copy of 02_cpr_main.xlsx]data!R391C10</stp>
        <stp>Dts=H</stp>
        <tr r="J391" s="2"/>
      </tp>
    </main>
    <main first="bloomberg.rtd">
      <tp t="s">
        <v>#N/A Invalid Field</v>
        <stp/>
        <stp>##V3_BDHV12</stp>
        <stp>31402REL9 Mtge</stp>
        <stp>MTG_GEN_CPR_12M</stp>
        <stp>20090610</stp>
        <stp>20090610</stp>
        <stp>[Copy of 02_cpr_main.xlsx]data!R282C10</stp>
        <stp>Dts=H</stp>
        <tr r="J282" s="2"/>
      </tp>
      <tp t="s">
        <v>#N/A Invalid Field</v>
        <stp/>
        <stp>##V3_BDHV12</stp>
        <stp>31403DDK2 Mtge</stp>
        <stp>MTG_GEN_CPR_12M</stp>
        <stp>20090610</stp>
        <stp>20090610</stp>
        <stp>[Copy of 02_cpr_main.xlsx]data!R295C10</stp>
        <stp>Dts=H</stp>
        <tr r="J295" s="2"/>
      </tp>
    </main>
    <main first="bloomberg.rtd">
      <tp t="s">
        <v>#N/A Invalid Field</v>
        <stp/>
        <stp>##V3_BDHV12</stp>
        <stp>31410XF84 Mtge</stp>
        <stp>MTG_GEN_CPR_12M</stp>
        <stp>20090610</stp>
        <stp>20090610</stp>
        <stp>[Copy of 02_cpr_main.xlsx]data!R388C10</stp>
        <stp>Dts=H</stp>
        <tr r="J388" s="2"/>
      </tp>
      <tp t="s">
        <v>#N/A Invalid Field</v>
        <stp/>
        <stp>##V3_BDHV12</stp>
        <stp>31298SM84 Mtge</stp>
        <stp>MTG_GEN_CPR_12M</stp>
        <stp>20090610</stp>
        <stp>20090610</stp>
        <stp>[Copy of 02_cpr_main.xlsx]data!R153C10</stp>
        <stp>Dts=H</stp>
        <tr r="J153" s="2"/>
      </tp>
      <tp t="s">
        <v>#N/A Invalid Field</v>
        <stp/>
        <stp>##V3_BDHV12</stp>
        <stp>31390SJ85 Mtge</stp>
        <stp>MTG_GEN_CPR_12M</stp>
        <stp>20090610</stp>
        <stp>20090610</stp>
        <stp>[Copy of 02_cpr_main.xlsx]data!R235C10</stp>
        <stp>Dts=H</stp>
        <tr r="J235" s="2"/>
      </tp>
      <tp t="s">
        <v>#N/A Invalid Field</v>
        <stp/>
        <stp>##V3_BDHV12</stp>
        <stp>31413KL33 Mtge</stp>
        <stp>MTG_GEN_CPR_12M</stp>
        <stp>20090610</stp>
        <stp>20090610</stp>
        <stp>[Copy of 02_cpr_main.xlsx]data!R426C10</stp>
        <stp>Dts=H</stp>
        <tr r="J426" s="2"/>
      </tp>
      <tp t="s">
        <v>#N/A Invalid Field</v>
        <stp/>
        <stp>##V3_BDHV12</stp>
        <stp>31410GH97 Mtge</stp>
        <stp>MTG_GEN_CPR_12M</stp>
        <stp>20090610</stp>
        <stp>20090610</stp>
        <stp>[Copy of 02_cpr_main.xlsx]data!R367C10</stp>
        <stp>Dts=H</stp>
        <tr r="J367" s="2"/>
      </tp>
    </main>
    <main first="bloomberg.rtd">
      <tp t="s">
        <v>#N/A Invalid Field</v>
        <stp/>
        <stp>##V3_BDHV12</stp>
        <stp>36225BAP3 Mtge</stp>
        <stp>MTG_GEN_CPR_12M</stp>
        <stp>20090610</stp>
        <stp>20090610</stp>
        <stp>[Copy of 02_cpr_main.xlsx]data!R490C10</stp>
        <stp>Dts=H</stp>
        <tr r="J490" s="2"/>
      </tp>
      <tp t="s">
        <v>#N/A Invalid Field</v>
        <stp/>
        <stp>##V3_BDHV12</stp>
        <stp>31371KNW7 Mtge</stp>
        <stp>MTG_GEN_CPR_12M</stp>
        <stp>20090610</stp>
        <stp>20090610</stp>
        <stp>[Copy of 02_cpr_main.xlsx]data!R172C10</stp>
        <stp>Dts=H</stp>
        <tr r="J172" s="2"/>
      </tp>
      <tp t="s">
        <v>#N/A Invalid Field</v>
        <stp/>
        <stp>##V3_BDHV12</stp>
        <stp>31293FJZ1 Mtge</stp>
        <stp>MTG_GEN_CPR_12M</stp>
        <stp>20090610</stp>
        <stp>20090610</stp>
        <stp>[Copy of 02_cpr_main.xlsx]data!R121C10</stp>
        <stp>Dts=H</stp>
        <tr r="J121" s="2"/>
      </tp>
    </main>
    <main first="bloomberg.rtd">
      <tp t="s">
        <v>#N/A Invalid Field</v>
        <stp/>
        <stp>##V3_BDHV12</stp>
        <stp>31296SLS3 Mtge</stp>
        <stp>MTG_GEN_CPR_12M</stp>
        <stp>20090610</stp>
        <stp>20090610</stp>
        <stp>[Copy of 02_cpr_main.xlsx]data!R146C10</stp>
        <stp>Dts=H</stp>
        <tr r="J146" s="2"/>
      </tp>
    </main>
    <main first="bloomberg.rtd">
      <tp t="s">
        <v>#N/A Invalid Field</v>
        <stp/>
        <stp>##V3_BDHV12</stp>
        <stp>31413JLB8 Mtge</stp>
        <stp>MTG_GEN_CPR_12M</stp>
        <stp>20090610</stp>
        <stp>20090610</stp>
        <stp>[Copy of 02_cpr_main.xlsx]data!R422C10</stp>
        <stp>Dts=H</stp>
        <tr r="J422" s="2"/>
      </tp>
    </main>
    <main first="bloomberg.rtd">
      <tp t="s">
        <v>#N/A Invalid Field</v>
        <stp/>
        <stp>##V3_BDHV12</stp>
        <stp>31385XKK2 Mtge</stp>
        <stp>MTG_GEN_CPR_12M</stp>
        <stp>20090610</stp>
        <stp>20090610</stp>
        <stp>[Copy of 02_cpr_main.xlsx]data!R223C10</stp>
        <stp>Dts=H</stp>
        <tr r="J223" s="2"/>
      </tp>
    </main>
    <main first="bloomberg.rtd">
      <tp t="s">
        <v>#N/A Invalid Field</v>
        <stp/>
        <stp>##V3_BDHV12</stp>
        <stp>312962KF9 Mtge</stp>
        <stp>MTG_GEN_CPR_12M</stp>
        <stp>20090610</stp>
        <stp>20090610</stp>
        <stp>[Copy of 02_cpr_main.xlsx]data!R138C10</stp>
        <stp>Dts=H</stp>
        <tr r="J138" s="2"/>
      </tp>
      <tp t="s">
        <v>#N/A Invalid Field</v>
        <stp/>
        <stp>##V3_BDHV12</stp>
        <stp>31410GHN6 Mtge</stp>
        <stp>MTG_GEN_CPR_12M</stp>
        <stp>20090610</stp>
        <stp>20090610</stp>
        <stp>[Copy of 02_cpr_main.xlsx]data!R368C10</stp>
        <stp>Dts=H</stp>
        <tr r="J368" s="2"/>
      </tp>
    </main>
    <main first="bloomberg.rtd">
      <tp t="s">
        <v>#N/A Invalid Field</v>
        <stp/>
        <stp>##V3_BDHV12</stp>
        <stp>31390EJB9 Mtge</stp>
        <stp>MTG_GEN_CPR_12M</stp>
        <stp>20090610</stp>
        <stp>20090610</stp>
        <stp>[Copy of 02_cpr_main.xlsx]data!R231C10</stp>
        <stp>Dts=H</stp>
        <tr r="J231" s="2"/>
      </tp>
    </main>
    <main first="bloomberg.rtd">
      <tp t="s">
        <v>#N/A Invalid Field</v>
        <stp/>
        <stp>##V3_BDHV12</stp>
        <stp>31385CHF3 Mtge</stp>
        <stp>MTG_GEN_CPR_12M</stp>
        <stp>20090610</stp>
        <stp>20090610</stp>
        <stp>[Copy of 02_cpr_main.xlsx]data!R213C10</stp>
        <stp>Dts=H</stp>
        <tr r="J213" s="2"/>
      </tp>
    </main>
    <main first="bloomberg.rtd">
      <tp t="s">
        <v>#N/A Invalid Field</v>
        <stp/>
        <stp>##V3_BDHV12</stp>
        <stp>31401WKE8 Mtge</stp>
        <stp>MTG_GEN_CPR_12M</stp>
        <stp>20090610</stp>
        <stp>20090610</stp>
        <stp>[Copy of 02_cpr_main.xlsx]data!R259C10</stp>
        <stp>Dts=H</stp>
        <tr r="J259" s="2"/>
      </tp>
    </main>
    <main first="bloomberg.rtd">
      <tp t="s">
        <v>#N/A Invalid Field</v>
        <stp/>
        <stp>##V3_BDHV12</stp>
        <stp>31403DGG8 Mtge</stp>
        <stp>MTG_GEN_CPR_12M</stp>
        <stp>20090610</stp>
        <stp>20090610</stp>
        <stp>[Copy of 02_cpr_main.xlsx]data!R299C10</stp>
        <stp>Dts=H</stp>
        <tr r="J299" s="2"/>
      </tp>
    </main>
    <main first="bloomberg.rtd">
      <tp t="s">
        <v>#N/A Invalid Field</v>
        <stp/>
        <stp>##V3_BDHV12</stp>
        <stp>31379QA67 Mtge</stp>
        <stp>MTG_GEN_CPR_12M</stp>
        <stp>20090610</stp>
        <stp>20090610</stp>
        <stp>[Copy of 02_cpr_main.xlsx]data!R190C10</stp>
        <stp>Dts=H</stp>
        <tr r="J190" s="2"/>
      </tp>
      <tp t="s">
        <v>#N/A Invalid Field</v>
        <stp/>
        <stp>##V3_BDHV12</stp>
        <stp>36204RN87 Mtge</stp>
        <stp>MTG_GEN_CPR_12M</stp>
        <stp>20090610</stp>
        <stp>20090610</stp>
        <stp>[Copy of 02_cpr_main.xlsx]data!R478C10</stp>
        <stp>Dts=H</stp>
        <tr r="J478" s="2"/>
      </tp>
      <tp t="s">
        <v>#N/A Invalid Field</v>
        <stp/>
        <stp>##V3_BDHV12</stp>
        <stp>31408HJ55 Mtge</stp>
        <stp>MTG_GEN_CPR_12M</stp>
        <stp>20090610</stp>
        <stp>20090610</stp>
        <stp>[Copy of 02_cpr_main.xlsx]data!R350C10</stp>
        <stp>Dts=H</stp>
        <tr r="J350" s="2"/>
      </tp>
      <tp t="s">
        <v>#N/A Invalid Field</v>
        <stp/>
        <stp>##V3_BDHV12</stp>
        <stp>31368HM26 Mtge</stp>
        <stp>MTG_GEN_CPR_12M</stp>
        <stp>20090610</stp>
        <stp>20090610</stp>
        <stp>[Copy of 02_cpr_main.xlsx]data!R159C10</stp>
        <stp>Dts=H</stp>
        <tr r="J159" s="2"/>
      </tp>
      <tp t="s">
        <v>#N/A Invalid Field</v>
        <stp/>
        <stp>##V3_BDHV12</stp>
        <stp>31406UL48 Mtge</stp>
        <stp>MTG_GEN_CPR_12M</stp>
        <stp>20090610</stp>
        <stp>20090610</stp>
        <stp>[Copy of 02_cpr_main.xlsx]data!R339C10</stp>
        <stp>Dts=H</stp>
        <tr r="J339" s="2"/>
      </tp>
    </main>
    <main first="bloomberg.rtd">
      <tp t="s">
        <v>#N/A Invalid Field</v>
        <stp/>
        <stp>##V3_BDHV12</stp>
        <stp>31402RGU7 Mtge</stp>
        <stp>MTG_GEN_CPR_12M</stp>
        <stp>20090610</stp>
        <stp>20090610</stp>
        <stp>[Copy of 02_cpr_main.xlsx]data!R283C10</stp>
        <stp>Dts=H</stp>
        <tr r="J283" s="2"/>
      </tp>
      <tp t="s">
        <v>#N/A Invalid Field</v>
        <stp/>
        <stp>##V3_BDHV12</stp>
        <stp>31402QHS3 Mtge</stp>
        <stp>MTG_GEN_CPR_12M</stp>
        <stp>20090610</stp>
        <stp>20090610</stp>
        <stp>[Copy of 02_cpr_main.xlsx]data!R275C10</stp>
        <stp>Dts=H</stp>
        <tr r="J275" s="2"/>
      </tp>
    </main>
    <main first="bloomberg.rtd">
      <tp t="s">
        <v>#N/A Invalid Field</v>
        <stp/>
        <stp>##V3_BDHV12</stp>
        <stp>31294KJS5 Mtge</stp>
        <stp>MTG_GEN_CPR_12M</stp>
        <stp>20090610</stp>
        <stp>20090610</stp>
        <stp>[Copy of 02_cpr_main.xlsx]data!R130C10</stp>
        <stp>Dts=H</stp>
        <tr r="J130" s="2"/>
      </tp>
    </main>
    <main first="bloomberg.rtd">
      <tp t="s">
        <v>#N/A Invalid Field</v>
        <stp/>
        <stp>##V3_BDHV12</stp>
        <stp>31382VHM9 Mtge</stp>
        <stp>MTG_GEN_CPR_12M</stp>
        <stp>20090610</stp>
        <stp>20090610</stp>
        <stp>[Copy of 02_cpr_main.xlsx]data!R205C10</stp>
        <stp>Dts=H</stp>
        <tr r="J205" s="2"/>
      </tp>
    </main>
    <main first="bloomberg.rtd">
      <tp t="s">
        <v>#N/A Invalid Field</v>
        <stp/>
        <stp>##V3_BDHV12</stp>
        <stp>31410XGK6 Mtge</stp>
        <stp>MTG_GEN_CPR_12M</stp>
        <stp>20090610</stp>
        <stp>20090610</stp>
        <stp>[Copy of 02_cpr_main.xlsx]data!R389C10</stp>
        <stp>Dts=H</stp>
        <tr r="J389" s="2"/>
      </tp>
    </main>
    <main first="bloomberg.rtd">
      <tp t="s">
        <v>#N/A Invalid Field</v>
        <stp/>
        <stp>##V3_BDHV12</stp>
        <stp>31371HNJ3 Mtge</stp>
        <stp>MTG_GEN_CPR_12M</stp>
        <stp>20090610</stp>
        <stp>20090610</stp>
        <stp>[Copy of 02_cpr_main.xlsx]data!R164C10</stp>
        <stp>Dts=H</stp>
        <tr r="J164" s="2"/>
      </tp>
    </main>
    <main first="bloomberg.rtd">
      <tp t="s">
        <v>#N/A Invalid Field</v>
        <stp/>
        <stp>##V3_BDHV12</stp>
        <stp>312967ME9 Mtge</stp>
        <stp>MTG_GEN_CPR_12M</stp>
        <stp>20090610</stp>
        <stp>20090610</stp>
        <stp>[Copy of 02_cpr_main.xlsx]data!R141C10</stp>
        <stp>Dts=H</stp>
        <tr r="J141" s="2"/>
      </tp>
    </main>
    <main first="bloomberg.rtd">
      <tp t="s">
        <v>#N/A Invalid Field</v>
        <stp/>
        <stp>##V3_BDHV12</stp>
        <stp>31413GMM9 Mtge</stp>
        <stp>MTG_GEN_CPR_12M</stp>
        <stp>20090610</stp>
        <stp>20090610</stp>
        <stp>[Copy of 02_cpr_main.xlsx]data!R420C10</stp>
        <stp>Dts=H</stp>
        <tr r="J420" s="2"/>
      </tp>
      <tp t="s">
        <v>#N/A Invalid Field</v>
        <stp/>
        <stp>##V3_BDHV12</stp>
        <stp>31415XJE2 Mtge</stp>
        <stp>MTG_GEN_CPR_12M</stp>
        <stp>20090610</stp>
        <stp>20090610</stp>
        <stp>[Copy of 02_cpr_main.xlsx]data!R458C10</stp>
        <stp>Dts=H</stp>
        <tr r="J458" s="2"/>
      </tp>
    </main>
    <main first="bloomberg.rtd">
      <tp t="s">
        <v>#N/A Invalid Field</v>
        <stp/>
        <stp>##V3_BDHV12</stp>
        <stp>31411WA49 Mtge</stp>
        <stp>MTG_GEN_CPR_12M</stp>
        <stp>20090610</stp>
        <stp>20090610</stp>
        <stp>[Copy of 02_cpr_main.xlsx]data!R397C10</stp>
        <stp>Dts=H</stp>
        <tr r="J397" s="2"/>
      </tp>
      <tp t="s">
        <v>#N/A Invalid Field</v>
        <stp/>
        <stp>##V3_BDHV12</stp>
        <stp>36208YF46 Mtge</stp>
        <stp>MTG_GEN_CPR_12M</stp>
        <stp>20090610</stp>
        <stp>20090610</stp>
        <stp>[Copy of 02_cpr_main.xlsx]data!R480C10</stp>
        <stp>Dts=H</stp>
        <tr r="J480" s="2"/>
      </tp>
      <tp t="s">
        <v>#N/A Invalid Field</v>
        <stp/>
        <stp>##V3_BDHV12</stp>
        <stp>31413JJ96 Mtge</stp>
        <stp>MTG_GEN_CPR_12M</stp>
        <stp>20090610</stp>
        <stp>20090610</stp>
        <stp>[Copy of 02_cpr_main.xlsx]data!R421C10</stp>
        <stp>Dts=H</stp>
        <tr r="J421" s="2"/>
      </tp>
      <tp t="s">
        <v>#N/A Invalid Field</v>
        <stp/>
        <stp>##V3_BDHV12</stp>
        <stp>36225BG93 Mtge</stp>
        <stp>MTG_GEN_CPR_12M</stp>
        <stp>20090610</stp>
        <stp>20090610</stp>
        <stp>[Copy of 02_cpr_main.xlsx]data!R492C10</stp>
        <stp>Dts=H</stp>
        <tr r="J492" s="2"/>
      </tp>
      <tp t="s">
        <v>#N/A Invalid Field</v>
        <stp/>
        <stp>##V3_BDHV12</stp>
        <stp>31294KM51 Mtge</stp>
        <stp>MTG_GEN_CPR_12M</stp>
        <stp>20090610</stp>
        <stp>20090610</stp>
        <stp>[Copy of 02_cpr_main.xlsx]data!R132C10</stp>
        <stp>Dts=H</stp>
        <tr r="J132" s="2"/>
      </tp>
    </main>
    <main first="bloomberg.rtd">
      <tp t="s">
        <v>#N/A Invalid Field</v>
        <stp/>
        <stp>##V3_BDHV12</stp>
        <stp>31371NGU3 Mtge</stp>
        <stp>MTG_GEN_CPR_12M</stp>
        <stp>20090610</stp>
        <stp>20090610</stp>
        <stp>[Copy of 02_cpr_main.xlsx]data!R180C10</stp>
        <stp>Dts=H</stp>
        <tr r="J180" s="2"/>
      </tp>
    </main>
    <main first="bloomberg.rtd">
      <tp t="s">
        <v>#N/A Invalid Field</v>
        <stp/>
        <stp>##V3_BDHV12</stp>
        <stp>31297VKP2 Mtge</stp>
        <stp>MTG_GEN_CPR_12M</stp>
        <stp>20090610</stp>
        <stp>20090610</stp>
        <stp>[Copy of 02_cpr_main.xlsx]data!R150C10</stp>
        <stp>Dts=H</stp>
        <tr r="J150" s="2"/>
      </tp>
    </main>
    <main first="bloomberg.rtd">
      <tp t="s">
        <v>#N/A Invalid Field</v>
        <stp/>
        <stp>##V3_BDHV12</stp>
        <stp>31414FKG5 Mtge</stp>
        <stp>MTG_GEN_CPR_12M</stp>
        <stp>20090610</stp>
        <stp>20090610</stp>
        <stp>[Copy of 02_cpr_main.xlsx]data!R437C10</stp>
        <stp>Dts=H</stp>
        <tr r="J437" s="2"/>
      </tp>
    </main>
    <main first="bloomberg.rtd">
      <tp t="s">
        <v>#N/A Invalid Field</v>
        <stp/>
        <stp>##V3_BDHV12</stp>
        <stp>31404XJG0 Mtge</stp>
        <stp>MTG_GEN_CPR_12M</stp>
        <stp>20090610</stp>
        <stp>20090610</stp>
        <stp>[Copy of 02_cpr_main.xlsx]data!R321C10</stp>
        <stp>Dts=H</stp>
        <tr r="J321" s="2"/>
      </tp>
    </main>
    <main first="bloomberg.rtd">
      <tp t="s">
        <v>#N/A Invalid Field</v>
        <stp/>
        <stp>##V3_BDHV12</stp>
        <stp>31415PMH8 Mtge</stp>
        <stp>MTG_GEN_CPR_12M</stp>
        <stp>20090610</stp>
        <stp>20090610</stp>
        <stp>[Copy of 02_cpr_main.xlsx]data!R450C10</stp>
        <stp>Dts=H</stp>
        <tr r="J450" s="2"/>
      </tp>
    </main>
    <main first="bloomberg.rtd">
      <tp t="s">
        <v>#N/A Invalid Field</v>
        <stp/>
        <stp>##V3_BDHV12</stp>
        <stp>36202WH69 Mtge</stp>
        <stp>MTG_GEN_CPR_12M</stp>
        <stp>20090610</stp>
        <stp>20090610</stp>
        <stp>[Copy of 02_cpr_main.xlsx]data!R477C10</stp>
        <stp>Dts=H</stp>
        <tr r="J477" s="2"/>
      </tp>
      <tp t="s">
        <v>#N/A Invalid Field</v>
        <stp/>
        <stp>##V3_BDHV12</stp>
        <stp>312965L87 Mtge</stp>
        <stp>MTG_GEN_CPR_12M</stp>
        <stp>20090610</stp>
        <stp>20090610</stp>
        <stp>[Copy of 02_cpr_main.xlsx]data!R139C10</stp>
        <stp>Dts=H</stp>
        <tr r="J139" s="2"/>
      </tp>
    </main>
    <main first="bloomberg.rtd">
      <tp t="s">
        <v>#N/A Invalid Field</v>
        <stp/>
        <stp>##V3_BDHV12</stp>
        <stp>31404JHV0 Mtge</stp>
        <stp>MTG_GEN_CPR_12M</stp>
        <stp>20090610</stp>
        <stp>20090610</stp>
        <stp>[Copy of 02_cpr_main.xlsx]data!R315C10</stp>
        <stp>Dts=H</stp>
        <tr r="J315" s="2"/>
      </tp>
    </main>
    <main first="bloomberg.rtd">
      <tp t="s">
        <v>#N/A Invalid Field</v>
        <stp/>
        <stp>##V3_BDHV12</stp>
        <stp>31406DJV9 Mtge</stp>
        <stp>MTG_GEN_CPR_12M</stp>
        <stp>20090610</stp>
        <stp>20090610</stp>
        <stp>[Copy of 02_cpr_main.xlsx]data!R334C10</stp>
        <stp>Dts=H</stp>
        <tr r="J334" s="2"/>
      </tp>
    </main>
    <main first="bloomberg.rtd">
      <tp t="s">
        <v>#N/A Invalid Field</v>
        <stp/>
        <stp>##V3_BDHV12</stp>
        <stp>31385XLV7 Mtge</stp>
        <stp>MTG_GEN_CPR_12M</stp>
        <stp>20090610</stp>
        <stp>20090610</stp>
        <stp>[Copy of 02_cpr_main.xlsx]data!R225C10</stp>
        <stp>Dts=H</stp>
        <tr r="J225" s="2"/>
      </tp>
    </main>
    <main first="bloomberg.rtd">
      <tp t="s">
        <v>#N/A Invalid Field</v>
        <stp/>
        <stp>##V3_BDHV12</stp>
        <stp>31406DJX5 Mtge</stp>
        <stp>MTG_GEN_CPR_12M</stp>
        <stp>20090610</stp>
        <stp>20090610</stp>
        <stp>[Copy of 02_cpr_main.xlsx]data!R335C10</stp>
        <stp>Dts=H</stp>
        <tr r="J335" s="2"/>
      </tp>
    </main>
    <main first="bloomberg.rtd">
      <tp t="s">
        <v>#N/A Invalid Field</v>
        <stp/>
        <stp>##V3_BDHV12</stp>
        <stp>31400AMX3 Mtge</stp>
        <stp>MTG_GEN_CPR_12M</stp>
        <stp>20090610</stp>
        <stp>20090610</stp>
        <stp>[Copy of 02_cpr_main.xlsx]data!R244C10</stp>
        <stp>Dts=H</stp>
        <tr r="J244" s="2"/>
      </tp>
    </main>
    <main first="bloomberg.rtd">
      <tp t="s">
        <v>#N/A Invalid Field</v>
        <stp/>
        <stp>##V3_BDHV12</stp>
        <stp>31385XLM7 Mtge</stp>
        <stp>MTG_GEN_CPR_12M</stp>
        <stp>20090610</stp>
        <stp>20090610</stp>
        <stp>[Copy of 02_cpr_main.xlsx]data!R224C10</stp>
        <stp>Dts=H</stp>
        <tr r="J224" s="2"/>
      </tp>
    </main>
    <main first="bloomberg.rtd">
      <tp t="s">
        <v>#N/A Invalid Field</v>
        <stp/>
        <stp>##V3_BDHV12</stp>
        <stp>31294KLK9 Mtge</stp>
        <stp>MTG_GEN_CPR_12M</stp>
        <stp>20090610</stp>
        <stp>20090610</stp>
        <stp>[Copy of 02_cpr_main.xlsx]data!R131C10</stp>
        <stp>Dts=H</stp>
        <tr r="J131" s="2"/>
      </tp>
    </main>
    <main first="bloomberg.rtd">
      <tp t="s">
        <v>#N/A Invalid Field</v>
        <stp/>
        <stp>##V3_BDHV12</stp>
        <stp>31413KKF7 Mtge</stp>
        <stp>MTG_GEN_CPR_12M</stp>
        <stp>20090610</stp>
        <stp>20090610</stp>
        <stp>[Copy of 02_cpr_main.xlsx]data!R425C10</stp>
        <stp>Dts=H</stp>
        <tr r="J425" s="2"/>
      </tp>
    </main>
    <main first="bloomberg.rtd">
      <tp t="s">
        <v>#N/A Invalid Field</v>
        <stp/>
        <stp>##V3_BDHV12</stp>
        <stp>31401GLF9 Mtge</stp>
        <stp>MTG_GEN_CPR_12M</stp>
        <stp>20090610</stp>
        <stp>20090610</stp>
        <stp>[Copy of 02_cpr_main.xlsx]data!R253C10</stp>
        <stp>Dts=H</stp>
        <tr r="J253" s="2"/>
      </tp>
    </main>
    <main first="bloomberg.rtd">
      <tp t="s">
        <v>#N/A Invalid Field</v>
        <stp/>
        <stp>##V3_BDHV12</stp>
        <stp>31297CKH2 Mtge</stp>
        <stp>MTG_GEN_CPR_12M</stp>
        <stp>20090610</stp>
        <stp>20090610</stp>
        <stp>[Copy of 02_cpr_main.xlsx]data!R147C10</stp>
        <stp>Dts=H</stp>
        <tr r="J147" s="2"/>
      </tp>
    </main>
    <main first="bloomberg.rtd">
      <tp t="s">
        <v>#N/A Invalid Field</v>
        <stp/>
        <stp>##V3_BDHV12</stp>
        <stp>31415TLM0 Mtge</stp>
        <stp>MTG_GEN_CPR_12M</stp>
        <stp>20090610</stp>
        <stp>20090610</stp>
        <stp>[Copy of 02_cpr_main.xlsx]data!R456C10</stp>
        <stp>Dts=H</stp>
        <tr r="J456" s="2"/>
      </tp>
    </main>
    <main first="bloomberg.rtd">
      <tp t="s">
        <v>#N/A Invalid Field</v>
        <stp/>
        <stp>##V3_BDHV12</stp>
        <stp>31408EN81 Mtge</stp>
        <stp>MTG_GEN_CPR_12M</stp>
        <stp>20090610</stp>
        <stp>20090610</stp>
        <stp>[Copy of 02_cpr_main.xlsx]data!R349C10</stp>
        <stp>Dts=H</stp>
        <tr r="J349" s="2"/>
      </tp>
      <tp t="s">
        <v>#N/A Invalid Field</v>
        <stp/>
        <stp>##V3_BDHV12</stp>
        <stp>31389HN79 Mtge</stp>
        <stp>MTG_GEN_CPR_12M</stp>
        <stp>20090610</stp>
        <stp>20090610</stp>
        <stp>[Copy of 02_cpr_main.xlsx]data!R230C10</stp>
        <stp>Dts=H</stp>
        <tr r="J230" s="2"/>
      </tp>
    </main>
    <main first="bloomberg.rtd">
      <tp t="s">
        <v>#N/A Invalid Field</v>
        <stp/>
        <stp>##V3_BDHV12</stp>
        <stp>31411RCQ9 Mtge</stp>
        <stp>MTG_GEN_CPR_12M</stp>
        <stp>20090610</stp>
        <stp>20090610</stp>
        <stp>[Copy of 02_cpr_main.xlsx]data!R393C10</stp>
        <stp>Dts=H</stp>
        <tr r="J393" s="2"/>
      </tp>
    </main>
    <main first="bloomberg.rtd">
      <tp t="s">
        <v>#N/A Invalid Field</v>
        <stp/>
        <stp>##V3_BDHV12</stp>
        <stp>31414TNR8 Mtge</stp>
        <stp>MTG_GEN_CPR_12M</stp>
        <stp>20090610</stp>
        <stp>20090610</stp>
        <stp>[Copy of 02_cpr_main.xlsx]data!R444C10</stp>
        <stp>Dts=H</stp>
        <tr r="J444" s="2"/>
      </tp>
    </main>
    <main first="bloomberg.rtd">
      <tp t="s">
        <v>#N/A Invalid Field</v>
        <stp/>
        <stp>##V3_BDHV12</stp>
        <stp>31400RNS6 Mtge</stp>
        <stp>MTG_GEN_CPR_12M</stp>
        <stp>20090610</stp>
        <stp>20090610</stp>
        <stp>[Copy of 02_cpr_main.xlsx]data!R249C10</stp>
        <stp>Dts=H</stp>
        <tr r="J249" s="2"/>
      </tp>
    </main>
    <main first="bloomberg.rtd">
      <tp t="s">
        <v>#N/A Invalid Field</v>
        <stp/>
        <stp>##V3_BDHV12</stp>
        <stp>3128P7LU5 Mtge</stp>
        <stp>MTG_GEN_CPR_12M</stp>
        <stp>20090610</stp>
        <stp>20090610</stp>
        <stp>[Copy of 02_cpr_main.xlsx]data!R102C10</stp>
        <stp>Dts=H</stp>
        <tr r="J102" s="2"/>
      </tp>
    </main>
    <main first="bloomberg.rtd">
      <tp t="s">
        <v>#N/A Invalid Field</v>
        <stp/>
        <stp>##V3_BDHV12</stp>
        <stp>36200QJD7 Mtge</stp>
        <stp>MTG_GEN_CPR_12M</stp>
        <stp>20090610</stp>
        <stp>20090610</stp>
        <stp>[Copy of 02_cpr_main.xlsx]data!R467C10</stp>
        <stp>Dts=H</stp>
        <tr r="J467" s="2"/>
      </tp>
    </main>
    <main first="bloomberg.rtd">
      <tp t="s">
        <v>#N/A Invalid Field</v>
        <stp/>
        <stp>##V3_BDHV12</stp>
        <stp>312967HF2 Mtge</stp>
        <stp>MTG_GEN_CPR_12M</stp>
        <stp>20090610</stp>
        <stp>20090610</stp>
        <stp>[Copy of 02_cpr_main.xlsx]data!R140C10</stp>
        <stp>Dts=H</stp>
        <tr r="J140" s="2"/>
      </tp>
    </main>
    <main first="bloomberg.rtd">
      <tp t="s">
        <v>#N/A Invalid Field</v>
        <stp/>
        <stp>##V3_BDHV12</stp>
        <stp>31415BNG0 Mtge</stp>
        <stp>MTG_GEN_CPR_12M</stp>
        <stp>20090610</stp>
        <stp>20090610</stp>
        <stp>[Copy of 02_cpr_main.xlsx]data!R448C10</stp>
        <stp>Dts=H</stp>
        <tr r="J448" s="2"/>
      </tp>
    </main>
    <main first="bloomberg.rtd">
      <tp t="s">
        <v>#N/A Invalid Field</v>
        <stp/>
        <stp>##V3_BDHV12</stp>
        <stp>36206JJ96 Mtge</stp>
        <stp>MTG_GEN_CPR_12M</stp>
        <stp>20090610</stp>
        <stp>20090610</stp>
        <stp>[Copy of 02_cpr_main.xlsx]data!R479C10</stp>
        <stp>Dts=H</stp>
        <tr r="J479" s="2"/>
      </tp>
      <tp t="s">
        <v>#N/A Invalid Field</v>
        <stp/>
        <stp>##V3_BDHV12</stp>
        <stp>36291AM48 Mtge</stp>
        <stp>MTG_GEN_CPR_12M</stp>
        <stp>20090610</stp>
        <stp>20090610</stp>
        <stp>[Copy of 02_cpr_main.xlsx]data!R500C10</stp>
        <stp>Dts=H</stp>
        <tr r="J500" s="2"/>
      </tp>
      <tp t="s">
        <v>#N/A Invalid Field</v>
        <stp/>
        <stp>##V3_BDHV12</stp>
        <stp>36291NM40 Mtge</stp>
        <stp>MTG_GEN_CPR_12M</stp>
        <stp>20090610</stp>
        <stp>20090610</stp>
        <stp>[Copy of 02_cpr_main.xlsx]data!R503C10</stp>
        <stp>Dts=H</stp>
        <tr r="J503" s="2"/>
      </tp>
    </main>
    <main first="bloomberg.rtd">
      <tp t="s">
        <v>#N/A Invalid Field</v>
        <stp/>
        <stp>##V3_BDHV12</stp>
        <stp>31402RCV9 Mtge</stp>
        <stp>MTG_GEN_CPR_12M</stp>
        <stp>20090610</stp>
        <stp>20090610</stp>
        <stp>[Copy of 02_cpr_main.xlsx]data!R280C10</stp>
        <stp>Dts=H</stp>
        <tr r="J280" s="2"/>
      </tp>
    </main>
    <main first="bloomberg.rtd">
      <tp t="s">
        <v>#N/A Invalid Field</v>
        <stp/>
        <stp>##V3_BDHV12</stp>
        <stp>36295JMQ6 Mtge</stp>
        <stp>MTG_GEN_CPR_12M</stp>
        <stp>20090610</stp>
        <stp>20090610</stp>
        <stp>[Copy of 02_cpr_main.xlsx]data!R506C10</stp>
        <stp>Dts=H</stp>
        <tr r="J506" s="2"/>
      </tp>
    </main>
    <main first="bloomberg.rtd">
      <tp t="s">
        <v>#N/A Invalid Field</v>
        <stp/>
        <stp>##V3_BDHV12</stp>
        <stp>3128QGMM1 Mtge</stp>
        <stp>MTG_GEN_CPR_12M</stp>
        <stp>20090610</stp>
        <stp>20090610</stp>
        <stp>[Copy of 02_cpr_main.xlsx]data!R107C10</stp>
        <stp>Dts=H</stp>
        <tr r="J107" s="2"/>
      </tp>
    </main>
    <main first="bloomberg.rtd">
      <tp t="s">
        <v>#N/A Invalid Field</v>
        <stp/>
        <stp>##V3_BDHV12</stp>
        <stp>36200WJE2 Mtge</stp>
        <stp>MTG_GEN_CPR_12M</stp>
        <stp>20090610</stp>
        <stp>20090610</stp>
        <stp>[Copy of 02_cpr_main.xlsx]data!R470C10</stp>
        <stp>Dts=H</stp>
        <tr r="J470" s="2"/>
      </tp>
    </main>
    <main first="bloomberg.rtd">
      <tp t="s">
        <v>#N/A Invalid Field</v>
        <stp/>
        <stp>##V3_BDHV12</stp>
        <stp>31413SHF4 Mtge</stp>
        <stp>MTG_GEN_CPR_12M</stp>
        <stp>20090610</stp>
        <stp>20090610</stp>
        <stp>[Copy of 02_cpr_main.xlsx]data!R433C10</stp>
        <stp>Dts=H</stp>
        <tr r="J433" s="2"/>
      </tp>
    </main>
    <main first="bloomberg.rtd">
      <tp t="s">
        <v>#N/A Invalid Field</v>
        <stp/>
        <stp>##V3_BDHV12</stp>
        <stp>31385XNG8 Mtge</stp>
        <stp>MTG_GEN_CPR_12M</stp>
        <stp>20090610</stp>
        <stp>20090610</stp>
        <stp>[Copy of 02_cpr_main.xlsx]data!R226C10</stp>
        <stp>Dts=H</stp>
        <tr r="J226" s="2"/>
      </tp>
    </main>
    <main first="bloomberg.rtd">
      <tp t="s">
        <v>#N/A Invalid Field</v>
        <stp/>
        <stp>##V3_BDHV12</stp>
        <stp>31349SF40 Mtge</stp>
        <stp>MTG_GEN_CPR_12M</stp>
        <stp>20090610</stp>
        <stp>20090610</stp>
        <stp>[Copy of 02_cpr_main.xlsx]data!R157C10</stp>
        <stp>Dts=H</stp>
        <tr r="J157" s="2"/>
      </tp>
      <tp t="s">
        <v>#N/A Invalid Field</v>
        <stp/>
        <stp>##V3_BDHV12</stp>
        <stp>31404UE63 Mtge</stp>
        <stp>MTG_GEN_CPR_12M</stp>
        <stp>20090610</stp>
        <stp>20090610</stp>
        <stp>[Copy of 02_cpr_main.xlsx]data!R319C10</stp>
        <stp>Dts=H</stp>
        <tr r="J319" s="2"/>
      </tp>
      <tp t="s">
        <v>#N/A Invalid Field</v>
        <stp/>
        <stp>##V3_BDHV12</stp>
        <stp>31413BEW7 Mtge</stp>
        <stp>MTG_GEN_CPR_12M</stp>
        <stp>20090610</stp>
        <stp>20090610</stp>
        <stp>[Copy of 02_cpr_main.xlsx]data!R417C10</stp>
        <stp>Dts=H</stp>
        <tr r="J417" s="2"/>
      </tp>
    </main>
    <main first="bloomberg.rtd">
      <tp t="s">
        <v>#N/A Invalid Field</v>
        <stp/>
        <stp>##V3_BDHV12</stp>
        <stp>31402RLV9 Mtge</stp>
        <stp>MTG_GEN_CPR_12M</stp>
        <stp>20090610</stp>
        <stp>20090610</stp>
        <stp>[Copy of 02_cpr_main.xlsx]data!R286C10</stp>
        <stp>Dts=H</stp>
        <tr r="J286" s="2"/>
      </tp>
    </main>
    <main first="bloomberg.rtd">
      <tp t="s">
        <v>#N/A Invalid Field</v>
        <stp/>
        <stp>##V3_BDHV12</stp>
        <stp>31412PEV9 Mtge</stp>
        <stp>MTG_GEN_CPR_12M</stp>
        <stp>20090610</stp>
        <stp>20090610</stp>
        <stp>[Copy of 02_cpr_main.xlsx]data!R412C10</stp>
        <stp>Dts=H</stp>
        <tr r="J412" s="2"/>
      </tp>
    </main>
    <main first="bloomberg.rtd">
      <tp t="s">
        <v>#N/A Invalid Field</v>
        <stp/>
        <stp>##V3_BDHV12</stp>
        <stp>31297VFX1 Mtge</stp>
        <stp>MTG_GEN_CPR_12M</stp>
        <stp>20090610</stp>
        <stp>20090610</stp>
        <stp>[Copy of 02_cpr_main.xlsx]data!R149C10</stp>
        <stp>Dts=H</stp>
        <tr r="J149" s="2"/>
      </tp>
    </main>
    <main first="bloomberg.rtd">
      <tp t="s">
        <v>#N/A Invalid Field</v>
        <stp/>
        <stp>##V3_BDHV12</stp>
        <stp>31371LDY2 Mtge</stp>
        <stp>MTG_GEN_CPR_12M</stp>
        <stp>20090610</stp>
        <stp>20090610</stp>
        <stp>[Copy of 02_cpr_main.xlsx]data!R175C10</stp>
        <stp>Dts=H</stp>
        <tr r="J175" s="2"/>
      </tp>
    </main>
    <main first="bloomberg.rtd">
      <tp t="s">
        <v>#N/A Invalid Field</v>
        <stp/>
        <stp>##V3_BDHV12</stp>
        <stp>31371KDF5 Mtge</stp>
        <stp>MTG_GEN_CPR_12M</stp>
        <stp>20090610</stp>
        <stp>20090610</stp>
        <stp>[Copy of 02_cpr_main.xlsx]data!R170C10</stp>
        <stp>Dts=H</stp>
        <tr r="J170" s="2"/>
      </tp>
    </main>
    <main first="bloomberg.rtd">
      <tp t="s">
        <v>#N/A Invalid Field</v>
        <stp/>
        <stp>##V3_BDHV12</stp>
        <stp>31402WMC9 Mtge</stp>
        <stp>MTG_GEN_CPR_12M</stp>
        <stp>20090610</stp>
        <stp>20090610</stp>
        <stp>[Copy of 02_cpr_main.xlsx]data!R290C10</stp>
        <stp>Dts=H</stp>
        <tr r="J290" s="2"/>
      </tp>
    </main>
    <main first="bloomberg.rtd">
      <tp t="s">
        <v>#N/A Invalid Field</v>
        <stp/>
        <stp>##V3_BDHV12</stp>
        <stp>31377KKG9 Mtge</stp>
        <stp>MTG_GEN_CPR_12M</stp>
        <stp>20090610</stp>
        <stp>20090610</stp>
        <stp>[Copy of 02_cpr_main.xlsx]data!R187C10</stp>
        <stp>Dts=H</stp>
        <tr r="J187" s="2"/>
      </tp>
      <tp t="s">
        <v>#N/A Invalid Field</v>
        <stp/>
        <stp>##V3_BDHV12</stp>
        <stp>31349UFK9 Mtge</stp>
        <stp>MTG_GEN_CPR_12M</stp>
        <stp>20090610</stp>
        <stp>20090610</stp>
        <stp>[Copy of 02_cpr_main.xlsx]data!R158C10</stp>
        <stp>Dts=H</stp>
        <tr r="J158" s="2"/>
      </tp>
    </main>
    <main first="bloomberg.rtd">
      <tp t="s">
        <v>#N/A Invalid Field</v>
        <stp/>
        <stp>##V3_BDHV12</stp>
        <stp>31403EDC8 Mtge</stp>
        <stp>MTG_GEN_CPR_12M</stp>
        <stp>20090610</stp>
        <stp>20090610</stp>
        <stp>[Copy of 02_cpr_main.xlsx]data!R305C10</stp>
        <stp>Dts=H</stp>
        <tr r="J305" s="2"/>
      </tp>
    </main>
    <main first="bloomberg.rtd">
      <tp t="s">
        <v>#N/A Invalid Field</v>
        <stp/>
        <stp>##V3_BDHV12</stp>
        <stp>36200EDN8 Mtge</stp>
        <stp>MTG_GEN_CPR_12M</stp>
        <stp>20090610</stp>
        <stp>20090610</stp>
        <stp>[Copy of 02_cpr_main.xlsx]data!R463C10</stp>
        <stp>Dts=H</stp>
        <tr r="J463" s="2"/>
      </tp>
      <tp t="s">
        <v>#N/A Invalid Field</v>
        <stp/>
        <stp>##V3_BDHV12</stp>
        <stp>31406QGE1 Mtge</stp>
        <stp>MTG_GEN_CPR_12M</stp>
        <stp>20090610</stp>
        <stp>20090610</stp>
        <stp>[Copy of 02_cpr_main.xlsx]data!R338C10</stp>
        <stp>Dts=H</stp>
        <tr r="J338" s="2"/>
      </tp>
    </main>
    <main first="bloomberg.rtd">
      <tp t="s">
        <v>#N/A Invalid Field</v>
        <stp/>
        <stp>##V3_BDHV12</stp>
        <stp>31400JA25 Mtge</stp>
        <stp>MTG_GEN_CPR_12M</stp>
        <stp>20090610</stp>
        <stp>20090610</stp>
        <stp>[Copy of 02_cpr_main.xlsx]data!R245C10</stp>
        <stp>Dts=H</stp>
        <tr r="J245" s="2"/>
      </tp>
      <tp t="s">
        <v>#N/A Invalid Field</v>
        <stp/>
        <stp>##V3_BDHV12</stp>
        <stp>31405VG76 Mtge</stp>
        <stp>MTG_GEN_CPR_12M</stp>
        <stp>20090610</stp>
        <stp>20090610</stp>
        <stp>[Copy of 02_cpr_main.xlsx]data!R329C10</stp>
        <stp>Dts=H</stp>
        <tr r="J329" s="2"/>
      </tp>
      <tp t="s">
        <v>#N/A Invalid Field</v>
        <stp/>
        <stp>##V3_BDHV12</stp>
        <stp>31402RBX6 Mtge</stp>
        <stp>MTG_GEN_CPR_12M</stp>
        <stp>20090610</stp>
        <stp>20090610</stp>
        <stp>[Copy of 02_cpr_main.xlsx]data!R279C10</stp>
        <stp>Dts=H</stp>
        <tr r="J279" s="2"/>
      </tp>
    </main>
    <main first="bloomberg.rtd">
      <tp t="s">
        <v>#N/A Invalid Field</v>
        <stp/>
        <stp>##V3_BDHV12</stp>
        <stp>31414KAV2 Mtge</stp>
        <stp>MTG_GEN_CPR_12M</stp>
        <stp>20090610</stp>
        <stp>20090610</stp>
        <stp>[Copy of 02_cpr_main.xlsx]data!R440C10</stp>
        <stp>Dts=H</stp>
        <tr r="J440" s="2"/>
      </tp>
    </main>
    <main first="bloomberg.rtd">
      <tp t="s">
        <v>#N/A Invalid Field</v>
        <stp/>
        <stp>##V3_BDHV12</stp>
        <stp>31293UAS3 Mtge</stp>
        <stp>MTG_GEN_CPR_12M</stp>
        <stp>20090610</stp>
        <stp>20090610</stp>
        <stp>[Copy of 02_cpr_main.xlsx]data!R123C10</stp>
        <stp>Dts=H</stp>
        <tr r="J123" s="2"/>
      </tp>
    </main>
    <main first="bloomberg.rtd">
      <tp t="s">
        <v>#N/A Invalid Field</v>
        <stp/>
        <stp>##V3_BDHV12</stp>
        <stp>31293WAR1 Mtge</stp>
        <stp>MTG_GEN_CPR_12M</stp>
        <stp>20090610</stp>
        <stp>20090610</stp>
        <stp>[Copy of 02_cpr_main.xlsx]data!R125C10</stp>
        <stp>Dts=H</stp>
        <tr r="J125" s="2"/>
      </tp>
    </main>
    <main first="bloomberg.rtd">
      <tp t="s">
        <v>#N/A Invalid Field</v>
        <stp/>
        <stp>##V3_BDHV12</stp>
        <stp>31371NJD8 Mtge</stp>
        <stp>MTG_GEN_CPR_12M</stp>
        <stp>20090610</stp>
        <stp>20090610</stp>
        <stp>[Copy of 02_cpr_main.xlsx]data!R181C10</stp>
        <stp>Dts=H</stp>
        <tr r="J181" s="2"/>
      </tp>
      <tp t="s">
        <v>#N/A Invalid Field</v>
        <stp/>
        <stp>##V3_BDHV12</stp>
        <stp>31391KAL1 Mtge</stp>
        <stp>MTG_GEN_CPR_12M</stp>
        <stp>20090610</stp>
        <stp>20090610</stp>
        <stp>[Copy of 02_cpr_main.xlsx]data!R237C10</stp>
        <stp>Dts=H</stp>
        <tr r="J237" s="2"/>
      </tp>
    </main>
    <main first="bloomberg.rtd">
      <tp t="s">
        <v>#N/A Invalid Field</v>
        <stp/>
        <stp>##V3_BDHV12</stp>
        <stp>31382LKE5 Mtge</stp>
        <stp>MTG_GEN_CPR_12M</stp>
        <stp>20090610</stp>
        <stp>20090610</stp>
        <stp>[Copy of 02_cpr_main.xlsx]data!R199C10</stp>
        <stp>Dts=H</stp>
        <tr r="J199" s="2"/>
      </tp>
    </main>
    <main first="bloomberg.rtd">
      <tp t="s">
        <v>#N/A Invalid Field</v>
        <stp/>
        <stp>##V3_BDHV12</stp>
        <stp>31414QAE7 Mtge</stp>
        <stp>MTG_GEN_CPR_12M</stp>
        <stp>20090610</stp>
        <stp>20090610</stp>
        <stp>[Copy of 02_cpr_main.xlsx]data!R443C10</stp>
        <stp>Dts=H</stp>
        <tr r="J443" s="2"/>
      </tp>
    </main>
    <main first="bloomberg.rtd">
      <tp t="s">
        <v>#N/A Invalid Field</v>
        <stp/>
        <stp>##V3_BDHV12</stp>
        <stp>36201JDG1 Mtge</stp>
        <stp>MTG_GEN_CPR_12M</stp>
        <stp>20090610</stp>
        <stp>20090610</stp>
        <stp>[Copy of 02_cpr_main.xlsx]data!R471C10</stp>
        <stp>Dts=H</stp>
        <tr r="J471" s="2"/>
      </tp>
    </main>
    <main first="bloomberg.rtd">
      <tp t="s">
        <v>#N/A Invalid Field</v>
        <stp/>
        <stp>##V3_BDHV12</stp>
        <stp>31414LAH1 Mtge</stp>
        <stp>MTG_GEN_CPR_12M</stp>
        <stp>20090610</stp>
        <stp>20090610</stp>
        <stp>[Copy of 02_cpr_main.xlsx]data!R441C10</stp>
        <stp>Dts=H</stp>
        <tr r="J441" s="2"/>
      </tp>
    </main>
    <main first="bloomberg.rtd">
      <tp t="s">
        <v>#N/A Invalid Field</v>
        <stp/>
        <stp>##V3_BDHV12</stp>
        <stp>31406YB58 Mtge</stp>
        <stp>MTG_GEN_CPR_12M</stp>
        <stp>20090610</stp>
        <stp>20090610</stp>
        <stp>[Copy of 02_cpr_main.xlsx]data!R341C10</stp>
        <stp>Dts=H</stp>
        <tr r="J341" s="2"/>
      </tp>
      <tp t="s">
        <v>#N/A Invalid Field</v>
        <stp/>
        <stp>##V3_BDHV12</stp>
        <stp>31388TC68 Mtge</stp>
        <stp>MTG_GEN_CPR_12M</stp>
        <stp>20090610</stp>
        <stp>20090610</stp>
        <stp>[Copy of 02_cpr_main.xlsx]data!R229C10</stp>
        <stp>Dts=H</stp>
        <tr r="J229" s="2"/>
      </tp>
    </main>
    <main first="bloomberg.rtd">
      <tp t="s">
        <v>#N/A Invalid Field</v>
        <stp/>
        <stp>##V3_BDHV12</stp>
        <stp>31388PCR0 Mtge</stp>
        <stp>MTG_GEN_CPR_12M</stp>
        <stp>20090610</stp>
        <stp>20090610</stp>
        <stp>[Copy of 02_cpr_main.xlsx]data!R228C10</stp>
        <stp>Dts=H</stp>
        <tr r="J228" s="2"/>
      </tp>
    </main>
    <main first="bloomberg.rtd">
      <tp t="s">
        <v>#N/A Invalid Field</v>
        <stp/>
        <stp>##V3_BDHV12</stp>
        <stp>31391REW8 Mtge</stp>
        <stp>MTG_GEN_CPR_12M</stp>
        <stp>20090610</stp>
        <stp>20090610</stp>
        <stp>[Copy of 02_cpr_main.xlsx]data!R241C10</stp>
        <stp>Dts=H</stp>
        <tr r="J241" s="2"/>
      </tp>
      <tp t="s">
        <v>#N/A Invalid Field</v>
        <stp/>
        <stp>##V3_BDHV12</stp>
        <stp>31400JBY4 Mtge</stp>
        <stp>MTG_GEN_CPR_12M</stp>
        <stp>20090610</stp>
        <stp>20090610</stp>
        <stp>[Copy of 02_cpr_main.xlsx]data!R246C10</stp>
        <stp>Dts=H</stp>
        <tr r="J246" s="2"/>
      </tp>
    </main>
    <main first="bloomberg.rtd">
      <tp t="s">
        <v>#N/A Invalid Field</v>
        <stp/>
        <stp>##V3_BDHV12</stp>
        <stp>31407JBC5 Mtge</stp>
        <stp>MTG_GEN_CPR_12M</stp>
        <stp>20090610</stp>
        <stp>20090610</stp>
        <stp>[Copy of 02_cpr_main.xlsx]data!R342C10</stp>
        <stp>Dts=H</stp>
        <tr r="J342" s="2"/>
      </tp>
    </main>
    <main first="bloomberg.rtd">
      <tp t="s">
        <v>#N/A Invalid Field</v>
        <stp/>
        <stp>##V3_BDHV12</stp>
        <stp>31415SCE0 Mtge</stp>
        <stp>MTG_GEN_CPR_12M</stp>
        <stp>20090610</stp>
        <stp>20090610</stp>
        <stp>[Copy of 02_cpr_main.xlsx]data!R454C10</stp>
        <stp>Dts=H</stp>
        <tr r="J454" s="2"/>
      </tp>
      <tp t="s">
        <v>#N/A Invalid Field</v>
        <stp/>
        <stp>##V3_BDHV12</stp>
        <stp>31415BBF5 Mtge</stp>
        <stp>MTG_GEN_CPR_12M</stp>
        <stp>20090610</stp>
        <stp>20090610</stp>
        <stp>[Copy of 02_cpr_main.xlsx]data!R447C10</stp>
        <stp>Dts=H</stp>
        <tr r="J447" s="2"/>
      </tp>
      <tp t="s">
        <v>#N/A Invalid Field</v>
        <stp/>
        <stp>##V3_BDHV12</stp>
        <stp>31401KCF0 Mtge</stp>
        <stp>MTG_GEN_CPR_12M</stp>
        <stp>20090610</stp>
        <stp>20090610</stp>
        <stp>[Copy of 02_cpr_main.xlsx]data!R256C10</stp>
        <stp>Dts=H</stp>
        <tr r="J256" s="2"/>
      </tp>
    </main>
    <main first="bloomberg.rtd">
      <tp t="s">
        <v>#N/A Invalid Field</v>
        <stp/>
        <stp>##V3_BDHV12</stp>
        <stp>36202WGD5 Mtge</stp>
        <stp>MTG_GEN_CPR_12M</stp>
        <stp>20090610</stp>
        <stp>20090610</stp>
        <stp>[Copy of 02_cpr_main.xlsx]data!R476C10</stp>
        <stp>Dts=H</stp>
        <tr r="J476" s="2"/>
      </tp>
    </main>
    <main first="bloomberg.rtd">
      <tp t="s">
        <v>#N/A Invalid Field</v>
        <stp/>
        <stp>##V3_BDHV12</stp>
        <stp>31404YDK5 Mtge</stp>
        <stp>MTG_GEN_CPR_12M</stp>
        <stp>20090610</stp>
        <stp>20090610</stp>
        <stp>[Copy of 02_cpr_main.xlsx]data!R322C10</stp>
        <stp>Dts=H</stp>
        <tr r="J322" s="2"/>
      </tp>
    </main>
    <main first="bloomberg.rtd">
      <tp t="s">
        <v>#N/A Invalid Field</v>
        <stp/>
        <stp>##V3_BDHV12</stp>
        <stp>31413AGJ6 Mtge</stp>
        <stp>MTG_GEN_CPR_12M</stp>
        <stp>20090610</stp>
        <stp>20090610</stp>
        <stp>[Copy of 02_cpr_main.xlsx]data!R416C10</stp>
        <stp>Dts=H</stp>
        <tr r="J416" s="2"/>
      </tp>
      <tp t="s">
        <v>#N/A Invalid Field</v>
        <stp/>
        <stp>##V3_BDHV12</stp>
        <stp>31404GGN5 Mtge</stp>
        <stp>MTG_GEN_CPR_12M</stp>
        <stp>20090610</stp>
        <stp>20090610</stp>
        <stp>[Copy of 02_cpr_main.xlsx]data!R313C10</stp>
        <stp>Dts=H</stp>
        <tr r="J313" s="2"/>
      </tp>
      <tp t="s">
        <v>#N/A Invalid Field</v>
        <stp/>
        <stp>##V3_BDHV12</stp>
        <stp>31413DGE1 Mtge</stp>
        <stp>MTG_GEN_CPR_12M</stp>
        <stp>20090610</stp>
        <stp>20090610</stp>
        <stp>[Copy of 02_cpr_main.xlsx]data!R419C10</stp>
        <stp>Dts=H</stp>
        <tr r="J419" s="2"/>
      </tp>
    </main>
    <main first="bloomberg.rtd">
      <tp t="s">
        <v>#N/A Invalid Field</v>
        <stp/>
        <stp>##V3_BDHV12</stp>
        <stp>31413ME78 Mtge</stp>
        <stp>MTG_GEN_CPR_12M</stp>
        <stp>20090610</stp>
        <stp>20090610</stp>
        <stp>[Copy of 02_cpr_main.xlsx]data!R427C10</stp>
        <stp>Dts=H</stp>
        <tr r="J427" s="2"/>
      </tp>
    </main>
    <main first="bloomberg.rtd">
      <tp t="s">
        <v>#N/A Invalid Field</v>
        <stp/>
        <stp>##V3_BDHV12</stp>
        <stp>31413NDT9 Mtge</stp>
        <stp>MTG_GEN_CPR_12M</stp>
        <stp>20090610</stp>
        <stp>20090610</stp>
        <stp>[Copy of 02_cpr_main.xlsx]data!R430C10</stp>
        <stp>Dts=H</stp>
        <tr r="J430" s="2"/>
      </tp>
      <tp t="s">
        <v>#N/A Invalid Field</v>
        <stp/>
        <stp>##V3_BDHV12</stp>
        <stp>36201JFW4 Mtge</stp>
        <stp>MTG_GEN_CPR_12M</stp>
        <stp>20090610</stp>
        <stp>20090610</stp>
        <stp>[Copy of 02_cpr_main.xlsx]data!R472C10</stp>
        <stp>Dts=H</stp>
        <tr r="J472" s="2"/>
      </tp>
    </main>
    <main first="bloomberg.rtd">
      <tp t="s">
        <v>#N/A Invalid Field</v>
        <stp/>
        <stp>##V3_BDHV12</stp>
        <stp>31293VCT7 Mtge</stp>
        <stp>MTG_GEN_CPR_12M</stp>
        <stp>20090610</stp>
        <stp>20090610</stp>
        <stp>[Copy of 02_cpr_main.xlsx]data!R124C10</stp>
        <stp>Dts=H</stp>
        <tr r="J124" s="2"/>
      </tp>
    </main>
    <main first="bloomberg.rtd">
      <tp t="s">
        <v>#N/A Invalid Field</v>
        <stp/>
        <stp>##V3_BDHV12</stp>
        <stp>31417YAY3 Mtge</stp>
        <stp>MTG_GEN_CPR_12M</stp>
        <stp>20090610</stp>
        <stp>20090610</stp>
        <stp>[Copy of 02_cpr_main.xlsx]data!R462C10</stp>
        <stp>Dts=H</stp>
        <tr r="J462" s="2"/>
      </tp>
    </main>
    <main first="bloomberg.rtd">
      <tp t="s">
        <v>#N/A Invalid Field</v>
        <stp/>
        <stp>##V3_BDHV12</stp>
        <stp>31406GDY2 Mtge</stp>
        <stp>MTG_GEN_CPR_12M</stp>
        <stp>20090610</stp>
        <stp>20090610</stp>
        <stp>[Copy of 02_cpr_main.xlsx]data!R336C10</stp>
        <stp>Dts=H</stp>
        <tr r="J336" s="2"/>
      </tp>
    </main>
    <main first="bloomberg.rtd">
      <tp t="s">
        <v>#N/A Invalid Field</v>
        <stp/>
        <stp>##V3_BDHV12</stp>
        <stp>3128PPAR4 Mtge</stp>
        <stp>MTG_GEN_CPR_12M</stp>
        <stp>20090610</stp>
        <stp>20090610</stp>
        <stp>[Copy of 02_cpr_main.xlsx]data!R104C10</stp>
        <stp>Dts=H</stp>
        <tr r="J104" s="2"/>
      </tp>
      <tp t="s">
        <v>#N/A Invalid Field</v>
        <stp/>
        <stp>##V3_BDHV12</stp>
        <stp>3128PPAS2 Mtge</stp>
        <stp>MTG_GEN_CPR_12M</stp>
        <stp>20090610</stp>
        <stp>20090610</stp>
        <stp>[Copy of 02_cpr_main.xlsx]data!R105C10</stp>
        <stp>Dts=H</stp>
        <tr r="J105" s="2"/>
      </tp>
    </main>
    <main first="bloomberg.rtd">
      <tp t="s">
        <v>#N/A Invalid Field</v>
        <stp/>
        <stp>##V3_BDHV12</stp>
        <stp>31411YGA5 Mtge</stp>
        <stp>MTG_GEN_CPR_12M</stp>
        <stp>20090610</stp>
        <stp>20090610</stp>
        <stp>[Copy of 02_cpr_main.xlsx]data!R400C10</stp>
        <stp>Dts=H</stp>
        <tr r="J400" s="2"/>
      </tp>
    </main>
    <main first="bloomberg.rtd">
      <tp t="s">
        <v>#N/A Invalid Field</v>
        <stp/>
        <stp>##V3_BDHV12</stp>
        <stp>31411SNF9 Mtge</stp>
        <stp>MTG_GEN_CPR_12M</stp>
        <stp>20090610</stp>
        <stp>20090610</stp>
        <stp>[Copy of 02_cpr_main.xlsx]data!R394C10</stp>
        <stp>Dts=H</stp>
        <tr r="J394" s="2"/>
      </tp>
    </main>
    <main first="bloomberg.rtd">
      <tp t="s">
        <v>#N/A Invalid Field</v>
        <stp/>
        <stp>##V3_BDHV12</stp>
        <stp>31371KGN5 Mtge</stp>
        <stp>MTG_GEN_CPR_12M</stp>
        <stp>20090610</stp>
        <stp>20090610</stp>
        <stp>[Copy of 02_cpr_main.xlsx]data!R171C10</stp>
        <stp>Dts=H</stp>
        <tr r="J171" s="2"/>
      </tp>
    </main>
    <main first="bloomberg.rtd">
      <tp t="s">
        <v>#N/A Invalid Field</v>
        <stp/>
        <stp>##V3_BDHV12</stp>
        <stp>31414HDB0 Mtge</stp>
        <stp>MTG_GEN_CPR_12M</stp>
        <stp>20090610</stp>
        <stp>20090610</stp>
        <stp>[Copy of 02_cpr_main.xlsx]data!R439C10</stp>
        <stp>Dts=H</stp>
        <tr r="J439" s="2"/>
      </tp>
    </main>
    <main first="bloomberg.rtd">
      <tp t="s">
        <v>#N/A Invalid Field</v>
        <stp/>
        <stp>##V3_BDHV12</stp>
        <stp>31412YFJ6 Mtge</stp>
        <stp>MTG_GEN_CPR_12M</stp>
        <stp>20090610</stp>
        <stp>20090610</stp>
        <stp>[Copy of 02_cpr_main.xlsx]data!R415C10</stp>
        <stp>Dts=H</stp>
        <tr r="J415" s="2"/>
      </tp>
    </main>
    <main first="bloomberg.rtd">
      <tp t="s">
        <v>#N/A Invalid Field</v>
        <stp/>
        <stp>##V3_BDHV12</stp>
        <stp>31402RH28 Mtge</stp>
        <stp>MTG_GEN_CPR_12M</stp>
        <stp>20090610</stp>
        <stp>20090610</stp>
        <stp>[Copy of 02_cpr_main.xlsx]data!R284C10</stp>
        <stp>Dts=H</stp>
        <tr r="J284" s="2"/>
      </tp>
      <tp t="s">
        <v>#N/A Invalid Field</v>
        <stp/>
        <stp>##V3_BDHV12</stp>
        <stp>31404QA74 Mtge</stp>
        <stp>MTG_GEN_CPR_12M</stp>
        <stp>20090610</stp>
        <stp>20090610</stp>
        <stp>[Copy of 02_cpr_main.xlsx]data!R318C10</stp>
        <stp>Dts=H</stp>
        <tr r="J318" s="2"/>
      </tp>
      <tp t="s">
        <v>#N/A Invalid Field</v>
        <stp/>
        <stp>##V3_BDHV12</stp>
        <stp>31410GFV0 Mtge</stp>
        <stp>MTG_GEN_CPR_12M</stp>
        <stp>20090610</stp>
        <stp>20090610</stp>
        <stp>[Copy of 02_cpr_main.xlsx]data!R366C10</stp>
        <stp>Dts=H</stp>
        <tr r="J366" s="2"/>
      </tp>
    </main>
    <main first="bloomberg.rtd">
      <tp t="s">
        <v>#N/A Invalid Field</v>
        <stp/>
        <stp>##V3_BDHV12</stp>
        <stp>31413KBU4 Mtge</stp>
        <stp>MTG_GEN_CPR_12M</stp>
        <stp>20090610</stp>
        <stp>20090610</stp>
        <stp>[Copy of 02_cpr_main.xlsx]data!R424C10</stp>
        <stp>Dts=H</stp>
        <tr r="J424" s="2"/>
      </tp>
      <tp t="s">
        <v>#N/A Invalid Field</v>
        <stp/>
        <stp>##V3_BDHV12</stp>
        <stp>31413SCS1 Mtge</stp>
        <stp>MTG_GEN_CPR_12M</stp>
        <stp>20090610</stp>
        <stp>20090610</stp>
        <stp>[Copy of 02_cpr_main.xlsx]data!R432C10</stp>
        <stp>Dts=H</stp>
        <tr r="J432" s="2"/>
      </tp>
    </main>
    <main first="bloomberg.rtd">
      <tp t="s">
        <v>#N/A Invalid Field</v>
        <stp/>
        <stp>##V3_BDHV12</stp>
        <stp>31402UHZ8 Mtge</stp>
        <stp>MTG_GEN_CPR_12M</stp>
        <stp>20090610</stp>
        <stp>20090610</stp>
        <stp>[Copy of 02_cpr_main.xlsx]data!R289C10</stp>
        <stp>Dts=H</stp>
        <tr r="J289" s="2"/>
      </tp>
    </main>
    <main first="bloomberg.rtd">
      <tp t="s">
        <v>#N/A Invalid Field</v>
        <stp/>
        <stp>##V3_BDHV12</stp>
        <stp>31380GNU9 Mtge</stp>
        <stp>MTG_GEN_CPR_12M</stp>
        <stp>20090610</stp>
        <stp>20090610</stp>
        <stp>[Copy of 02_cpr_main.xlsx]data!R191C10</stp>
        <stp>Dts=H</stp>
        <tr r="J191" s="2"/>
      </tp>
    </main>
    <main first="bloomberg.rtd">
      <tp t="s">
        <v>#N/A Invalid Field</v>
        <stp/>
        <stp>##V3_BDHV12</stp>
        <stp>31385XEC7 Mtge</stp>
        <stp>MTG_GEN_CPR_12M</stp>
        <stp>20090610</stp>
        <stp>20090610</stp>
        <stp>[Copy of 02_cpr_main.xlsx]data!R221C10</stp>
        <stp>Dts=H</stp>
        <tr r="J221" s="2"/>
      </tp>
    </main>
    <main first="bloomberg.rtd">
      <tp t="s">
        <v>#N/A Invalid Field</v>
        <stp/>
        <stp>##V3_BDHV12</stp>
        <stp>312962EA7 Mtge</stp>
        <stp>MTG_GEN_CPR_12M</stp>
        <stp>20090610</stp>
        <stp>20090610</stp>
        <stp>[Copy of 02_cpr_main.xlsx]data!R137C10</stp>
        <stp>Dts=H</stp>
        <tr r="J137" s="2"/>
      </tp>
    </main>
    <main first="bloomberg.rtd">
      <tp t="s">
        <v>#N/A Invalid Field</v>
        <stp/>
        <stp>##V3_BDHV12</stp>
        <stp>31407LE60 Mtge</stp>
        <stp>MTG_GEN_CPR_12M</stp>
        <stp>20090610</stp>
        <stp>20090610</stp>
        <stp>[Copy of 02_cpr_main.xlsx]data!R344C10</stp>
        <stp>Dts=H</stp>
        <tr r="J344" s="2"/>
      </tp>
      <tp t="s">
        <v>#N/A Invalid Field</v>
        <stp/>
        <stp>##V3_BDHV12</stp>
        <stp>31296MC64 Mtge</stp>
        <stp>MTG_GEN_CPR_12M</stp>
        <stp>20090610</stp>
        <stp>20090610</stp>
        <stp>[Copy of 02_cpr_main.xlsx]data!R143C10</stp>
        <stp>Dts=H</stp>
        <tr r="J143" s="2"/>
      </tp>
    </main>
    <main first="bloomberg.rtd">
      <tp t="s">
        <v>#N/A Invalid Field</v>
        <stp/>
        <stp>##V3_BDHV12</stp>
        <stp>31402BGQ1 Mtge</stp>
        <stp>MTG_GEN_CPR_12M</stp>
        <stp>20090610</stp>
        <stp>20090610</stp>
        <stp>[Copy of 02_cpr_main.xlsx]data!R262C10</stp>
        <stp>Dts=H</stp>
        <tr r="J262" s="2"/>
      </tp>
    </main>
    <main first="bloomberg.rtd">
      <tp t="s">
        <v>#N/A Invalid Field</v>
        <stp/>
        <stp>##V3_BDHV12</stp>
        <stp>31413NCZ6 Mtge</stp>
        <stp>MTG_GEN_CPR_12M</stp>
        <stp>20090610</stp>
        <stp>20090610</stp>
        <stp>[Copy of 02_cpr_main.xlsx]data!R429C10</stp>
        <stp>Dts=H</stp>
        <tr r="J429" s="2"/>
      </tp>
    </main>
    <main first="bloomberg.rtd">
      <tp t="s">
        <v>#N/A Invalid Field</v>
        <stp/>
        <stp>##V3_BDHV12</stp>
        <stp>31401MDP3 Mtge</stp>
        <stp>MTG_GEN_CPR_12M</stp>
        <stp>20090610</stp>
        <stp>20090610</stp>
        <stp>[Copy of 02_cpr_main.xlsx]data!R258C10</stp>
        <stp>Dts=H</stp>
        <tr r="J258" s="2"/>
      </tp>
    </main>
    <main first="bloomberg.rtd">
      <tp t="s">
        <v>#N/A Invalid Field</v>
        <stp/>
        <stp>##V3_BDHV12</stp>
        <stp>31385XDL8 Mtge</stp>
        <stp>MTG_GEN_CPR_12M</stp>
        <stp>20090610</stp>
        <stp>20090610</stp>
        <stp>[Copy of 02_cpr_main.xlsx]data!R220C10</stp>
        <stp>Dts=H</stp>
        <tr r="J220" s="2"/>
      </tp>
      <tp t="s">
        <v>#N/A Invalid Field</v>
        <stp/>
        <stp>##V3_BDHV12</stp>
        <stp>31407LEA1 Mtge</stp>
        <stp>MTG_GEN_CPR_12M</stp>
        <stp>20090610</stp>
        <stp>20090610</stp>
        <stp>[Copy of 02_cpr_main.xlsx]data!R345C10</stp>
        <stp>Dts=H</stp>
        <tr r="J345" s="2"/>
      </tp>
    </main>
    <main first="bloomberg.rtd">
      <tp t="s">
        <v>#N/A Invalid Field</v>
        <stp/>
        <stp>##V3_BDHV12</stp>
        <stp>31402FFF7 Mtge</stp>
        <stp>MTG_GEN_CPR_12M</stp>
        <stp>20090610</stp>
        <stp>20090610</stp>
        <stp>[Copy of 02_cpr_main.xlsx]data!R271C10</stp>
        <stp>Dts=H</stp>
        <tr r="J271" s="2"/>
      </tp>
    </main>
    <main first="bloomberg.rtd">
      <tp t="s">
        <v>#N/A Invalid Field</v>
        <stp/>
        <stp>##V3_BDHV12</stp>
        <stp>3128Q2GG2 Mtge</stp>
        <stp>MTG_GEN_CPR_12M</stp>
        <stp>20090610</stp>
        <stp>20090610</stp>
        <stp>[Copy of 02_cpr_main.xlsx]data!R106C10</stp>
        <stp>Dts=H</stp>
        <tr r="J106" s="2"/>
      </tp>
      <tp t="s">
        <v>#N/A Invalid Field</v>
        <stp/>
        <stp>##V3_BDHV12</stp>
        <stp>31374GNK9 Mtge</stp>
        <stp>MTG_GEN_CPR_12M</stp>
        <stp>20090610</stp>
        <stp>20090610</stp>
        <stp>[Copy of 02_cpr_main.xlsx]data!R184C10</stp>
        <stp>Dts=H</stp>
        <tr r="J184" s="2"/>
      </tp>
    </main>
    <main first="bloomberg.rtd">
      <tp t="s">
        <v>#N/A Invalid Field</v>
        <stp/>
        <stp>##V3_BDHV12</stp>
        <stp>36241KNL8 Mtge</stp>
        <stp>MTG_GEN_CPR_12M</stp>
        <stp>20090610</stp>
        <stp>20090610</stp>
        <stp>[Copy of 02_cpr_main.xlsx]data!R496C10</stp>
        <stp>Dts=H</stp>
        <tr r="J496" s="2"/>
      </tp>
    </main>
    <main first="bloomberg.rtd">
      <tp t="s">
        <v>#N/A Invalid Field</v>
        <stp/>
        <stp>##V3_BDHV12</stp>
        <stp>31371MB97 Mtge</stp>
        <stp>MTG_GEN_CPR_12M</stp>
        <stp>20090610</stp>
        <stp>20090610</stp>
        <stp>[Copy of 02_cpr_main.xlsx]data!R177C10</stp>
        <stp>Dts=H</stp>
        <tr r="J177" s="2"/>
      </tp>
      <tp t="s">
        <v>#N/A Invalid Field</v>
        <stp/>
        <stp>##V3_BDHV12</stp>
        <stp>36201YC95 Mtge</stp>
        <stp>MTG_GEN_CPR_12M</stp>
        <stp>20090610</stp>
        <stp>20090610</stp>
        <stp>[Copy of 02_cpr_main.xlsx]data!R474C10</stp>
        <stp>Dts=H</stp>
        <tr r="J474" s="2"/>
      </tp>
      <tp t="s">
        <v>#N/A Invalid Field</v>
        <stp/>
        <stp>##V3_BDHV12</stp>
        <stp>31385JD39 Mtge</stp>
        <stp>MTG_GEN_CPR_12M</stp>
        <stp>20090610</stp>
        <stp>20090610</stp>
        <stp>[Copy of 02_cpr_main.xlsx]data!R214C10</stp>
        <stp>Dts=H</stp>
        <tr r="J214" s="2"/>
      </tp>
    </main>
    <main first="bloomberg.rtd">
      <tp t="s">
        <v>#N/A Invalid Field</v>
        <stp/>
        <stp>##V3_BDHV12</stp>
        <stp>31382NES7 Mtge</stp>
        <stp>MTG_GEN_CPR_12M</stp>
        <stp>20090610</stp>
        <stp>20090610</stp>
        <stp>[Copy of 02_cpr_main.xlsx]data!R200C10</stp>
        <stp>Dts=H</stp>
        <tr r="J200" s="2"/>
      </tp>
    </main>
    <main first="bloomberg.rtd">
      <tp t="s">
        <v>#N/A Invalid Field</v>
        <stp/>
        <stp>##V3_BDHV12</stp>
        <stp>31391HFQ2 Mtge</stp>
        <stp>MTG_GEN_CPR_12M</stp>
        <stp>20090610</stp>
        <stp>20090610</stp>
        <stp>[Copy of 02_cpr_main.xlsx]data!R236C10</stp>
        <stp>Dts=H</stp>
        <tr r="J236" s="2"/>
      </tp>
    </main>
    <main first="bloomberg.rtd">
      <tp t="s">
        <v>#N/A Invalid Field</v>
        <stp/>
        <stp>##V3_BDHV12</stp>
        <stp>31402DDK3 Mtge</stp>
        <stp>MTG_GEN_CPR_12M</stp>
        <stp>20090610</stp>
        <stp>20090610</stp>
        <stp>[Copy of 02_cpr_main.xlsx]data!R269C10</stp>
        <stp>Dts=H</stp>
        <tr r="J269" s="2"/>
      </tp>
    </main>
    <main first="bloomberg.rtd">
      <tp t="s">
        <v>#N/A Invalid Field</v>
        <stp/>
        <stp>##V3_BDHV12</stp>
        <stp>31415QGG5 Mtge</stp>
        <stp>MTG_GEN_CPR_12M</stp>
        <stp>20090610</stp>
        <stp>20090610</stp>
        <stp>[Copy of 02_cpr_main.xlsx]data!R451C10</stp>
        <stp>Dts=H</stp>
        <tr r="J451" s="2"/>
      </tp>
      <tp t="s">
        <v>#N/A Invalid Field</v>
        <stp/>
        <stp>##V3_BDHV12</stp>
        <stp>31371LBD0 Mtge</stp>
        <stp>MTG_GEN_CPR_12M</stp>
        <stp>20090610</stp>
        <stp>20090610</stp>
        <stp>[Copy of 02_cpr_main.xlsx]data!R174C10</stp>
        <stp>Dts=H</stp>
        <tr r="J174" s="2"/>
      </tp>
    </main>
    <main first="bloomberg.rtd">
      <tp t="s">
        <v>#N/A Invalid Field</v>
        <stp/>
        <stp>##V3_BDHV12</stp>
        <stp>31402RJL4 Mtge</stp>
        <stp>MTG_GEN_CPR_12M</stp>
        <stp>20090610</stp>
        <stp>20090610</stp>
        <stp>[Copy of 02_cpr_main.xlsx]data!R285C10</stp>
        <stp>Dts=H</stp>
        <tr r="J285" s="2"/>
      </tp>
    </main>
    <main first="bloomberg.rtd">
      <tp t="s">
        <v>#N/A Invalid Field</v>
        <stp/>
        <stp>##V3_BDHV12</stp>
        <stp>31413CCD9 Mtge</stp>
        <stp>MTG_GEN_CPR_12M</stp>
        <stp>20090610</stp>
        <stp>20090610</stp>
        <stp>[Copy of 02_cpr_main.xlsx]data!R418C10</stp>
        <stp>Dts=H</stp>
        <tr r="J418" s="2"/>
      </tp>
    </main>
    <main first="bloomberg.rtd">
      <tp t="s">
        <v>#N/A Invalid Field</v>
        <stp/>
        <stp>##V3_BDHV12</stp>
        <stp>31293TFD4 Mtge</stp>
        <stp>MTG_GEN_CPR_12M</stp>
        <stp>20090610</stp>
        <stp>20090610</stp>
        <stp>[Copy of 02_cpr_main.xlsx]data!R122C10</stp>
        <stp>Dts=H</stp>
        <tr r="J122" s="2"/>
      </tp>
    </main>
    <main first="bloomberg.rtd">
      <tp t="s">
        <v>#N/A Invalid Field</v>
        <stp/>
        <stp>##V3_BDHV12</stp>
        <stp>31415TF70 Mtge</stp>
        <stp>MTG_GEN_CPR_12M</stp>
        <stp>20090610</stp>
        <stp>20090610</stp>
        <stp>[Copy of 02_cpr_main.xlsx]data!R455C10</stp>
        <stp>Dts=H</stp>
        <tr r="J455" s="2"/>
      </tp>
      <tp t="s">
        <v>#N/A Invalid Field</v>
        <stp/>
        <stp>##V3_BDHV12</stp>
        <stp>31410GE66 Mtge</stp>
        <stp>MTG_GEN_CPR_12M</stp>
        <stp>20090610</stp>
        <stp>20090610</stp>
        <stp>[Copy of 02_cpr_main.xlsx]data!R365C10</stp>
        <stp>Dts=H</stp>
        <tr r="J365" s="2"/>
      </tp>
      <tp t="s">
        <v>#N/A Invalid Field</v>
        <stp/>
        <stp>##V3_BDHV12</stp>
        <stp>31296NA23 Mtge</stp>
        <stp>MTG_GEN_CPR_12M</stp>
        <stp>20090610</stp>
        <stp>20090610</stp>
        <stp>[Copy of 02_cpr_main.xlsx]data!R144C10</stp>
        <stp>Dts=H</stp>
        <tr r="J144" s="2"/>
      </tp>
    </main>
    <main first="bloomberg.rtd">
      <tp t="s">
        <v>#N/A Invalid Field</v>
        <stp/>
        <stp>##V3_BDHV12</stp>
        <stp>31380RMS1 Mtge</stp>
        <stp>MTG_GEN_CPR_12M</stp>
        <stp>20090610</stp>
        <stp>20090610</stp>
        <stp>[Copy of 02_cpr_main.xlsx]data!R192C10</stp>
        <stp>Dts=H</stp>
        <tr r="J192" s="2"/>
      </tp>
    </main>
    <main first="bloomberg.rtd">
      <tp t="s">
        <v>#N/A Invalid Field</v>
        <stp/>
        <stp>##V3_BDHV12</stp>
        <stp>31374GLZ8 Mtge</stp>
        <stp>MTG_GEN_CPR_12M</stp>
        <stp>20090610</stp>
        <stp>20090610</stp>
        <stp>[Copy of 02_cpr_main.xlsx]data!R183C10</stp>
        <stp>Dts=H</stp>
        <tr r="J183" s="2"/>
      </tp>
    </main>
    <main first="bloomberg.rtd">
      <tp t="s">
        <v>#N/A Invalid Field</v>
        <stp/>
        <stp>##V3_BDHV12</stp>
        <stp>31412PBG5 Mtge</stp>
        <stp>MTG_GEN_CPR_12M</stp>
        <stp>20090610</stp>
        <stp>20090610</stp>
        <stp>[Copy of 02_cpr_main.xlsx]data!R411C10</stp>
        <stp>Dts=H</stp>
        <tr r="J411" s="2"/>
      </tp>
    </main>
    <main first="bloomberg.rtd">
      <tp t="s">
        <v>#N/A Invalid Field</v>
        <stp/>
        <stp>##V3_BDHV12</stp>
        <stp>31407KGJ2 Mtge</stp>
        <stp>MTG_GEN_CPR_12M</stp>
        <stp>20090610</stp>
        <stp>20090610</stp>
        <stp>[Copy of 02_cpr_main.xlsx]data!R343C10</stp>
        <stp>Dts=H</stp>
        <tr r="J343" s="2"/>
      </tp>
      <tp t="s">
        <v>#N/A Invalid Field</v>
        <stp/>
        <stp>##V3_BDHV12</stp>
        <stp>31385CEC3 Mtge</stp>
        <stp>MTG_GEN_CPR_12M</stp>
        <stp>20090610</stp>
        <stp>20090610</stp>
        <stp>[Copy of 02_cpr_main.xlsx]data!R212C10</stp>
        <stp>Dts=H</stp>
        <tr r="J212" s="2"/>
      </tp>
    </main>
    <main first="bloomberg.rtd">
      <tp t="s">
        <v>#N/A Invalid Field</v>
        <stp/>
        <stp>##V3_BDHV12</stp>
        <stp>36202SBN7 Mtge</stp>
        <stp>MTG_GEN_CPR_12M</stp>
        <stp>20090610</stp>
        <stp>20090610</stp>
        <stp>[Copy of 02_cpr_main.xlsx]data!R475C10</stp>
        <stp>Dts=H</stp>
        <tr r="J475" s="2"/>
      </tp>
      <tp t="s">
        <v>#N/A Invalid Field</v>
        <stp/>
        <stp>##V3_BDHV12</stp>
        <stp>31415RFH2 Mtge</stp>
        <stp>MTG_GEN_CPR_12M</stp>
        <stp>20090610</stp>
        <stp>20090610</stp>
        <stp>[Copy of 02_cpr_main.xlsx]data!R452C10</stp>
        <stp>Dts=H</stp>
        <tr r="J452" s="2"/>
      </tp>
    </main>
    <main first="bloomberg.rtd">
      <tp t="s">
        <v>#N/A Invalid Field</v>
        <stp/>
        <stp>##V3_BDHV12</stp>
        <stp>31415PGB8 Mtge</stp>
        <stp>MTG_GEN_CPR_12M</stp>
        <stp>20090610</stp>
        <stp>20090610</stp>
        <stp>[Copy of 02_cpr_main.xlsx]data!R449C10</stp>
        <stp>Dts=H</stp>
        <tr r="J449" s="2"/>
      </tp>
    </main>
    <main first="bloomberg.rtd">
      <tp t="s">
        <v>#N/A Invalid Field</v>
        <stp/>
        <stp>##V3_BDHV12</stp>
        <stp>31385XFF9 Mtge</stp>
        <stp>MTG_GEN_CPR_12M</stp>
        <stp>20090610</stp>
        <stp>20090610</stp>
        <stp>[Copy of 02_cpr_main.xlsx]data!R222C10</stp>
        <stp>Dts=H</stp>
        <tr r="J222" s="2"/>
      </tp>
    </main>
    <main first="bloomberg.rtd">
      <tp t="s">
        <v>#N/A Invalid Field</v>
        <stp/>
        <stp>##V3_BDHV12</stp>
        <stp>31410G6A6 Mtge</stp>
        <stp>MTG_GEN_CPR_12M</stp>
        <stp>20090331</stp>
        <stp>20090331</stp>
        <stp>[Copy of 02_cpr_main.xlsx]data!R364C7</stp>
        <stp>Dts=H</stp>
        <tr r="G364" s="2"/>
      </tp>
    </main>
    <main first="bloomberg.rtd">
      <tp t="s">
        <v>#N/A Invalid Field</v>
        <stp/>
        <stp>##V3_BDHV12</stp>
        <stp>3128PPAR4 Mtge</stp>
        <stp>MTG_GEN_CPR_6M</stp>
        <stp>20090610</stp>
        <stp>20090610</stp>
        <stp>[Copy of 02_cpr_main.xlsx]data!R104C9</stp>
        <stp>Dts=H</stp>
        <tr r="I104" s="2"/>
      </tp>
      <tp t="s">
        <v>#N/A Invalid Field</v>
        <stp/>
        <stp>##V3_BDHV12</stp>
        <stp>31283K3C0 Mtge</stp>
        <stp>MTG_GEN_CPR_3M</stp>
        <stp>20090610</stp>
        <stp>20090610</stp>
        <stp>[Copy of 02_cpr_main.xlsx]data!R34C8</stp>
        <stp>Dts=H</stp>
        <tr r="H34" s="2"/>
      </tp>
      <tp t="s">
        <v>#N/A Invalid Field</v>
        <stp/>
        <stp>##V3_BDHV12</stp>
        <stp>3128QJ4M5 Mtge</stp>
        <stp>MTG_GEN_CPR_6M</stp>
        <stp>20090610</stp>
        <stp>20090610</stp>
        <stp>[Copy of 02_cpr_main.xlsx]data!R109C9</stp>
        <stp>Dts=H</stp>
        <tr r="I109" s="2"/>
      </tp>
      <tp t="s">
        <v>#N/A Invalid Field</v>
        <stp/>
        <stp>##V3_BDHV12</stp>
        <stp>31283HLG8 Mtge</stp>
        <stp>MTG_GEN_CPR_6M</stp>
        <stp>20090610</stp>
        <stp>20090610</stp>
        <stp>[Copy of 02_cpr_main.xlsx]data!R30C9</stp>
        <stp>Dts=H</stp>
        <tr r="I30" s="2"/>
      </tp>
      <tp t="s">
        <v>#N/A Invalid Field</v>
        <stp/>
        <stp>##V3_BDHV12</stp>
        <stp>3133XD5F4 Mtge</stp>
        <stp>MTG_GEN_CPR_6M</stp>
        <stp>20090331</stp>
        <stp>20090331</stp>
        <stp>[Copy of 02_cpr_main.xlsx]data!R156C6</stp>
        <stp>Dts=H</stp>
        <tr r="F156" s="2"/>
      </tp>
      <tp t="s">
        <v>#N/A Invalid Field</v>
        <stp/>
        <stp>##V3_BDHV12</stp>
        <stp>3128GDRC6 Mtge</stp>
        <stp>MTG_GEN_CPR_3M</stp>
        <stp>20090610</stp>
        <stp>20090610</stp>
        <stp>[Copy of 02_cpr_main.xlsx]data!R48C8</stp>
        <stp>Dts=H</stp>
        <tr r="H48" s="2"/>
      </tp>
      <tp t="s">
        <v>#N/A Invalid Field</v>
        <stp/>
        <stp>##V3_BDHV12</stp>
        <stp>3128CUHK5 Mtge</stp>
        <stp>MTG_GEN_CPR_3M</stp>
        <stp>20090331</stp>
        <stp>20090331</stp>
        <stp>[Copy of 02_cpr_main.xlsx]data!R41C5</stp>
        <stp>Dts=H</stp>
        <tr r="E41" s="2"/>
      </tp>
      <tp t="s">
        <v>#N/A Invalid Field</v>
        <stp/>
        <stp>##V3_BDHV12</stp>
        <stp>3128NGEM3 Mtge</stp>
        <stp>MTG_GEN_CPR_6M</stp>
        <stp>20090331</stp>
        <stp>20090331</stp>
        <stp>[Copy of 02_cpr_main.xlsx]data!R98C6</stp>
        <stp>Dts=H</stp>
        <tr r="F98" s="2"/>
      </tp>
      <tp t="s">
        <v>#N/A Invalid Field</v>
        <stp/>
        <stp>##V3_BDHV12</stp>
        <stp>3128GJEM5 Mtge</stp>
        <stp>MTG_GEN_CPR_6M</stp>
        <stp>20090331</stp>
        <stp>20090331</stp>
        <stp>[Copy of 02_cpr_main.xlsx]data!R58C6</stp>
        <stp>Dts=H</stp>
        <tr r="F58" s="2"/>
      </tp>
      <tp t="s">
        <v>#N/A Invalid Field</v>
        <stp/>
        <stp>##V3_BDHV12</stp>
        <stp>3128P7LU5 Mtge</stp>
        <stp>MTG_GEN_CPR_3M</stp>
        <stp>20090610</stp>
        <stp>20090610</stp>
        <stp>[Copy of 02_cpr_main.xlsx]data!R102C8</stp>
        <stp>Dts=H</stp>
        <tr r="H102" s="2"/>
      </tp>
      <tp t="s">
        <v>#N/A Invalid Field</v>
        <stp/>
        <stp>##V3_BDHV12</stp>
        <stp>3128JMHG5 Mtge</stp>
        <stp>MTG_GEN_CPR_6M</stp>
        <stp>20090610</stp>
        <stp>20090610</stp>
        <stp>[Copy of 02_cpr_main.xlsx]data!R69C9</stp>
        <stp>Dts=H</stp>
        <tr r="I69" s="2"/>
      </tp>
      <tp t="s">
        <v>#N/A Invalid Field</v>
        <stp/>
        <stp>##V3_BDHV12</stp>
        <stp>3128K3ZC4 Mtge</stp>
        <stp>MTG_GEN_CPR_3M</stp>
        <stp>20090610</stp>
        <stp>20090610</stp>
        <stp>[Copy of 02_cpr_main.xlsx]data!R72C8</stp>
        <stp>Dts=H</stp>
        <tr r="H72" s="2"/>
      </tp>
      <tp t="s">
        <v>#N/A Invalid Field</v>
        <stp/>
        <stp>##V3_BDHV12</stp>
        <stp>31404GGN5 Mtge</stp>
        <stp>MTG_GEN_CPR_12M</stp>
        <stp>20090331</stp>
        <stp>20090331</stp>
        <stp>[Copy of 02_cpr_main.xlsx]data!R313C7</stp>
        <stp>Dts=H</stp>
        <tr r="G313" s="2"/>
      </tp>
      <tp t="s">
        <v>#N/A Invalid Field</v>
        <stp/>
        <stp>##V3_BDHV12</stp>
        <stp>31406GDY2 Mtge</stp>
        <stp>MTG_GEN_CPR_12M</stp>
        <stp>20090331</stp>
        <stp>20090331</stp>
        <stp>[Copy of 02_cpr_main.xlsx]data!R336C7</stp>
        <stp>Dts=H</stp>
        <tr r="G336" s="2"/>
      </tp>
      <tp t="s">
        <v>#N/A Invalid Field</v>
        <stp/>
        <stp>##V3_BDHV12</stp>
        <stp>31410GFV0 Mtge</stp>
        <stp>MTG_GEN_CPR_12M</stp>
        <stp>20090331</stp>
        <stp>20090331</stp>
        <stp>[Copy of 02_cpr_main.xlsx]data!R366C7</stp>
        <stp>Dts=H</stp>
        <tr r="G366" s="2"/>
      </tp>
      <tp t="s">
        <v>#N/A Invalid Field</v>
        <stp/>
        <stp>##V3_BDHV12</stp>
        <stp>31402FFF7 Mtge</stp>
        <stp>MTG_GEN_CPR_12M</stp>
        <stp>20090331</stp>
        <stp>20090331</stp>
        <stp>[Copy of 02_cpr_main.xlsx]data!R271C7</stp>
        <stp>Dts=H</stp>
        <tr r="G271" s="2"/>
      </tp>
      <tp t="s">
        <v>#N/A Invalid Field</v>
        <stp/>
        <stp>##V3_BDHV12</stp>
        <stp>31410GE66 Mtge</stp>
        <stp>MTG_GEN_CPR_12M</stp>
        <stp>20090331</stp>
        <stp>20090331</stp>
        <stp>[Copy of 02_cpr_main.xlsx]data!R365C7</stp>
        <stp>Dts=H</stp>
        <tr r="G365" s="2"/>
      </tp>
      <tp t="s">
        <v>#N/A Invalid Field</v>
        <stp/>
        <stp>##V3_BDHV12</stp>
        <stp>31410GJB0 Mtge</stp>
        <stp>MTG_GEN_CPR_12M</stp>
        <stp>20090331</stp>
        <stp>20090331</stp>
        <stp>[Copy of 02_cpr_main.xlsx]data!R369C7</stp>
        <stp>Dts=H</stp>
        <tr r="G369" s="2"/>
      </tp>
      <tp t="s">
        <v>#N/A Invalid Field</v>
        <stp/>
        <stp>##V3_BDHV12</stp>
        <stp>31411GDL3 Mtge</stp>
        <stp>MTG_GEN_CPR_12M</stp>
        <stp>20090331</stp>
        <stp>20090331</stp>
        <stp>[Copy of 02_cpr_main.xlsx]data!R391C7</stp>
        <stp>Dts=H</stp>
        <tr r="G391" s="2"/>
      </tp>
      <tp t="s">
        <v>#N/A Invalid Field</v>
        <stp/>
        <stp>##V3_BDHV12</stp>
        <stp>31410GH97 Mtge</stp>
        <stp>MTG_GEN_CPR_12M</stp>
        <stp>20090331</stp>
        <stp>20090331</stp>
        <stp>[Copy of 02_cpr_main.xlsx]data!R367C7</stp>
        <stp>Dts=H</stp>
        <tr r="G367" s="2"/>
      </tp>
      <tp t="s">
        <v>#N/A Invalid Field</v>
        <stp/>
        <stp>##V3_BDHV12</stp>
        <stp>31410GHN6 Mtge</stp>
        <stp>MTG_GEN_CPR_12M</stp>
        <stp>20090331</stp>
        <stp>20090331</stp>
        <stp>[Copy of 02_cpr_main.xlsx]data!R368C7</stp>
        <stp>Dts=H</stp>
        <tr r="G368" s="2"/>
      </tp>
      <tp>
        <v>1460.7</v>
        <stp/>
        <stp>##V3_BDPV12</stp>
        <stp>01F062655 Mtge</stp>
        <stp xml:space="preserve">MTG_PL_PSA_6M </stp>
        <stp>[Copy of 02_cpr_main.xlsx]data!R13C15</stp>
        <tr r="O13" s="2"/>
      </tp>
      <tp>
        <v>738.5</v>
        <stp/>
        <stp>##V3_BDPV12</stp>
        <stp>01F062655 Mtge</stp>
        <stp xml:space="preserve">MTG_PL_PSA_1M </stp>
        <stp>[Copy of 02_cpr_main.xlsx]data!R13C13</stp>
        <tr r="M13" s="2"/>
      </tp>
      <tp>
        <v>953.1</v>
        <stp/>
        <stp>##V3_BDPV12</stp>
        <stp>01F062655 Mtge</stp>
        <stp xml:space="preserve">MTG_PL_PSA_3M </stp>
        <stp>[Copy of 02_cpr_main.xlsx]data!R13C14</stp>
        <tr r="N13" s="2"/>
      </tp>
      <tp t="s">
        <v>#N/A Invalid Field</v>
        <stp/>
        <stp>##V3_BDHV12</stp>
        <stp>31410GRM7 Mtge</stp>
        <stp>MTG_GEN_CPR_12M</stp>
        <stp>20090331</stp>
        <stp>20090331</stp>
        <stp>[Copy of 02_cpr_main.xlsx]data!R371C7</stp>
        <stp>Dts=H</stp>
        <tr r="G371" s="2"/>
      </tp>
      <tp t="s">
        <v>#N/A Invalid Field</v>
        <stp/>
        <stp>##V3_BDHV12</stp>
        <stp>31410GRN5 Mtge</stp>
        <stp>MTG_GEN_CPR_12M</stp>
        <stp>20090331</stp>
        <stp>20090331</stp>
        <stp>[Copy of 02_cpr_main.xlsx]data!R372C7</stp>
        <stp>Dts=H</stp>
        <tr r="G372" s="2"/>
      </tp>
      <tp t="s">
        <v>#N/A Invalid Field</v>
        <stp/>
        <stp>##V3_BDHV12</stp>
        <stp>31410GQ55 Mtge</stp>
        <stp>MTG_GEN_CPR_12M</stp>
        <stp>20090331</stp>
        <stp>20090331</stp>
        <stp>[Copy of 02_cpr_main.xlsx]data!R370C7</stp>
        <stp>Dts=H</stp>
        <tr r="G370" s="2"/>
      </tp>
      <tp>
        <v>98.7</v>
        <stp/>
        <stp>##V3_BDPV12</stp>
        <stp>02R052446 Mtge</stp>
        <stp xml:space="preserve">MTG_PL_PSA_3M </stp>
        <stp>[Copy of 02_cpr_main.xlsx]data!R23C14</stp>
        <tr r="N23" s="2"/>
      </tp>
      <tp>
        <v>279.7</v>
        <stp/>
        <stp>##V3_BDPV12</stp>
        <stp>02R042447 Mtge</stp>
        <stp xml:space="preserve">MTG_PL_PSA_3M </stp>
        <stp>[Copy of 02_cpr_main.xlsx]data!R19C14</stp>
        <tr r="N19" s="2"/>
      </tp>
      <tp>
        <v>0</v>
        <stp/>
        <stp>##V3_BDPV12</stp>
        <stp>02R052446 Mtge</stp>
        <stp xml:space="preserve">MTG_PL_PSA_1M </stp>
        <stp>[Copy of 02_cpr_main.xlsx]data!R23C13</stp>
        <tr r="M23" s="2"/>
      </tp>
      <tp>
        <v>1810.7</v>
        <stp/>
        <stp>##V3_BDPV12</stp>
        <stp>02R052446 Mtge</stp>
        <stp xml:space="preserve">MTG_PL_PSA_6M </stp>
        <stp>[Copy of 02_cpr_main.xlsx]data!R23C15</stp>
        <tr r="O23" s="2"/>
      </tp>
      <tp>
        <v>219.8</v>
        <stp/>
        <stp>##V3_BDPV12</stp>
        <stp>02R042447 Mtge</stp>
        <stp xml:space="preserve">MTG_PL_PSA_6M </stp>
        <stp>[Copy of 02_cpr_main.xlsx]data!R19C15</stp>
        <tr r="O19" s="2"/>
      </tp>
      <tp>
        <v>340.5</v>
        <stp/>
        <stp>##V3_BDPV12</stp>
        <stp>02R042447 Mtge</stp>
        <stp xml:space="preserve">MTG_PL_PSA_1M </stp>
        <stp>[Copy of 02_cpr_main.xlsx]data!R19C13</stp>
        <tr r="M19" s="2"/>
      </tp>
      <tp t="s">
        <v>#N/A Invalid Field</v>
        <stp/>
        <stp>##V3_BDHV12</stp>
        <stp>36213GSU6 Mtge</stp>
        <stp>MTG_GEN_CPR_12M</stp>
        <stp>20090331</stp>
        <stp>20090331</stp>
        <stp>[Copy of 02_cpr_main.xlsx]data!R488C7</stp>
        <stp>Dts=H</stp>
        <tr r="G488" s="2"/>
      </tp>
      <tp t="s">
        <v>#N/A Invalid Field</v>
        <stp/>
        <stp>##V3_BDHV12</stp>
        <stp>31411GP30 Mtge</stp>
        <stp>MTG_GEN_CPR_12M</stp>
        <stp>20090331</stp>
        <stp>20090331</stp>
        <stp>[Copy of 02_cpr_main.xlsx]data!R392C7</stp>
        <stp>Dts=H</stp>
        <tr r="G392" s="2"/>
      </tp>
      <tp t="s">
        <v>#N/A Invalid Field</v>
        <stp/>
        <stp>##V3_BDHV12</stp>
        <stp>31298EZD0 Mtge</stp>
        <stp>MTG_GEN_CPR_12M</stp>
        <stp>20090331</stp>
        <stp>20090331</stp>
        <stp>[Copy of 02_cpr_main.xlsx]data!R152C7</stp>
        <stp>Dts=H</stp>
        <tr r="G152" s="2"/>
      </tp>
      <tp>
        <v>156.1</v>
        <stp/>
        <stp>##V3_BDPV12</stp>
        <stp>31283H4W2 Mtge</stp>
        <stp xml:space="preserve">MTG_PL_PSA_3M </stp>
        <stp>[Copy of 02_cpr_main.xlsx]data!R29C14</stp>
        <tr r="N29" s="2"/>
      </tp>
      <tp>
        <v>158.30000000000001</v>
        <stp/>
        <stp>##V3_BDPV12</stp>
        <stp>31283H4W2 Mtge</stp>
        <stp xml:space="preserve">MTG_PL_PSA_1M </stp>
        <stp>[Copy of 02_cpr_main.xlsx]data!R29C13</stp>
        <tr r="M29" s="2"/>
      </tp>
      <tp>
        <v>168.1</v>
        <stp/>
        <stp>##V3_BDPV12</stp>
        <stp>31283H4W2 Mtge</stp>
        <stp xml:space="preserve">MTG_PL_PSA_6M </stp>
        <stp>[Copy of 02_cpr_main.xlsx]data!R29C15</stp>
        <tr r="O29" s="2"/>
      </tp>
      <tp t="s">
        <v>#N/A Invalid Field</v>
        <stp/>
        <stp>##V3_BDHV12</stp>
        <stp>31410F2Z7 Mtge</stp>
        <stp>MTG_GEN_CPR_12M</stp>
        <stp>20090331</stp>
        <stp>20090331</stp>
        <stp>[Copy of 02_cpr_main.xlsx]data!R362C7</stp>
        <stp>Dts=H</stp>
        <tr r="G362" s="2"/>
      </tp>
      <tp t="s">
        <v>#N/A Invalid Field</v>
        <stp/>
        <stp>##V3_BDHV12</stp>
        <stp>31403F6S8 Mtge</stp>
        <stp>MTG_GEN_CPR_12M</stp>
        <stp>20090331</stp>
        <stp>20090331</stp>
        <stp>[Copy of 02_cpr_main.xlsx]data!R306C7</stp>
        <stp>Dts=H</stp>
        <tr r="G306" s="2"/>
      </tp>
      <tp t="s">
        <v>#N/A Invalid Field</v>
        <stp/>
        <stp>##V3_BDHV12</stp>
        <stp>31415A3C3 Mtge</stp>
        <stp>MTG_GEN_CPR_12M</stp>
        <stp>20090331</stp>
        <stp>20090331</stp>
        <stp>[Copy of 02_cpr_main.xlsx]data!R446C7</stp>
        <stp>Dts=H</stp>
        <tr r="G446" s="2"/>
      </tp>
      <tp t="s">
        <v>#N/A Invalid Field</v>
        <stp/>
        <stp>##V3_BDHV12</stp>
        <stp>3133XD5F4 Mtge</stp>
        <stp>MTG_GEN_CPR_12M</stp>
        <stp>20090331</stp>
        <stp>20090331</stp>
        <stp>[Copy of 02_cpr_main.xlsx]data!R156C7</stp>
        <stp>Dts=H</stp>
        <tr r="G156" s="2"/>
      </tp>
      <tp t="s">
        <v>#N/A Invalid Field</v>
        <stp/>
        <stp>##V3_BDHV12</stp>
        <stp>31410F6J9 Mtge</stp>
        <stp>MTG_GEN_CPR_12M</stp>
        <stp>20090331</stp>
        <stp>20090331</stp>
        <stp>[Copy of 02_cpr_main.xlsx]data!R363C7</stp>
        <stp>Dts=H</stp>
        <tr r="G363" s="2"/>
      </tp>
      <tp t="s">
        <v>#N/A Invalid Field</v>
        <stp/>
        <stp>##V3_BDHV12</stp>
        <stp>3128PPAR4 Mtge</stp>
        <stp>MTG_GEN_CPR_3M</stp>
        <stp>20090610</stp>
        <stp>20090610</stp>
        <stp>[Copy of 02_cpr_main.xlsx]data!R104C8</stp>
        <stp>Dts=H</stp>
        <tr r="H104" s="2"/>
      </tp>
      <tp t="s">
        <v>#N/A Invalid Field</v>
        <stp/>
        <stp>##V3_BDHV12</stp>
        <stp>31283HRL1 Mtge</stp>
        <stp>MTG_GEN_CPR_6M</stp>
        <stp>20090331</stp>
        <stp>20090331</stp>
        <stp>[Copy of 02_cpr_main.xlsx]data!R31C6</stp>
        <stp>Dts=H</stp>
        <tr r="F31" s="2"/>
      </tp>
      <tp t="s">
        <v>#N/A Invalid Field</v>
        <stp/>
        <stp>##V3_BDHV12</stp>
        <stp>3128QJ4M5 Mtge</stp>
        <stp>MTG_GEN_CPR_3M</stp>
        <stp>20090610</stp>
        <stp>20090610</stp>
        <stp>[Copy of 02_cpr_main.xlsx]data!R109C8</stp>
        <stp>Dts=H</stp>
        <tr r="H109" s="2"/>
      </tp>
      <tp t="s">
        <v>#N/A Invalid Field</v>
        <stp/>
        <stp>##V3_BDHV12</stp>
        <stp>3128GHCL3 Mtge</stp>
        <stp>MTG_GEN_CPR_6M</stp>
        <stp>20090331</stp>
        <stp>20090331</stp>
        <stp>[Copy of 02_cpr_main.xlsx]data!R57C6</stp>
        <stp>Dts=H</stp>
        <tr r="F57" s="2"/>
      </tp>
      <tp t="s">
        <v>#N/A Invalid Field</v>
        <stp/>
        <stp>##V3_BDHV12</stp>
        <stp>3128GDQJ2 Mtge</stp>
        <stp>MTG_GEN_CPR_3M</stp>
        <stp>20090331</stp>
        <stp>20090331</stp>
        <stp>[Copy of 02_cpr_main.xlsx]data!R46C5</stp>
        <stp>Dts=H</stp>
        <tr r="E46" s="2"/>
      </tp>
      <tp t="s">
        <v>#N/A Invalid Field</v>
        <stp/>
        <stp>##V3_BDHV12</stp>
        <stp>3128GEAJ7 Mtge</stp>
        <stp>MTG_GEN_CPR_3M</stp>
        <stp>20090331</stp>
        <stp>20090331</stp>
        <stp>[Copy of 02_cpr_main.xlsx]data!R51C5</stp>
        <stp>Dts=H</stp>
        <tr r="E51" s="2"/>
      </tp>
      <tp t="s">
        <v>#N/A Invalid Field</v>
        <stp/>
        <stp>##V3_BDHV12</stp>
        <stp>3128LDPL2 Mtge</stp>
        <stp>MTG_GEN_CPR_6M</stp>
        <stp>20090331</stp>
        <stp>20090331</stp>
        <stp>[Copy of 02_cpr_main.xlsx]data!R79C6</stp>
        <stp>Dts=H</stp>
        <tr r="F79" s="2"/>
      </tp>
      <tp t="s">
        <v>#N/A Invalid Field</v>
        <stp/>
        <stp>##V3_BDHV12</stp>
        <stp>3128P7LU5 Mtge</stp>
        <stp>MTG_GEN_CPR_6M</stp>
        <stp>20090610</stp>
        <stp>20090610</stp>
        <stp>[Copy of 02_cpr_main.xlsx]data!R102C9</stp>
        <stp>Dts=H</stp>
        <tr r="I102" s="2"/>
      </tp>
      <tp t="s">
        <v>#N/A Invalid Field</v>
        <stp/>
        <stp>##V3_BDHV12</stp>
        <stp>3128M4NJ8 Mtge</stp>
        <stp>MTG_GEN_CPR_3M</stp>
        <stp>20090331</stp>
        <stp>20090331</stp>
        <stp>[Copy of 02_cpr_main.xlsx]data!R84C5</stp>
        <stp>Dts=H</stp>
        <tr r="E84" s="2"/>
      </tp>
      <tp t="s">
        <v>#N/A Invalid Field</v>
        <stp/>
        <stp>##V3_BDHV12</stp>
        <stp>31413AGJ6 Mtge</stp>
        <stp>MTG_GEN_CPR_12M</stp>
        <stp>20090331</stp>
        <stp>20090331</stp>
        <stp>[Copy of 02_cpr_main.xlsx]data!R416C7</stp>
        <stp>Dts=H</stp>
        <tr r="G416" s="2"/>
      </tp>
      <tp t="s">
        <v>#N/A Invalid Field</v>
        <stp/>
        <stp>##V3_BDHV12</stp>
        <stp>31401GLF9 Mtge</stp>
        <stp>MTG_GEN_CPR_12M</stp>
        <stp>20090331</stp>
        <stp>20090331</stp>
        <stp>[Copy of 02_cpr_main.xlsx]data!R253C7</stp>
        <stp>Dts=H</stp>
        <tr r="G253" s="2"/>
      </tp>
      <tp>
        <v>128.9</v>
        <stp/>
        <stp>##V3_BDPV12</stp>
        <stp>01N052657 Mtge</stp>
        <stp xml:space="preserve">MTG_PL_PSA_6M </stp>
        <stp>[Copy of 02_cpr_main.xlsx]data!R15C15</stp>
        <tr r="O15" s="2"/>
      </tp>
      <tp>
        <v>458.6</v>
        <stp/>
        <stp>##V3_BDPV12</stp>
        <stp>21H052645 Mtge</stp>
        <stp xml:space="preserve">MTG_PL_PSA_3M </stp>
        <stp>[Copy of 02_cpr_main.xlsx]data!R26C14</stp>
        <tr r="N26" s="2"/>
      </tp>
      <tp>
        <v>134.1</v>
        <stp/>
        <stp>##V3_BDPV12</stp>
        <stp>01N052657 Mtge</stp>
        <stp xml:space="preserve">MTG_PL_PSA_1M </stp>
        <stp>[Copy of 02_cpr_main.xlsx]data!R15C13</stp>
        <tr r="M15" s="2"/>
      </tp>
      <tp>
        <v>422.9</v>
        <stp/>
        <stp>##V3_BDPV12</stp>
        <stp>21H052645 Mtge</stp>
        <stp xml:space="preserve">MTG_PL_PSA_1M </stp>
        <stp>[Copy of 02_cpr_main.xlsx]data!R26C13</stp>
        <tr r="M26" s="2"/>
      </tp>
      <tp>
        <v>137</v>
        <stp/>
        <stp>##V3_BDPV12</stp>
        <stp>01N052657 Mtge</stp>
        <stp xml:space="preserve">MTG_PL_PSA_3M </stp>
        <stp>[Copy of 02_cpr_main.xlsx]data!R15C14</stp>
        <tr r="N15" s="2"/>
      </tp>
      <tp>
        <v>515.70000000000005</v>
        <stp/>
        <stp>##V3_BDPV12</stp>
        <stp>21H052645 Mtge</stp>
        <stp xml:space="preserve">MTG_PL_PSA_6M </stp>
        <stp>[Copy of 02_cpr_main.xlsx]data!R26C15</stp>
        <tr r="O26" s="2"/>
      </tp>
      <tp>
        <v>438.7</v>
        <stp/>
        <stp>##V3_BDPV12</stp>
        <stp>01F060444 Mtge</stp>
        <stp xml:space="preserve">MTG_PL_PSA_6M </stp>
        <stp>[Copy of 02_cpr_main.xlsx]data!R10C15</stp>
        <tr r="O10" s="2"/>
      </tp>
      <tp>
        <v>331.2</v>
        <stp/>
        <stp>##V3_BDPV12</stp>
        <stp>01F060444 Mtge</stp>
        <stp xml:space="preserve">MTG_PL_PSA_1M </stp>
        <stp>[Copy of 02_cpr_main.xlsx]data!R10C13</stp>
        <tr r="M10" s="2"/>
      </tp>
      <tp>
        <v>383.4</v>
        <stp/>
        <stp>##V3_BDPV12</stp>
        <stp>01F060444 Mtge</stp>
        <stp xml:space="preserve">MTG_PL_PSA_3M </stp>
        <stp>[Copy of 02_cpr_main.xlsx]data!R10C14</stp>
        <tr r="N10" s="2"/>
      </tp>
      <tp t="s">
        <v>#N/A Invalid Field</v>
        <stp/>
        <stp>##V3_BDHV12</stp>
        <stp>31382DQ98 Mtge</stp>
        <stp>MTG_GEN_CPR_12M</stp>
        <stp>20090331</stp>
        <stp>20090331</stp>
        <stp>[Copy of 02_cpr_main.xlsx]data!R195C7</stp>
        <stp>Dts=H</stp>
        <tr r="G195" s="2"/>
      </tp>
      <tp t="s">
        <v>#N/A Invalid Field</v>
        <stp/>
        <stp>##V3_BDHV12</stp>
        <stp>36291GYR1 Mtge</stp>
        <stp>MTG_GEN_CPR_12M</stp>
        <stp>20090331</stp>
        <stp>20090331</stp>
        <stp>[Copy of 02_cpr_main.xlsx]data!R501C7</stp>
        <stp>Dts=H</stp>
        <tr r="G501" s="2"/>
      </tp>
      <tp>
        <v>227.9</v>
        <stp/>
        <stp>##V3_BDPV12</stp>
        <stp>31283HRL1 Mtge</stp>
        <stp xml:space="preserve">MTG_PL_PSA_6M </stp>
        <stp>[Copy of 02_cpr_main.xlsx]data!R31C15</stp>
        <tr r="O31" s="2"/>
      </tp>
      <tp>
        <v>300.60000000000002</v>
        <stp/>
        <stp>##V3_BDPV12</stp>
        <stp>31283HRL1 Mtge</stp>
        <stp xml:space="preserve">MTG_PL_PSA_1M </stp>
        <stp>[Copy of 02_cpr_main.xlsx]data!R31C13</stp>
        <tr r="M31" s="2"/>
      </tp>
      <tp>
        <v>170.1</v>
        <stp/>
        <stp>##V3_BDPV12</stp>
        <stp>31283HWN1 Mtge</stp>
        <stp xml:space="preserve">MTG_PL_PSA_3M </stp>
        <stp>[Copy of 02_cpr_main.xlsx]data!R32C14</stp>
        <tr r="N32" s="2"/>
      </tp>
      <tp>
        <v>274.2</v>
        <stp/>
        <stp>##V3_BDPV12</stp>
        <stp>31283HRL1 Mtge</stp>
        <stp xml:space="preserve">MTG_PL_PSA_3M </stp>
        <stp>[Copy of 02_cpr_main.xlsx]data!R31C14</stp>
        <tr r="N31" s="2"/>
      </tp>
      <tp>
        <v>148</v>
        <stp/>
        <stp>##V3_BDPV12</stp>
        <stp>31283HWN1 Mtge</stp>
        <stp xml:space="preserve">MTG_PL_PSA_1M </stp>
        <stp>[Copy of 02_cpr_main.xlsx]data!R32C13</stp>
        <tr r="M32" s="2"/>
      </tp>
      <tp>
        <v>243.2</v>
        <stp/>
        <stp>##V3_BDPV12</stp>
        <stp>31283HWN1 Mtge</stp>
        <stp xml:space="preserve">MTG_PL_PSA_6M </stp>
        <stp>[Copy of 02_cpr_main.xlsx]data!R32C15</stp>
        <tr r="O32" s="2"/>
      </tp>
      <tp t="s">
        <v>#N/A Invalid Field</v>
        <stp/>
        <stp>##V3_BDHV12</stp>
        <stp>31292G2K1 Mtge</stp>
        <stp>MTG_GEN_CPR_12M</stp>
        <stp>20090331</stp>
        <stp>20090331</stp>
        <stp>[Copy of 02_cpr_main.xlsx]data!R113C7</stp>
        <stp>Dts=H</stp>
        <tr r="G113" s="2"/>
      </tp>
      <tp t="s">
        <v>#N/A Invalid Field</v>
        <stp/>
        <stp>##V3_BDHV12</stp>
        <stp>31402D7K0 Mtge</stp>
        <stp>MTG_GEN_CPR_12M</stp>
        <stp>20090331</stp>
        <stp>20090331</stp>
        <stp>[Copy of 02_cpr_main.xlsx]data!R268C7</stp>
        <stp>Dts=H</stp>
        <tr r="G268" s="2"/>
      </tp>
      <tp t="s">
        <v>#N/A Invalid Field</v>
        <stp/>
        <stp>##V3_BDHV12</stp>
        <stp>31292G6T8 Mtge</stp>
        <stp>MTG_GEN_CPR_12M</stp>
        <stp>20090331</stp>
        <stp>20090331</stp>
        <stp>[Copy of 02_cpr_main.xlsx]data!R115C7</stp>
        <stp>Dts=H</stp>
        <tr r="G115" s="2"/>
      </tp>
      <tp t="s">
        <v>#N/A Invalid Field</v>
        <stp/>
        <stp>##V3_BDHV12</stp>
        <stp>31412B2P6 Mtge</stp>
        <stp>MTG_GEN_CPR_12M</stp>
        <stp>20090331</stp>
        <stp>20090331</stp>
        <stp>[Copy of 02_cpr_main.xlsx]data!R401C7</stp>
        <stp>Dts=H</stp>
        <tr r="G401" s="2"/>
      </tp>
      <tp t="s">
        <v>#N/A Invalid Field</v>
        <stp/>
        <stp>##V3_BDHV12</stp>
        <stp>31292G4V5 Mtge</stp>
        <stp>MTG_GEN_CPR_12M</stp>
        <stp>20090331</stp>
        <stp>20090331</stp>
        <stp>[Copy of 02_cpr_main.xlsx]data!R114C7</stp>
        <stp>Dts=H</stp>
        <tr r="G114" s="2"/>
      </tp>
      <tp t="s">
        <v>#N/A Invalid Field</v>
        <stp/>
        <stp>##V3_BDHV12</stp>
        <stp>3128QS6G6 Mtge</stp>
        <stp>MTG_GEN_CPR_3M</stp>
        <stp>20090610</stp>
        <stp>20090610</stp>
        <stp>[Copy of 02_cpr_main.xlsx]data!R110C8</stp>
        <stp>Dts=H</stp>
        <tr r="H110" s="2"/>
      </tp>
      <tp t="s">
        <v>#N/A Invalid Field</v>
        <stp/>
        <stp>##V3_BDHV12</stp>
        <stp>3128QSKM7 Mtge</stp>
        <stp>MTG_GEN_CPR_6M</stp>
        <stp>20090610</stp>
        <stp>20090610</stp>
        <stp>[Copy of 02_cpr_main.xlsx]data!R111C9</stp>
        <stp>Dts=H</stp>
        <tr r="I111" s="2"/>
      </tp>
      <tp t="s">
        <v>#N/A Invalid Field</v>
        <stp/>
        <stp>##V3_BDHV12</stp>
        <stp>3128MB3A3 Mtge</stp>
        <stp>MTG_GEN_CPR_3M</stp>
        <stp>20090610</stp>
        <stp>20090610</stp>
        <stp>[Copy of 02_cpr_main.xlsx]data!R92C8</stp>
        <stp>Dts=H</stp>
        <tr r="H92" s="2"/>
      </tp>
      <tp t="s">
        <v>#N/A Invalid Field</v>
        <stp/>
        <stp>##V3_BDHV12</stp>
        <stp>3128GEBA5 Mtge</stp>
        <stp>MTG_GEN_CPR_3M</stp>
        <stp>20090610</stp>
        <stp>20090610</stp>
        <stp>[Copy of 02_cpr_main.xlsx]data!R52C8</stp>
        <stp>Dts=H</stp>
        <tr r="H52" s="2"/>
      </tp>
      <tp t="s">
        <v>#N/A Invalid Field</v>
        <stp/>
        <stp>##V3_BDHV12</stp>
        <stp>3128GVEA4 Mtge</stp>
        <stp>MTG_GEN_CPR_3M</stp>
        <stp>20090610</stp>
        <stp>20090610</stp>
        <stp>[Copy of 02_cpr_main.xlsx]data!R61C8</stp>
        <stp>Dts=H</stp>
        <tr r="H61" s="2"/>
      </tp>
      <tp t="s">
        <v>#N/A Invalid Field</v>
        <stp/>
        <stp>##V3_BDHV12</stp>
        <stp>3128LXDE7 Mtge</stp>
        <stp>MTG_GEN_CPR_6M</stp>
        <stp>20090610</stp>
        <stp>20090610</stp>
        <stp>[Copy of 02_cpr_main.xlsx]data!R81C9</stp>
        <stp>Dts=H</stp>
        <tr r="I81" s="2"/>
      </tp>
      <tp t="s">
        <v>#N/A Invalid Field</v>
        <stp/>
        <stp>##V3_BDHV12</stp>
        <stp>3128JRPE0 Mtge</stp>
        <stp>MTG_GEN_CPR_6M</stp>
        <stp>20090610</stp>
        <stp>20090610</stp>
        <stp>[Copy of 02_cpr_main.xlsx]data!R71C9</stp>
        <stp>Dts=H</stp>
        <tr r="I71" s="2"/>
      </tp>
      <tp t="s">
        <v>#N/A Invalid Field</v>
        <stp/>
        <stp>##V3_BDHV12</stp>
        <stp>3128H4XA2 Mtge</stp>
        <stp>MTG_GEN_CPR_3M</stp>
        <stp>20090610</stp>
        <stp>20090610</stp>
        <stp>[Copy of 02_cpr_main.xlsx]data!R66C8</stp>
        <stp>Dts=H</stp>
        <tr r="H66" s="2"/>
      </tp>
      <tp t="s">
        <v>#N/A Invalid Field</v>
        <stp/>
        <stp>##V3_BDHV12</stp>
        <stp>31403EDC8 Mtge</stp>
        <stp>MTG_GEN_CPR_12M</stp>
        <stp>20090331</stp>
        <stp>20090331</stp>
        <stp>[Copy of 02_cpr_main.xlsx]data!R305C7</stp>
        <stp>Dts=H</stp>
        <tr r="G305" s="2"/>
      </tp>
      <tp t="s">
        <v>#N/A Invalid Field</v>
        <stp/>
        <stp>##V3_BDHV12</stp>
        <stp>36200EDN8 Mtge</stp>
        <stp>MTG_GEN_CPR_12M</stp>
        <stp>20090331</stp>
        <stp>20090331</stp>
        <stp>[Copy of 02_cpr_main.xlsx]data!R463C7</stp>
        <stp>Dts=H</stp>
        <tr r="G463" s="2"/>
      </tp>
      <tp t="s">
        <v>#N/A Invalid Field</v>
        <stp/>
        <stp>##V3_BDHV12</stp>
        <stp>31413BEW7 Mtge</stp>
        <stp>MTG_GEN_CPR_12M</stp>
        <stp>20090331</stp>
        <stp>20090331</stp>
        <stp>[Copy of 02_cpr_main.xlsx]data!R417C7</stp>
        <stp>Dts=H</stp>
        <tr r="G417" s="2"/>
      </tp>
      <tp t="s">
        <v>#N/A Invalid Field</v>
        <stp/>
        <stp>##V3_BDHV12</stp>
        <stp>31415BBF5 Mtge</stp>
        <stp>MTG_GEN_CPR_12M</stp>
        <stp>20090331</stp>
        <stp>20090331</stp>
        <stp>[Copy of 02_cpr_main.xlsx]data!R447C7</stp>
        <stp>Dts=H</stp>
        <tr r="G447" s="2"/>
      </tp>
      <tp t="s">
        <v>#N/A Invalid Field</v>
        <stp/>
        <stp>##V3_BDHV12</stp>
        <stp>31380GNU9 Mtge</stp>
        <stp>MTG_GEN_CPR_12M</stp>
        <stp>20090331</stp>
        <stp>20090331</stp>
        <stp>[Copy of 02_cpr_main.xlsx]data!R191C7</stp>
        <stp>Dts=H</stp>
        <tr r="G191" s="2"/>
      </tp>
      <tp t="s">
        <v>#N/A Invalid Field</v>
        <stp/>
        <stp>##V3_BDHV12</stp>
        <stp>31374GNK9 Mtge</stp>
        <stp>MTG_GEN_CPR_12M</stp>
        <stp>20090331</stp>
        <stp>20090331</stp>
        <stp>[Copy of 02_cpr_main.xlsx]data!R184C7</stp>
        <stp>Dts=H</stp>
        <tr r="G184" s="2"/>
      </tp>
      <tp t="s">
        <v>#N/A Invalid Field</v>
        <stp/>
        <stp>##V3_BDHV12</stp>
        <stp>31402DDK3 Mtge</stp>
        <stp>MTG_GEN_CPR_12M</stp>
        <stp>20090331</stp>
        <stp>20090331</stp>
        <stp>[Copy of 02_cpr_main.xlsx]data!R269C7</stp>
        <stp>Dts=H</stp>
        <tr r="G269" s="2"/>
      </tp>
      <tp t="s">
        <v>#N/A Invalid Field</v>
        <stp/>
        <stp>##V3_BDHV12</stp>
        <stp>31374GLZ8 Mtge</stp>
        <stp>MTG_GEN_CPR_12M</stp>
        <stp>20090331</stp>
        <stp>20090331</stp>
        <stp>[Copy of 02_cpr_main.xlsx]data!R183C7</stp>
        <stp>Dts=H</stp>
        <tr r="G183" s="2"/>
      </tp>
      <tp t="s">
        <v>#N/A Invalid Field</v>
        <stp/>
        <stp>##V3_BDHV12</stp>
        <stp>31403DET2 Mtge</stp>
        <stp>MTG_GEN_CPR_12M</stp>
        <stp>20090331</stp>
        <stp>20090331</stp>
        <stp>[Copy of 02_cpr_main.xlsx]data!R298C7</stp>
        <stp>Dts=H</stp>
        <tr r="G298" s="2"/>
      </tp>
      <tp t="s">
        <v>#N/A Invalid Field</v>
        <stp/>
        <stp>##V3_BDHV12</stp>
        <stp>31403DDK2 Mtge</stp>
        <stp>MTG_GEN_CPR_12M</stp>
        <stp>20090331</stp>
        <stp>20090331</stp>
        <stp>[Copy of 02_cpr_main.xlsx]data!R295C7</stp>
        <stp>Dts=H</stp>
        <tr r="G295" s="2"/>
      </tp>
      <tp t="s">
        <v>#N/A Invalid Field</v>
        <stp/>
        <stp>##V3_BDHV12</stp>
        <stp>31403DDL0 Mtge</stp>
        <stp>MTG_GEN_CPR_12M</stp>
        <stp>20090331</stp>
        <stp>20090331</stp>
        <stp>[Copy of 02_cpr_main.xlsx]data!R296C7</stp>
        <stp>Dts=H</stp>
        <tr r="G296" s="2"/>
      </tp>
      <tp t="s">
        <v>#N/A Invalid Field</v>
        <stp/>
        <stp>##V3_BDHV12</stp>
        <stp>31403DDR7 Mtge</stp>
        <stp>MTG_GEN_CPR_12M</stp>
        <stp>20090331</stp>
        <stp>20090331</stp>
        <stp>[Copy of 02_cpr_main.xlsx]data!R297C7</stp>
        <stp>Dts=H</stp>
        <tr r="G297" s="2"/>
      </tp>
      <tp t="s">
        <v>#N/A Invalid Field</v>
        <stp/>
        <stp>##V3_BDHV12</stp>
        <stp>31403DGG8 Mtge</stp>
        <stp>MTG_GEN_CPR_12M</stp>
        <stp>20090331</stp>
        <stp>20090331</stp>
        <stp>[Copy of 02_cpr_main.xlsx]data!R299C7</stp>
        <stp>Dts=H</stp>
        <tr r="G299" s="2"/>
      </tp>
      <tp t="s">
        <v>#N/A Invalid Field</v>
        <stp/>
        <stp>##V3_BDHV12</stp>
        <stp>31408EN81 Mtge</stp>
        <stp>MTG_GEN_CPR_12M</stp>
        <stp>20090331</stp>
        <stp>20090331</stp>
        <stp>[Copy of 02_cpr_main.xlsx]data!R349C7</stp>
        <stp>Dts=H</stp>
        <tr r="G349" s="2"/>
      </tp>
      <tp t="s">
        <v>#N/A Invalid Field</v>
        <stp/>
        <stp>##V3_BDHV12</stp>
        <stp>31415BNG0 Mtge</stp>
        <stp>MTG_GEN_CPR_12M</stp>
        <stp>20090331</stp>
        <stp>20090331</stp>
        <stp>[Copy of 02_cpr_main.xlsx]data!R448C7</stp>
        <stp>Dts=H</stp>
        <tr r="G448" s="2"/>
      </tp>
      <tp t="s">
        <v>#N/A Invalid Field</v>
        <stp/>
        <stp>##V3_BDHV12</stp>
        <stp>3128QGMM1 Mtge</stp>
        <stp>MTG_GEN_CPR_12M</stp>
        <stp>20090331</stp>
        <stp>20090331</stp>
        <stp>[Copy of 02_cpr_main.xlsx]data!R107C7</stp>
        <stp>Dts=H</stp>
        <tr r="G107" s="2"/>
      </tp>
      <tp>
        <v>143.9</v>
        <stp/>
        <stp>##V3_BDPV12</stp>
        <stp>02R060647 Mtge</stp>
        <stp xml:space="preserve">MTG_PL_PSA_3M </stp>
        <stp>[Copy of 02_cpr_main.xlsx]data!R25C14</stp>
        <tr r="N25" s="2"/>
      </tp>
      <tp>
        <v>142.80000000000001</v>
        <stp/>
        <stp>##V3_BDPV12</stp>
        <stp>02R060647 Mtge</stp>
        <stp xml:space="preserve">MTG_PL_PSA_1M </stp>
        <stp>[Copy of 02_cpr_main.xlsx]data!R25C13</stp>
        <tr r="M25" s="2"/>
      </tp>
      <tp>
        <v>132.69999999999999</v>
        <stp/>
        <stp>##V3_BDPV12</stp>
        <stp>02R060647 Mtge</stp>
        <stp xml:space="preserve">MTG_PL_PSA_6M </stp>
        <stp>[Copy of 02_cpr_main.xlsx]data!R25C15</stp>
        <tr r="O25" s="2"/>
      </tp>
      <tp t="s">
        <v>#N/A Invalid Field</v>
        <stp/>
        <stp>##V3_BDHV12</stp>
        <stp>36209EX56 Mtge</stp>
        <stp>MTG_GEN_CPR_12M</stp>
        <stp>20090331</stp>
        <stp>20090331</stp>
        <stp>[Copy of 02_cpr_main.xlsx]data!R481C7</stp>
        <stp>Dts=H</stp>
        <tr r="G481" s="2"/>
      </tp>
      <tp>
        <v>140.4</v>
        <stp/>
        <stp>##V3_BDPV12</stp>
        <stp>02R042645 Mtge</stp>
        <stp xml:space="preserve">MTG_PL_PSA_3M </stp>
        <stp>[Copy of 02_cpr_main.xlsx]data!R20C14</stp>
        <tr r="N20" s="2"/>
      </tp>
      <tp>
        <v>138.9</v>
        <stp/>
        <stp>##V3_BDPV12</stp>
        <stp>02R052644 Mtge</stp>
        <stp xml:space="preserve">MTG_PL_PSA_3M </stp>
        <stp>[Copy of 02_cpr_main.xlsx]data!R24C14</stp>
        <tr r="N24" s="2"/>
      </tp>
      <tp>
        <v>141</v>
        <stp/>
        <stp>##V3_BDPV12</stp>
        <stp>02R042645 Mtge</stp>
        <stp xml:space="preserve">MTG_PL_PSA_1M </stp>
        <stp>[Copy of 02_cpr_main.xlsx]data!R20C13</stp>
        <tr r="M20" s="2"/>
      </tp>
      <tp>
        <v>140.9</v>
        <stp/>
        <stp>##V3_BDPV12</stp>
        <stp>02R052644 Mtge</stp>
        <stp xml:space="preserve">MTG_PL_PSA_1M </stp>
        <stp>[Copy of 02_cpr_main.xlsx]data!R24C13</stp>
        <tr r="M24" s="2"/>
      </tp>
      <tp>
        <v>140.5</v>
        <stp/>
        <stp>##V3_BDPV12</stp>
        <stp>02R042645 Mtge</stp>
        <stp xml:space="preserve">MTG_PL_PSA_6M </stp>
        <stp>[Copy of 02_cpr_main.xlsx]data!R20C15</stp>
        <tr r="O20" s="2"/>
      </tp>
      <tp>
        <v>134.1</v>
        <stp/>
        <stp>##V3_BDPV12</stp>
        <stp>02R052644 Mtge</stp>
        <stp xml:space="preserve">MTG_PL_PSA_6M </stp>
        <stp>[Copy of 02_cpr_main.xlsx]data!R24C15</stp>
        <tr r="O24" s="2"/>
      </tp>
      <tp t="s">
        <v>#N/A Invalid Field</v>
        <stp/>
        <stp>##V3_BDHV12</stp>
        <stp>31410EPE2 Mtge</stp>
        <stp>MTG_GEN_CPR_12M</stp>
        <stp>20090331</stp>
        <stp>20090331</stp>
        <stp>[Copy of 02_cpr_main.xlsx]data!R361C7</stp>
        <stp>Dts=H</stp>
        <tr r="G361" s="2"/>
      </tp>
      <tp>
        <v>372.3</v>
        <stp/>
        <stp>##V3_BDPV12</stp>
        <stp>21H060655 Mtge</stp>
        <stp xml:space="preserve">MTG_PL_PSA_3M </stp>
        <stp>[Copy of 02_cpr_main.xlsx]data!R28C14</stp>
        <tr r="N28" s="2"/>
      </tp>
      <tp>
        <v>358.5</v>
        <stp/>
        <stp>##V3_BDPV12</stp>
        <stp>21H060655 Mtge</stp>
        <stp xml:space="preserve">MTG_PL_PSA_1M </stp>
        <stp>[Copy of 02_cpr_main.xlsx]data!R28C13</stp>
        <tr r="M28" s="2"/>
      </tp>
      <tp>
        <v>370.4</v>
        <stp/>
        <stp>##V3_BDPV12</stp>
        <stp>21H060655 Mtge</stp>
        <stp xml:space="preserve">MTG_PL_PSA_6M </stp>
        <stp>[Copy of 02_cpr_main.xlsx]data!R28C15</stp>
        <tr r="O28" s="2"/>
      </tp>
      <tp t="s">
        <v>#N/A Invalid Field</v>
        <stp/>
        <stp>##V3_BDHV12</stp>
        <stp>31402DP79 Mtge</stp>
        <stp>MTG_GEN_CPR_12M</stp>
        <stp>20090331</stp>
        <stp>20090331</stp>
        <stp>[Copy of 02_cpr_main.xlsx]data!R270C7</stp>
        <stp>Dts=H</stp>
        <tr r="G270" s="2"/>
      </tp>
      <tp t="s">
        <v>#N/A Invalid Field</v>
        <stp/>
        <stp>##V3_BDHV12</stp>
        <stp>31412BWG3 Mtge</stp>
        <stp>MTG_GEN_CPR_12M</stp>
        <stp>20090331</stp>
        <stp>20090331</stp>
        <stp>[Copy of 02_cpr_main.xlsx]data!R403C7</stp>
        <stp>Dts=H</stp>
        <tr r="G403" s="2"/>
      </tp>
      <tp t="s">
        <v>#N/A Invalid Field</v>
        <stp/>
        <stp>##V3_BDHV12</stp>
        <stp>31404EVB9 Mtge</stp>
        <stp>MTG_GEN_CPR_12M</stp>
        <stp>20090331</stp>
        <stp>20090331</stp>
        <stp>[Copy of 02_cpr_main.xlsx]data!R312C7</stp>
        <stp>Dts=H</stp>
        <tr r="G312" s="2"/>
      </tp>
      <tp t="s">
        <v>#N/A Invalid Field</v>
        <stp/>
        <stp>##V3_BDHV12</stp>
        <stp>31416BVN5 Mtge</stp>
        <stp>MTG_GEN_CPR_12M</stp>
        <stp>20090331</stp>
        <stp>20090331</stp>
        <stp>[Copy of 02_cpr_main.xlsx]data!R460C7</stp>
        <stp>Dts=H</stp>
        <tr r="G460" s="2"/>
      </tp>
      <tp t="s">
        <v>#N/A Invalid Field</v>
        <stp/>
        <stp>##V3_BDHV12</stp>
        <stp>31412BPZ9 Mtge</stp>
        <stp>MTG_GEN_CPR_12M</stp>
        <stp>20090331</stp>
        <stp>20090331</stp>
        <stp>[Copy of 02_cpr_main.xlsx]data!R402C7</stp>
        <stp>Dts=H</stp>
        <tr r="G402" s="2"/>
      </tp>
      <tp t="s">
        <v>#N/A Invalid Field</v>
        <stp/>
        <stp>##V3_BDHV12</stp>
        <stp>31409EW80 Mtge</stp>
        <stp>MTG_GEN_CPR_12M</stp>
        <stp>20090331</stp>
        <stp>20090331</stp>
        <stp>[Copy of 02_cpr_main.xlsx]data!R353C7</stp>
        <stp>Dts=H</stp>
        <tr r="G353" s="2"/>
      </tp>
      <tp t="s">
        <v>#N/A Invalid Field</v>
        <stp/>
        <stp>##V3_BDHV12</stp>
        <stp>31416BZ68 Mtge</stp>
        <stp>MTG_GEN_CPR_12M</stp>
        <stp>20090331</stp>
        <stp>20090331</stp>
        <stp>[Copy of 02_cpr_main.xlsx]data!R461C7</stp>
        <stp>Dts=H</stp>
        <tr r="G461" s="2"/>
      </tp>
      <tp t="s">
        <v>#N/A Invalid Field</v>
        <stp/>
        <stp>##V3_BDHV12</stp>
        <stp>31292GY34 Mtge</stp>
        <stp>MTG_GEN_CPR_12M</stp>
        <stp>20090331</stp>
        <stp>20090331</stp>
        <stp>[Copy of 02_cpr_main.xlsx]data!R116C7</stp>
        <stp>Dts=H</stp>
        <tr r="G116" s="2"/>
      </tp>
      <tp t="s">
        <v>#N/A Invalid Field</v>
        <stp/>
        <stp>##V3_BDHV12</stp>
        <stp>31292GYA8 Mtge</stp>
        <stp>MTG_GEN_CPR_12M</stp>
        <stp>20090331</stp>
        <stp>20090331</stp>
        <stp>[Copy of 02_cpr_main.xlsx]data!R117C7</stp>
        <stp>Dts=H</stp>
        <tr r="G117" s="2"/>
      </tp>
      <tp t="s">
        <v>#N/A Invalid Field</v>
        <stp/>
        <stp>##V3_BDHV12</stp>
        <stp>36213EWY8 Mtge</stp>
        <stp>MTG_GEN_CPR_12M</stp>
        <stp>20090331</stp>
        <stp>20090331</stp>
        <stp>[Copy of 02_cpr_main.xlsx]data!R487C7</stp>
        <stp>Dts=H</stp>
        <tr r="G487" s="2"/>
      </tp>
      <tp t="s">
        <v>#N/A Invalid Field</v>
        <stp/>
        <stp>##V3_BDHV12</stp>
        <stp>31297GXZ9 Mtge</stp>
        <stp>MTG_GEN_CPR_12M</stp>
        <stp>20090331</stp>
        <stp>20090331</stp>
        <stp>[Copy of 02_cpr_main.xlsx]data!R148C7</stp>
        <stp>Dts=H</stp>
        <tr r="G148" s="2"/>
      </tp>
      <tp>
        <v>1666.7</v>
        <stp/>
        <stp>##V3_BDPV12</stp>
        <stp>31283K3C0 Mtge</stp>
        <stp xml:space="preserve">MTG_PL_PSA_1M </stp>
        <stp>[Copy of 02_cpr_main.xlsx]data!R34C13</stp>
        <tr r="M34" s="2"/>
      </tp>
      <tp>
        <v>1666.7</v>
        <stp/>
        <stp>##V3_BDPV12</stp>
        <stp>31283K3C0 Mtge</stp>
        <stp xml:space="preserve">MTG_PL_PSA_6M </stp>
        <stp>[Copy of 02_cpr_main.xlsx]data!R34C15</stp>
        <tr r="O34" s="2"/>
      </tp>
      <tp>
        <v>1666.7</v>
        <stp/>
        <stp>##V3_BDPV12</stp>
        <stp>31283K3C0 Mtge</stp>
        <stp xml:space="preserve">MTG_PL_PSA_3M </stp>
        <stp>[Copy of 02_cpr_main.xlsx]data!R34C14</stp>
        <tr r="N34" s="2"/>
      </tp>
      <tp t="s">
        <v>#N/A Invalid Field</v>
        <stp/>
        <stp>##V3_BDHV12</stp>
        <stp>31409D2C6 Mtge</stp>
        <stp>MTG_GEN_CPR_12M</stp>
        <stp>20090331</stp>
        <stp>20090331</stp>
        <stp>[Copy of 02_cpr_main.xlsx]data!R352C7</stp>
        <stp>Dts=H</stp>
        <tr r="G352" s="2"/>
      </tp>
      <tp t="s">
        <v>#N/A Invalid Field</v>
        <stp/>
        <stp>##V3_BDHV12</stp>
        <stp>31374F2P3 Mtge</stp>
        <stp>MTG_GEN_CPR_12M</stp>
        <stp>20090331</stp>
        <stp>20090331</stp>
        <stp>[Copy of 02_cpr_main.xlsx]data!R182C7</stp>
        <stp>Dts=H</stp>
        <tr r="G182" s="2"/>
      </tp>
      <tp t="s">
        <v>#N/A Invalid Field</v>
        <stp/>
        <stp>##V3_BDHV12</stp>
        <stp>3128QS6G6 Mtge</stp>
        <stp>MTG_GEN_CPR_6M</stp>
        <stp>20090610</stp>
        <stp>20090610</stp>
        <stp>[Copy of 02_cpr_main.xlsx]data!R110C9</stp>
        <stp>Dts=H</stp>
        <tr r="I110" s="2"/>
      </tp>
      <tp t="s">
        <v>#N/A Invalid Field</v>
        <stp/>
        <stp>##V3_BDHV12</stp>
        <stp>3128QSKM7 Mtge</stp>
        <stp>MTG_GEN_CPR_3M</stp>
        <stp>20090610</stp>
        <stp>20090610</stp>
        <stp>[Copy of 02_cpr_main.xlsx]data!R111C8</stp>
        <stp>Dts=H</stp>
        <tr r="H111" s="2"/>
      </tp>
      <tp t="s">
        <v>#N/A Invalid Field</v>
        <stp/>
        <stp>##V3_BDHV12</stp>
        <stp>31283HWN1 Mtge</stp>
        <stp>MTG_GEN_CPR_6M</stp>
        <stp>20090331</stp>
        <stp>20090331</stp>
        <stp>[Copy of 02_cpr_main.xlsx]data!R32C6</stp>
        <stp>Dts=H</stp>
        <tr r="F32" s="2"/>
      </tp>
      <tp t="s">
        <v>#N/A Invalid Field</v>
        <stp/>
        <stp>##V3_BDHV12</stp>
        <stp>3133XD5F4 Mtge</stp>
        <stp>MTG_GEN_CPR_3M</stp>
        <stp>20090331</stp>
        <stp>20090331</stp>
        <stp>[Copy of 02_cpr_main.xlsx]data!R156C5</stp>
        <stp>Dts=H</stp>
        <tr r="E156" s="2"/>
      </tp>
      <tp t="s">
        <v>#N/A Invalid Field</v>
        <stp/>
        <stp>##V3_BDHV12</stp>
        <stp>3128JNBN4 Mtge</stp>
        <stp>MTG_GEN_CPR_6M</stp>
        <stp>20090331</stp>
        <stp>20090331</stp>
        <stp>[Copy of 02_cpr_main.xlsx]data!R70C6</stp>
        <stp>Dts=H</stp>
        <tr r="F70" s="2"/>
      </tp>
      <tp t="s">
        <v>#N/A Invalid Field</v>
        <stp/>
        <stp>##V3_BDHV12</stp>
        <stp>3128LDMN1 Mtge</stp>
        <stp>MTG_GEN_CPR_6M</stp>
        <stp>20090331</stp>
        <stp>20090331</stp>
        <stp>[Copy of 02_cpr_main.xlsx]data!R78C6</stp>
        <stp>Dts=H</stp>
        <tr r="F78" s="2"/>
      </tp>
      <tp t="s">
        <v>#N/A Invalid Field</v>
        <stp/>
        <stp>##V3_BDHV12</stp>
        <stp>3128M5ED8 Mtge</stp>
        <stp>MTG_GEN_CPR_6M</stp>
        <stp>20090610</stp>
        <stp>20090610</stp>
        <stp>[Copy of 02_cpr_main.xlsx]data!R86C9</stp>
        <stp>Dts=H</stp>
        <tr r="I86" s="2"/>
      </tp>
      <tp t="s">
        <v>#N/A Invalid Field</v>
        <stp/>
        <stp>##V3_BDHV12</stp>
        <stp>3128JMFN2 Mtge</stp>
        <stp>MTG_GEN_CPR_6M</stp>
        <stp>20090331</stp>
        <stp>20090331</stp>
        <stp>[Copy of 02_cpr_main.xlsx]data!R68C6</stp>
        <stp>Dts=H</stp>
        <tr r="F68" s="2"/>
      </tp>
      <tp t="s">
        <v>#N/A Invalid Field</v>
        <stp/>
        <stp>##V3_BDHV12</stp>
        <stp>31413CCD9 Mtge</stp>
        <stp>MTG_GEN_CPR_12M</stp>
        <stp>20090331</stp>
        <stp>20090331</stp>
        <stp>[Copy of 02_cpr_main.xlsx]data!R418C7</stp>
        <stp>Dts=H</stp>
        <tr r="G418" s="2"/>
      </tp>
      <tp t="s">
        <v>#N/A Invalid Field</v>
        <stp/>
        <stp>##V3_BDHV12</stp>
        <stp>31390EJB9 Mtge</stp>
        <stp>MTG_GEN_CPR_12M</stp>
        <stp>20090331</stp>
        <stp>20090331</stp>
        <stp>[Copy of 02_cpr_main.xlsx]data!R231C7</stp>
        <stp>Dts=H</stp>
        <tr r="G231" s="2"/>
      </tp>
      <tp t="s">
        <v>#N/A Invalid Field</v>
        <stp/>
        <stp>##V3_BDHV12</stp>
        <stp>31293FJZ1 Mtge</stp>
        <stp>MTG_GEN_CPR_12M</stp>
        <stp>20090331</stp>
        <stp>20090331</stp>
        <stp>[Copy of 02_cpr_main.xlsx]data!R121C7</stp>
        <stp>Dts=H</stp>
        <tr r="G121" s="2"/>
      </tp>
      <tp t="s">
        <v>#N/A Invalid Field</v>
        <stp/>
        <stp>##V3_BDHV12</stp>
        <stp>31406DJV9 Mtge</stp>
        <stp>MTG_GEN_CPR_12M</stp>
        <stp>20090331</stp>
        <stp>20090331</stp>
        <stp>[Copy of 02_cpr_main.xlsx]data!R334C7</stp>
        <stp>Dts=H</stp>
        <tr r="G334" s="2"/>
      </tp>
      <tp t="s">
        <v>#N/A Invalid Field</v>
        <stp/>
        <stp>##V3_BDHV12</stp>
        <stp>31406DJX5 Mtge</stp>
        <stp>MTG_GEN_CPR_12M</stp>
        <stp>20090331</stp>
        <stp>20090331</stp>
        <stp>[Copy of 02_cpr_main.xlsx]data!R335C7</stp>
        <stp>Dts=H</stp>
        <tr r="G335" s="2"/>
      </tp>
      <tp t="s">
        <v>#N/A Invalid Field</v>
        <stp/>
        <stp>##V3_BDHV12</stp>
        <stp>31403DTT6 Mtge</stp>
        <stp>MTG_GEN_CPR_12M</stp>
        <stp>20090331</stp>
        <stp>20090331</stp>
        <stp>[Copy of 02_cpr_main.xlsx]data!R302C7</stp>
        <stp>Dts=H</stp>
        <tr r="G302" s="2"/>
      </tp>
      <tp t="s">
        <v>#N/A Invalid Field</v>
        <stp/>
        <stp>##V3_BDHV12</stp>
        <stp>31414CV88 Mtge</stp>
        <stp>MTG_GEN_CPR_12M</stp>
        <stp>20090331</stp>
        <stp>20090331</stp>
        <stp>[Copy of 02_cpr_main.xlsx]data!R435C7</stp>
        <stp>Dts=H</stp>
        <tr r="G435" s="2"/>
      </tp>
      <tp t="s">
        <v>#N/A Invalid Field</v>
        <stp/>
        <stp>##V3_BDHV12</stp>
        <stp>31403DV22 Mtge</stp>
        <stp>MTG_GEN_CPR_12M</stp>
        <stp>20090331</stp>
        <stp>20090331</stp>
        <stp>[Copy of 02_cpr_main.xlsx]data!R303C7</stp>
        <stp>Dts=H</stp>
        <tr r="G303" s="2"/>
      </tp>
      <tp t="s">
        <v>#N/A Invalid Field</v>
        <stp/>
        <stp>##V3_BDHV12</stp>
        <stp>3128GCP55 Mtge</stp>
        <stp>MTG_GEN_CPR_12M</stp>
        <stp>20090610</stp>
        <stp>20090610</stp>
        <stp>[Copy of 02_cpr_main.xlsx]data!R42C10</stp>
        <stp>Dts=H</stp>
        <tr r="J42" s="2"/>
      </tp>
      <tp t="s">
        <v>#N/A Invalid Field</v>
        <stp/>
        <stp>##V3_BDHV12</stp>
        <stp>31403DWU9 Mtge</stp>
        <stp>MTG_GEN_CPR_12M</stp>
        <stp>20090331</stp>
        <stp>20090331</stp>
        <stp>[Copy of 02_cpr_main.xlsx]data!R304C7</stp>
        <stp>Dts=H</stp>
        <tr r="G304" s="2"/>
      </tp>
      <tp t="s">
        <v>#N/A Invalid Field</v>
        <stp/>
        <stp>##V3_BDHV12</stp>
        <stp>3128GCVT6 Mtge</stp>
        <stp>MTG_GEN_CPR_12M</stp>
        <stp>20090610</stp>
        <stp>20090610</stp>
        <stp>[Copy of 02_cpr_main.xlsx]data!R43C10</stp>
        <stp>Dts=H</stp>
        <tr r="J43" s="2"/>
      </tp>
      <tp t="s">
        <v>#N/A Invalid Field</v>
        <stp/>
        <stp>##V3_BDHV12</stp>
        <stp>31403DQT9 Mtge</stp>
        <stp>MTG_GEN_CPR_12M</stp>
        <stp>20090331</stp>
        <stp>20090331</stp>
        <stp>[Copy of 02_cpr_main.xlsx]data!R300C7</stp>
        <stp>Dts=H</stp>
        <tr r="G300" s="2"/>
      </tp>
      <tp t="s">
        <v>#N/A Invalid Field</v>
        <stp/>
        <stp>##V3_BDHV12</stp>
        <stp>31403DR68 Mtge</stp>
        <stp>MTG_GEN_CPR_12M</stp>
        <stp>20090331</stp>
        <stp>20090331</stp>
        <stp>[Copy of 02_cpr_main.xlsx]data!R301C7</stp>
        <stp>Dts=H</stp>
        <tr r="G301" s="2"/>
      </tp>
      <tp t="s">
        <v>#N/A Invalid Field</v>
        <stp/>
        <stp>##V3_BDHV12</stp>
        <stp>31410DVM9 Mtge</stp>
        <stp>MTG_GEN_CPR_12M</stp>
        <stp>20090331</stp>
        <stp>20090331</stp>
        <stp>[Copy of 02_cpr_main.xlsx]data!R359C7</stp>
        <stp>Dts=H</stp>
        <tr r="G359" s="2"/>
      </tp>
      <tp t="s">
        <v>#N/A Invalid Field</v>
        <stp/>
        <stp>##V3_BDHV12</stp>
        <stp>36211DPQ7 Mtge</stp>
        <stp>MTG_GEN_CPR_12M</stp>
        <stp>20090331</stp>
        <stp>20090331</stp>
        <stp>[Copy of 02_cpr_main.xlsx]data!R486C7</stp>
        <stp>Dts=H</stp>
        <tr r="G486" s="2"/>
      </tp>
      <tp t="s">
        <v>#N/A Invalid Field</v>
        <stp/>
        <stp>##V3_BDHV12</stp>
        <stp>31410DXZ8 Mtge</stp>
        <stp>MTG_GEN_CPR_12M</stp>
        <stp>20090331</stp>
        <stp>20090331</stp>
        <stp>[Copy of 02_cpr_main.xlsx]data!R360C7</stp>
        <stp>Dts=H</stp>
        <tr r="G360" s="2"/>
      </tp>
      <tp t="s">
        <v>#N/A Invalid Field</v>
        <stp/>
        <stp>##V3_BDHV12</stp>
        <stp>31414CZ84 Mtge</stp>
        <stp>MTG_GEN_CPR_12M</stp>
        <stp>20090331</stp>
        <stp>20090331</stp>
        <stp>[Copy of 02_cpr_main.xlsx]data!R436C7</stp>
        <stp>Dts=H</stp>
        <tr r="G436" s="2"/>
      </tp>
      <tp t="s">
        <v>#N/A Invalid Field</v>
        <stp/>
        <stp>##V3_BDHV12</stp>
        <stp>31410C3Q3 Mtge</stp>
        <stp>MTG_GEN_CPR_12M</stp>
        <stp>20090331</stp>
        <stp>20090331</stp>
        <stp>[Copy of 02_cpr_main.xlsx]data!R357C7</stp>
        <stp>Dts=H</stp>
        <tr r="G357" s="2"/>
      </tp>
      <tp t="s">
        <v>#N/A Invalid Field</v>
        <stp/>
        <stp>##V3_BDHV12</stp>
        <stp>31410C6S6 Mtge</stp>
        <stp>MTG_GEN_CPR_12M</stp>
        <stp>20090331</stp>
        <stp>20090331</stp>
        <stp>[Copy of 02_cpr_main.xlsx]data!R358C7</stp>
        <stp>Dts=H</stp>
        <tr r="G358" s="2"/>
      </tp>
      <tp t="s">
        <v>#N/A Invalid Field</v>
        <stp/>
        <stp>##V3_BDHV12</stp>
        <stp>01F050650 Mtge</stp>
        <stp>MTG_GEN_CPR_3M</stp>
        <stp>20090610</stp>
        <stp>20090610</stp>
        <stp>[Copy of 02_cpr_main.xlsx]data!R7C8</stp>
        <stp>Dts=H</stp>
        <tr r="H7" s="2"/>
      </tp>
      <tp t="s">
        <v>#N/A Invalid Field</v>
        <stp/>
        <stp>##V3_BDHV12</stp>
        <stp>01F052656 Mtge</stp>
        <stp>MTG_GEN_CPR_3M</stp>
        <stp>20090610</stp>
        <stp>20090610</stp>
        <stp>[Copy of 02_cpr_main.xlsx]data!R9C8</stp>
        <stp>Dts=H</stp>
        <tr r="H9" s="2"/>
      </tp>
      <tp t="s">
        <v>#N/A Invalid Field</v>
        <stp/>
        <stp>##V3_BDHV12</stp>
        <stp>01F050643 Mtge</stp>
        <stp>MTG_GEN_CPR_3M</stp>
        <stp>20090610</stp>
        <stp>20090610</stp>
        <stp>[Copy of 02_cpr_main.xlsx]data!R6C8</stp>
        <stp>Dts=H</stp>
        <tr r="H6" s="2"/>
      </tp>
      <tp t="s">
        <v>#N/A Invalid Field</v>
        <stp/>
        <stp>##V3_BDHV12</stp>
        <stp>01F042640 Mtge</stp>
        <stp>MTG_GEN_CPR_3M</stp>
        <stp>20090610</stp>
        <stp>20090610</stp>
        <stp>[Copy of 02_cpr_main.xlsx]data!R3C8</stp>
        <stp>Dts=H</stp>
        <tr r="H3" s="2"/>
      </tp>
      <tp t="s">
        <v>#N/A Invalid Field</v>
        <stp/>
        <stp>##V3_BDHV12</stp>
        <stp>3128QHVC1 Mtge</stp>
        <stp>MTG_GEN_CPR_6M</stp>
        <stp>20090610</stp>
        <stp>20090610</stp>
        <stp>[Copy of 02_cpr_main.xlsx]data!R108C9</stp>
        <stp>Dts=H</stp>
        <tr r="I108" s="2"/>
      </tp>
      <tp t="s">
        <v>#N/A Invalid Field</v>
        <stp/>
        <stp>##V3_BDHV12</stp>
        <stp>31283K3C0 Mtge</stp>
        <stp>MTG_GEN_CPR_6M</stp>
        <stp>20090610</stp>
        <stp>20090610</stp>
        <stp>[Copy of 02_cpr_main.xlsx]data!R34C9</stp>
        <stp>Dts=H</stp>
        <tr r="I34" s="2"/>
      </tp>
      <tp t="s">
        <v>#N/A Invalid Field</v>
        <stp/>
        <stp>##V3_BDHV12</stp>
        <stp>3128QGMM1 Mtge</stp>
        <stp>MTG_GEN_CPR_6M</stp>
        <stp>20090610</stp>
        <stp>20090610</stp>
        <stp>[Copy of 02_cpr_main.xlsx]data!R107C9</stp>
        <stp>Dts=H</stp>
        <tr r="I107" s="2"/>
      </tp>
      <tp t="s">
        <v>#N/A Invalid Field</v>
        <stp/>
        <stp>##V3_BDHV12</stp>
        <stp>31283HLG8 Mtge</stp>
        <stp>MTG_GEN_CPR_3M</stp>
        <stp>20090610</stp>
        <stp>20090610</stp>
        <stp>[Copy of 02_cpr_main.xlsx]data!R30C8</stp>
        <stp>Dts=H</stp>
        <tr r="H30" s="2"/>
      </tp>
      <tp t="s">
        <v>#N/A Invalid Field</v>
        <stp/>
        <stp>##V3_BDHV12</stp>
        <stp>3128GDRC6 Mtge</stp>
        <stp>MTG_GEN_CPR_6M</stp>
        <stp>20090610</stp>
        <stp>20090610</stp>
        <stp>[Copy of 02_cpr_main.xlsx]data!R48C9</stp>
        <stp>Dts=H</stp>
        <tr r="I48" s="2"/>
      </tp>
      <tp t="s">
        <v>#N/A Invalid Field</v>
        <stp/>
        <stp>##V3_BDHV12</stp>
        <stp>3128JMHG5 Mtge</stp>
        <stp>MTG_GEN_CPR_3M</stp>
        <stp>20090610</stp>
        <stp>20090610</stp>
        <stp>[Copy of 02_cpr_main.xlsx]data!R69C8</stp>
        <stp>Dts=H</stp>
        <tr r="H69" s="2"/>
      </tp>
      <tp t="s">
        <v>#N/A Invalid Field</v>
        <stp/>
        <stp>##V3_BDHV12</stp>
        <stp>3128K3ZC4 Mtge</stp>
        <stp>MTG_GEN_CPR_6M</stp>
        <stp>20090610</stp>
        <stp>20090610</stp>
        <stp>[Copy of 02_cpr_main.xlsx]data!R72C9</stp>
        <stp>Dts=H</stp>
        <tr r="I72" s="2"/>
      </tp>
      <tp t="s">
        <v>#N/A Invalid Field</v>
        <stp/>
        <stp>##V3_BDHV12</stp>
        <stp>3128GEAJ7 Mtge</stp>
        <stp>MTG_GEN_CPR_12M</stp>
        <stp>20090610</stp>
        <stp>20090610</stp>
        <stp>[Copy of 02_cpr_main.xlsx]data!R51C10</stp>
        <stp>Dts=H</stp>
        <tr r="J51" s="2"/>
      </tp>
      <tp t="s">
        <v>#N/A Invalid Field</v>
        <stp/>
        <stp>##V3_BDHV12</stp>
        <stp>3128GEBA5 Mtge</stp>
        <stp>MTG_GEN_CPR_12M</stp>
        <stp>20090610</stp>
        <stp>20090610</stp>
        <stp>[Copy of 02_cpr_main.xlsx]data!R52C10</stp>
        <stp>Dts=H</stp>
        <tr r="J52" s="2"/>
      </tp>
      <tp t="s">
        <v>#N/A Invalid Field</v>
        <stp/>
        <stp>##V3_BDHV12</stp>
        <stp>31413DGE1 Mtge</stp>
        <stp>MTG_GEN_CPR_12M</stp>
        <stp>20090331</stp>
        <stp>20090331</stp>
        <stp>[Copy of 02_cpr_main.xlsx]data!R419C7</stp>
        <stp>Dts=H</stp>
        <tr r="G419" s="2"/>
      </tp>
      <tp t="s">
        <v>#N/A Invalid Field</v>
        <stp/>
        <stp>##V3_BDHV12</stp>
        <stp>3128GDAZ3 Mtge</stp>
        <stp>MTG_GEN_CPR_12M</stp>
        <stp>20090610</stp>
        <stp>20090610</stp>
        <stp>[Copy of 02_cpr_main.xlsx]data!R44C10</stp>
        <stp>Dts=H</stp>
        <tr r="J44" s="2"/>
      </tp>
      <tp t="s">
        <v>#N/A Invalid Field</v>
        <stp/>
        <stp>##V3_BDHV12</stp>
        <stp>31402BGQ1 Mtge</stp>
        <stp>MTG_GEN_CPR_12M</stp>
        <stp>20090331</stp>
        <stp>20090331</stp>
        <stp>[Copy of 02_cpr_main.xlsx]data!R262C7</stp>
        <stp>Dts=H</stp>
        <tr r="G262" s="2"/>
      </tp>
      <tp t="s">
        <v>#N/A Invalid Field</v>
        <stp/>
        <stp>##V3_BDHV12</stp>
        <stp>3128GDX47 Mtge</stp>
        <stp>MTG_GEN_CPR_12M</stp>
        <stp>20090610</stp>
        <stp>20090610</stp>
        <stp>[Copy of 02_cpr_main.xlsx]data!R49C10</stp>
        <stp>Dts=H</stp>
        <tr r="J49" s="2"/>
      </tp>
      <tp t="s">
        <v>#N/A Invalid Field</v>
        <stp/>
        <stp>##V3_BDHV12</stp>
        <stp>3128GDPU8 Mtge</stp>
        <stp>MTG_GEN_CPR_12M</stp>
        <stp>20090610</stp>
        <stp>20090610</stp>
        <stp>[Copy of 02_cpr_main.xlsx]data!R45C10</stp>
        <stp>Dts=H</stp>
        <tr r="J45" s="2"/>
      </tp>
      <tp t="s">
        <v>#N/A Invalid Field</v>
        <stp/>
        <stp>##V3_BDHV12</stp>
        <stp>3128GDQJ2 Mtge</stp>
        <stp>MTG_GEN_CPR_12M</stp>
        <stp>20090610</stp>
        <stp>20090610</stp>
        <stp>[Copy of 02_cpr_main.xlsx]data!R46C10</stp>
        <stp>Dts=H</stp>
        <tr r="J46" s="2"/>
      </tp>
      <tp t="s">
        <v>#N/A Invalid Field</v>
        <stp/>
        <stp>##V3_BDHV12</stp>
        <stp>3128GDQW3 Mtge</stp>
        <stp>MTG_GEN_CPR_12M</stp>
        <stp>20090610</stp>
        <stp>20090610</stp>
        <stp>[Copy of 02_cpr_main.xlsx]data!R47C10</stp>
        <stp>Dts=H</stp>
        <tr r="J47" s="2"/>
      </tp>
      <tp t="s">
        <v>#N/A Invalid Field</v>
        <stp/>
        <stp>##V3_BDHV12</stp>
        <stp>31405CQ85 Mtge</stp>
        <stp>MTG_GEN_CPR_12M</stp>
        <stp>20090331</stp>
        <stp>20090331</stp>
        <stp>[Copy of 02_cpr_main.xlsx]data!R324C7</stp>
        <stp>Dts=H</stp>
        <tr r="G324" s="2"/>
      </tp>
      <tp t="s">
        <v>#N/A Invalid Field</v>
        <stp/>
        <stp>##V3_BDHV12</stp>
        <stp>3128GDRC6 Mtge</stp>
        <stp>MTG_GEN_CPR_12M</stp>
        <stp>20090610</stp>
        <stp>20090610</stp>
        <stp>[Copy of 02_cpr_main.xlsx]data!R48C10</stp>
        <stp>Dts=H</stp>
        <tr r="J48" s="2"/>
      </tp>
      <tp t="s">
        <v>#N/A Invalid Field</v>
        <stp/>
        <stp>##V3_BDHV12</stp>
        <stp>31412DYV4 Mtge</stp>
        <stp>MTG_GEN_CPR_12M</stp>
        <stp>20090331</stp>
        <stp>20090331</stp>
        <stp>[Copy of 02_cpr_main.xlsx]data!R404C7</stp>
        <stp>Dts=H</stp>
        <tr r="G404" s="2"/>
      </tp>
      <tp t="s">
        <v>#N/A Invalid Field</v>
        <stp/>
        <stp>##V3_BDHV12</stp>
        <stp>31402C5E8 Mtge</stp>
        <stp>MTG_GEN_CPR_12M</stp>
        <stp>20090331</stp>
        <stp>20090331</stp>
        <stp>[Copy of 02_cpr_main.xlsx]data!R263C7</stp>
        <stp>Dts=H</stp>
        <tr r="G263" s="2"/>
      </tp>
      <tp t="s">
        <v>#N/A Invalid Field</v>
        <stp/>
        <stp>##V3_BDHV12</stp>
        <stp>31403C6L0 Mtge</stp>
        <stp>MTG_GEN_CPR_12M</stp>
        <stp>20090331</stp>
        <stp>20090331</stp>
        <stp>[Copy of 02_cpr_main.xlsx]data!R293C7</stp>
        <stp>Dts=H</stp>
        <tr r="G293" s="2"/>
      </tp>
      <tp t="s">
        <v>#N/A Invalid Field</v>
        <stp/>
        <stp>##V3_BDHV12</stp>
        <stp>31403C2Z3 Mtge</stp>
        <stp>MTG_GEN_CPR_12M</stp>
        <stp>20090331</stp>
        <stp>20090331</stp>
        <stp>[Copy of 02_cpr_main.xlsx]data!R292C7</stp>
        <stp>Dts=H</stp>
        <tr r="G292" s="2"/>
      </tp>
      <tp t="s">
        <v>#N/A Invalid Field</v>
        <stp/>
        <stp>##V3_BDHV12</stp>
        <stp>01F050643 Mtge</stp>
        <stp>MTG_GEN_CPR_6M</stp>
        <stp>20090610</stp>
        <stp>20090610</stp>
        <stp>[Copy of 02_cpr_main.xlsx]data!R6C9</stp>
        <stp>Dts=H</stp>
        <tr r="I6" s="2"/>
      </tp>
      <tp t="s">
        <v>#N/A Invalid Field</v>
        <stp/>
        <stp>##V3_BDHV12</stp>
        <stp>01F042640 Mtge</stp>
        <stp>MTG_GEN_CPR_6M</stp>
        <stp>20090610</stp>
        <stp>20090610</stp>
        <stp>[Copy of 02_cpr_main.xlsx]data!R3C9</stp>
        <stp>Dts=H</stp>
        <tr r="I3" s="2"/>
      </tp>
      <tp t="s">
        <v>#N/A Invalid Field</v>
        <stp/>
        <stp>##V3_BDHV12</stp>
        <stp>01F050650 Mtge</stp>
        <stp>MTG_GEN_CPR_6M</stp>
        <stp>20090610</stp>
        <stp>20090610</stp>
        <stp>[Copy of 02_cpr_main.xlsx]data!R7C9</stp>
        <stp>Dts=H</stp>
        <tr r="I7" s="2"/>
      </tp>
      <tp t="s">
        <v>#N/A Invalid Field</v>
        <stp/>
        <stp>##V3_BDHV12</stp>
        <stp>01F052656 Mtge</stp>
        <stp>MTG_GEN_CPR_6M</stp>
        <stp>20090610</stp>
        <stp>20090610</stp>
        <stp>[Copy of 02_cpr_main.xlsx]data!R9C9</stp>
        <stp>Dts=H</stp>
        <tr r="I9" s="2"/>
      </tp>
      <tp t="s">
        <v>#N/A Invalid Field</v>
        <stp/>
        <stp>##V3_BDHV12</stp>
        <stp>31283HWN1 Mtge</stp>
        <stp>MTG_GEN_CPR_3M</stp>
        <stp>20090331</stp>
        <stp>20090331</stp>
        <stp>[Copy of 02_cpr_main.xlsx]data!R32C5</stp>
        <stp>Dts=H</stp>
        <tr r="E32" s="2"/>
      </tp>
      <tp t="s">
        <v>#N/A Invalid Field</v>
        <stp/>
        <stp>##V3_BDHV12</stp>
        <stp>3128QHVC1 Mtge</stp>
        <stp>MTG_GEN_CPR_3M</stp>
        <stp>20090610</stp>
        <stp>20090610</stp>
        <stp>[Copy of 02_cpr_main.xlsx]data!R108C8</stp>
        <stp>Dts=H</stp>
        <tr r="H108" s="2"/>
      </tp>
      <tp t="s">
        <v>#N/A Invalid Field</v>
        <stp/>
        <stp>##V3_BDHV12</stp>
        <stp>3128QGMM1 Mtge</stp>
        <stp>MTG_GEN_CPR_3M</stp>
        <stp>20090610</stp>
        <stp>20090610</stp>
        <stp>[Copy of 02_cpr_main.xlsx]data!R107C8</stp>
        <stp>Dts=H</stp>
        <tr r="H107" s="2"/>
      </tp>
      <tp t="s">
        <v>#N/A Invalid Field</v>
        <stp/>
        <stp>##V3_BDHV12</stp>
        <stp>3128JNBN4 Mtge</stp>
        <stp>MTG_GEN_CPR_3M</stp>
        <stp>20090331</stp>
        <stp>20090331</stp>
        <stp>[Copy of 02_cpr_main.xlsx]data!R70C5</stp>
        <stp>Dts=H</stp>
        <tr r="E70" s="2"/>
      </tp>
      <tp t="s">
        <v>#N/A Invalid Field</v>
        <stp/>
        <stp>##V3_BDHV12</stp>
        <stp>3128LDMN1 Mtge</stp>
        <stp>MTG_GEN_CPR_3M</stp>
        <stp>20090331</stp>
        <stp>20090331</stp>
        <stp>[Copy of 02_cpr_main.xlsx]data!R78C5</stp>
        <stp>Dts=H</stp>
        <tr r="E78" s="2"/>
      </tp>
      <tp t="s">
        <v>#N/A Invalid Field</v>
        <stp/>
        <stp>##V3_BDHV12</stp>
        <stp>3128JMFN2 Mtge</stp>
        <stp>MTG_GEN_CPR_3M</stp>
        <stp>20090331</stp>
        <stp>20090331</stp>
        <stp>[Copy of 02_cpr_main.xlsx]data!R68C5</stp>
        <stp>Dts=H</stp>
        <tr r="E68" s="2"/>
      </tp>
    </main>
    <main first="bloomberg.rtd">
      <tp t="s">
        <v>#N/A Invalid Field</v>
        <stp/>
        <stp>##V3_BDHV12</stp>
        <stp>31385CEC3 Mtge</stp>
        <stp>MTG_GEN_CPR_12M</stp>
        <stp>20090331</stp>
        <stp>20090331</stp>
        <stp>[Copy of 02_cpr_main.xlsx]data!R212C7</stp>
        <stp>Dts=H</stp>
        <tr r="G212" s="2"/>
      </tp>
      <tp t="s">
        <v>#N/A Invalid Field</v>
        <stp/>
        <stp>##V3_BDHV12</stp>
        <stp>36225BB31 Mtge</stp>
        <stp>MTG_GEN_CPR_12M</stp>
        <stp>20090331</stp>
        <stp>20090331</stp>
        <stp>[Copy of 02_cpr_main.xlsx]data!R491C7</stp>
        <stp>Dts=H</stp>
        <tr r="G491" s="2"/>
      </tp>
      <tp t="s">
        <v>#N/A Invalid Field</v>
        <stp/>
        <stp>##V3_BDHV12</stp>
        <stp>31385CHF3 Mtge</stp>
        <stp>MTG_GEN_CPR_12M</stp>
        <stp>20090331</stp>
        <stp>20090331</stp>
        <stp>[Copy of 02_cpr_main.xlsx]data!R213C7</stp>
        <stp>Dts=H</stp>
        <tr r="G213" s="2"/>
      </tp>
      <tp t="s">
        <v>#N/A Invalid Field</v>
        <stp/>
        <stp>##V3_BDHV12</stp>
        <stp>36225BAP3 Mtge</stp>
        <stp>MTG_GEN_CPR_12M</stp>
        <stp>20090331</stp>
        <stp>20090331</stp>
        <stp>[Copy of 02_cpr_main.xlsx]data!R490C7</stp>
        <stp>Dts=H</stp>
        <tr r="G490" s="2"/>
      </tp>
      <tp t="s">
        <v>#N/A Invalid Field</v>
        <stp/>
        <stp>##V3_BDHV12</stp>
        <stp>36225BG93 Mtge</stp>
        <stp>MTG_GEN_CPR_12M</stp>
        <stp>20090331</stp>
        <stp>20090331</stp>
        <stp>[Copy of 02_cpr_main.xlsx]data!R492C7</stp>
        <stp>Dts=H</stp>
        <tr r="G492" s="2"/>
      </tp>
      <tp t="s">
        <v>#N/A Invalid Field</v>
        <stp/>
        <stp>##V3_BDHV12</stp>
        <stp>31412ETK2 Mtge</stp>
        <stp>MTG_GEN_CPR_12M</stp>
        <stp>20090331</stp>
        <stp>20090331</stp>
        <stp>[Copy of 02_cpr_main.xlsx]data!R405C7</stp>
        <stp>Dts=H</stp>
        <tr r="G405" s="2"/>
      </tp>
      <tp t="s">
        <v>#N/A Invalid Field</v>
        <stp/>
        <stp>##V3_BDHV12</stp>
        <stp>36225BYJ1 Mtge</stp>
        <stp>MTG_GEN_CPR_12M</stp>
        <stp>20090331</stp>
        <stp>20090331</stp>
        <stp>[Copy of 02_cpr_main.xlsx]data!R495C7</stp>
        <stp>Dts=H</stp>
        <tr r="G495" s="2"/>
      </tp>
      <tp t="s">
        <v>#N/A Invalid Field</v>
        <stp/>
        <stp>##V3_BDHV12</stp>
        <stp>31402CPL0 Mtge</stp>
        <stp>MTG_GEN_CPR_12M</stp>
        <stp>20090331</stp>
        <stp>20090331</stp>
        <stp>[Copy of 02_cpr_main.xlsx]data!R264C7</stp>
        <stp>Dts=H</stp>
        <tr r="G264" s="2"/>
      </tp>
      <tp>
        <v>134.69999999999999</v>
        <stp/>
        <stp>##V3_BDPV12</stp>
        <stp>01N060650 Mtge</stp>
        <stp xml:space="preserve">MTG_PL_PSA_6M </stp>
        <stp>[Copy of 02_cpr_main.xlsx]data!R17C15</stp>
        <tr r="O17" s="2"/>
      </tp>
      <tp>
        <v>152.30000000000001</v>
        <stp/>
        <stp>##V3_BDPV12</stp>
        <stp>01N060650 Mtge</stp>
        <stp xml:space="preserve">MTG_PL_PSA_1M </stp>
        <stp>[Copy of 02_cpr_main.xlsx]data!R17C13</stp>
        <tr r="M17" s="2"/>
      </tp>
      <tp>
        <v>139.1</v>
        <stp/>
        <stp>##V3_BDPV12</stp>
        <stp>01N060650 Mtge</stp>
        <stp xml:space="preserve">MTG_PL_PSA_3M </stp>
        <stp>[Copy of 02_cpr_main.xlsx]data!R17C14</stp>
        <tr r="N17" s="2"/>
      </tp>
      <tp t="s">
        <v>#N/A Invalid Field</v>
        <stp/>
        <stp>##V3_BDHV12</stp>
        <stp>31402CQZ8 Mtge</stp>
        <stp>MTG_GEN_CPR_12M</stp>
        <stp>20090331</stp>
        <stp>20090331</stp>
        <stp>[Copy of 02_cpr_main.xlsx]data!R265C7</stp>
        <stp>Dts=H</stp>
        <tr r="G265" s="2"/>
      </tp>
      <tp t="s">
        <v>#N/A Invalid Field</v>
        <stp/>
        <stp>##V3_BDHV12</stp>
        <stp>31402CTT9 Mtge</stp>
        <stp>MTG_GEN_CPR_12M</stp>
        <stp>20090331</stp>
        <stp>20090331</stp>
        <stp>[Copy of 02_cpr_main.xlsx]data!R266C7</stp>
        <stp>Dts=H</stp>
        <tr r="G266" s="2"/>
      </tp>
      <tp t="s">
        <v>#N/A Invalid Field</v>
        <stp/>
        <stp>##V3_BDHV12</stp>
        <stp>31402CZR6 Mtge</stp>
        <stp>MTG_GEN_CPR_12M</stp>
        <stp>20090331</stp>
        <stp>20090331</stp>
        <stp>[Copy of 02_cpr_main.xlsx]data!R267C7</stp>
        <stp>Dts=H</stp>
        <tr r="G267" s="2"/>
      </tp>
      <tp t="s">
        <v>#N/A Invalid Field</v>
        <stp/>
        <stp>##V3_BDHV12</stp>
        <stp>31403CUZ2 Mtge</stp>
        <stp>MTG_GEN_CPR_12M</stp>
        <stp>20090331</stp>
        <stp>20090331</stp>
        <stp>[Copy of 02_cpr_main.xlsx]data!R294C7</stp>
        <stp>Dts=H</stp>
        <tr r="G294" s="2"/>
      </tp>
      <tp t="s">
        <v>#N/A Invalid Field</v>
        <stp/>
        <stp>##V3_BDHV12</stp>
        <stp>3128GDZX1 Mtge</stp>
        <stp>MTG_GEN_CPR_12M</stp>
        <stp>20090610</stp>
        <stp>20090610</stp>
        <stp>[Copy of 02_cpr_main.xlsx]data!R50C10</stp>
        <stp>Dts=H</stp>
        <tr r="J50" s="2"/>
      </tp>
      <tp t="s">
        <v>#N/A Invalid Field</v>
        <stp/>
        <stp>##V3_BDHV12</stp>
        <stp>36225BPM4 Mtge</stp>
        <stp>MTG_GEN_CPR_12M</stp>
        <stp>20090331</stp>
        <stp>20090331</stp>
        <stp>[Copy of 02_cpr_main.xlsx]data!R493C7</stp>
        <stp>Dts=H</stp>
        <tr r="G493" s="2"/>
      </tp>
      <tp t="s">
        <v>#N/A Invalid Field</v>
        <stp/>
        <stp>##V3_BDHV12</stp>
        <stp>36225BWH7 Mtge</stp>
        <stp>MTG_GEN_CPR_12M</stp>
        <stp>20090331</stp>
        <stp>20090331</stp>
        <stp>[Copy of 02_cpr_main.xlsx]data!R494C7</stp>
        <stp>Dts=H</stp>
        <tr r="G494" s="2"/>
      </tp>
      <tp t="s">
        <v>#N/A Invalid Field</v>
        <stp/>
        <stp>##V3_BDHV12</stp>
        <stp>36210BTC9 Mtge</stp>
        <stp>MTG_GEN_CPR_12M</stp>
        <stp>20090331</stp>
        <stp>20090331</stp>
        <stp>[Copy of 02_cpr_main.xlsx]data!R483C7</stp>
        <stp>Dts=H</stp>
        <tr r="G483" s="2"/>
      </tp>
      <tp t="s">
        <v>#N/A Invalid Field</v>
        <stp/>
        <stp>##V3_BDHV12</stp>
        <stp>31406BYJ3 Mtge</stp>
        <stp>MTG_GEN_CPR_12M</stp>
        <stp>20090331</stp>
        <stp>20090331</stp>
        <stp>[Copy of 02_cpr_main.xlsx]data!R333C7</stp>
        <stp>Dts=H</stp>
        <tr r="G333" s="2"/>
      </tp>
      <tp t="s">
        <v>#N/A Invalid Field</v>
        <stp/>
        <stp>##V3_BDHV12</stp>
        <stp>36225A3K4 Mtge</stp>
        <stp>MTG_GEN_CPR_12M</stp>
        <stp>20090331</stp>
        <stp>20090331</stp>
        <stp>[Copy of 02_cpr_main.xlsx]data!R489C7</stp>
        <stp>Dts=H</stp>
        <tr r="G489" s="2"/>
      </tp>
      <tp t="s">
        <v>#N/A Invalid Field</v>
        <stp/>
        <stp>##V3_BDHV12</stp>
        <stp>31379C5N7 Mtge</stp>
        <stp>MTG_GEN_CPR_12M</stp>
        <stp>20090331</stp>
        <stp>20090331</stp>
        <stp>[Copy of 02_cpr_main.xlsx]data!R188C7</stp>
        <stp>Dts=H</stp>
        <tr r="G188" s="2"/>
      </tp>
      <tp t="s">
        <v>#N/A Invalid Field</v>
        <stp/>
        <stp>##V3_BDHV12</stp>
        <stp>3128QT7C2 Mtge</stp>
        <stp>MTG_GEN_CPR_3M</stp>
        <stp>20090610</stp>
        <stp>20090610</stp>
        <stp>[Copy of 02_cpr_main.xlsx]data!R112C8</stp>
        <stp>Dts=H</stp>
        <tr r="H112" s="2"/>
      </tp>
      <tp t="s">
        <v>#N/A Invalid Field</v>
        <stp/>
        <stp>##V3_BDHV12</stp>
        <stp>01F050452 Mtge</stp>
        <stp>MTG_GEN_CPR_3M</stp>
        <stp>20090610</stp>
        <stp>20090610</stp>
        <stp>[Copy of 02_cpr_main.xlsx]data!R5C8</stp>
        <stp>Dts=H</stp>
        <tr r="H5" s="2"/>
      </tp>
      <tp t="s">
        <v>#N/A Invalid Field</v>
        <stp/>
        <stp>##V3_BDHV12</stp>
        <stp>01F040446 Mtge</stp>
        <stp>MTG_GEN_CPR_3M</stp>
        <stp>20090610</stp>
        <stp>20090610</stp>
        <stp>[Copy of 02_cpr_main.xlsx]data!R2C8</stp>
        <stp>Dts=H</stp>
        <tr r="H2" s="2"/>
      </tp>
      <tp t="s">
        <v>#N/A Invalid Field</v>
        <stp/>
        <stp>##V3_BDHV12</stp>
        <stp>01F050445 Mtge</stp>
        <stp>MTG_GEN_CPR_3M</stp>
        <stp>20090610</stp>
        <stp>20090610</stp>
        <stp>[Copy of 02_cpr_main.xlsx]data!R4C8</stp>
        <stp>Dts=H</stp>
        <tr r="H4" s="2"/>
      </tp>
      <tp t="s">
        <v>#N/A Invalid Field</v>
        <stp/>
        <stp>##V3_BDHV12</stp>
        <stp>01F052441 Mtge</stp>
        <stp>MTG_GEN_CPR_3M</stp>
        <stp>20090610</stp>
        <stp>20090610</stp>
        <stp>[Copy of 02_cpr_main.xlsx]data!R8C8</stp>
        <stp>Dts=H</stp>
        <tr r="H8" s="2"/>
      </tp>
      <tp t="s">
        <v>#N/A Invalid Field</v>
        <stp/>
        <stp>##V3_BDHV12</stp>
        <stp>3128PPAS2 Mtge</stp>
        <stp>MTG_GEN_CPR_6M</stp>
        <stp>20090610</stp>
        <stp>20090610</stp>
        <stp>[Copy of 02_cpr_main.xlsx]data!R105C9</stp>
        <stp>Dts=H</stp>
        <tr r="I105" s="2"/>
      </tp>
      <tp t="s">
        <v>#N/A Invalid Field</v>
        <stp/>
        <stp>##V3_BDHV12</stp>
        <stp>3128PLP22 Mtge</stp>
        <stp>MTG_GEN_CPR_6M</stp>
        <stp>20090610</stp>
        <stp>20090610</stp>
        <stp>[Copy of 02_cpr_main.xlsx]data!R103C9</stp>
        <stp>Dts=H</stp>
        <tr r="I103" s="2"/>
      </tp>
      <tp t="s">
        <v>#N/A Invalid Field</v>
        <stp/>
        <stp>##V3_BDHV12</stp>
        <stp>3128MB3A3 Mtge</stp>
        <stp>MTG_GEN_CPR_6M</stp>
        <stp>20090610</stp>
        <stp>20090610</stp>
        <stp>[Copy of 02_cpr_main.xlsx]data!R92C9</stp>
        <stp>Dts=H</stp>
        <tr r="I92" s="2"/>
      </tp>
      <tp t="s">
        <v>#N/A Invalid Field</v>
        <stp/>
        <stp>##V3_BDHV12</stp>
        <stp>3128GEBA5 Mtge</stp>
        <stp>MTG_GEN_CPR_6M</stp>
        <stp>20090610</stp>
        <stp>20090610</stp>
        <stp>[Copy of 02_cpr_main.xlsx]data!R52C9</stp>
        <stp>Dts=H</stp>
        <tr r="I52" s="2"/>
      </tp>
      <tp t="s">
        <v>#N/A Invalid Field</v>
        <stp/>
        <stp>##V3_BDHV12</stp>
        <stp>3128CUHK5 Mtge</stp>
        <stp>MTG_GEN_CPR_6M</stp>
        <stp>20090331</stp>
        <stp>20090331</stp>
        <stp>[Copy of 02_cpr_main.xlsx]data!R41C6</stp>
        <stp>Dts=H</stp>
        <tr r="F41" s="2"/>
      </tp>
      <tp t="s">
        <v>#N/A Invalid Field</v>
        <stp/>
        <stp>##V3_BDHV12</stp>
        <stp>3128GVEA4 Mtge</stp>
        <stp>MTG_GEN_CPR_6M</stp>
        <stp>20090610</stp>
        <stp>20090610</stp>
        <stp>[Copy of 02_cpr_main.xlsx]data!R61C9</stp>
        <stp>Dts=H</stp>
        <tr r="I61" s="2"/>
      </tp>
      <tp t="s">
        <v>#N/A Invalid Field</v>
        <stp/>
        <stp>##V3_BDHV12</stp>
        <stp>3128NGEM3 Mtge</stp>
        <stp>MTG_GEN_CPR_3M</stp>
        <stp>20090331</stp>
        <stp>20090331</stp>
        <stp>[Copy of 02_cpr_main.xlsx]data!R98C5</stp>
        <stp>Dts=H</stp>
        <tr r="E98" s="2"/>
      </tp>
      <tp t="s">
        <v>#N/A Invalid Field</v>
        <stp/>
        <stp>##V3_BDHV12</stp>
        <stp>3128LXDE7 Mtge</stp>
        <stp>MTG_GEN_CPR_3M</stp>
        <stp>20090610</stp>
        <stp>20090610</stp>
        <stp>[Copy of 02_cpr_main.xlsx]data!R81C8</stp>
        <stp>Dts=H</stp>
        <tr r="H81" s="2"/>
      </tp>
      <tp t="s">
        <v>#N/A Invalid Field</v>
        <stp/>
        <stp>##V3_BDHV12</stp>
        <stp>3128GJEM5 Mtge</stp>
        <stp>MTG_GEN_CPR_3M</stp>
        <stp>20090331</stp>
        <stp>20090331</stp>
        <stp>[Copy of 02_cpr_main.xlsx]data!R58C5</stp>
        <stp>Dts=H</stp>
        <tr r="E58" s="2"/>
      </tp>
      <tp t="s">
        <v>#N/A Invalid Field</v>
        <stp/>
        <stp>##V3_BDHV12</stp>
        <stp>3128JRPE0 Mtge</stp>
        <stp>MTG_GEN_CPR_3M</stp>
        <stp>20090610</stp>
        <stp>20090610</stp>
        <stp>[Copy of 02_cpr_main.xlsx]data!R71C8</stp>
        <stp>Dts=H</stp>
        <tr r="H71" s="2"/>
      </tp>
      <tp t="s">
        <v>#N/A Invalid Field</v>
        <stp/>
        <stp>##V3_BDHV12</stp>
        <stp>3128H4XA2 Mtge</stp>
        <stp>MTG_GEN_CPR_6M</stp>
        <stp>20090610</stp>
        <stp>20090610</stp>
        <stp>[Copy of 02_cpr_main.xlsx]data!R66C9</stp>
        <stp>Dts=H</stp>
        <tr r="I66" s="2"/>
      </tp>
      <tp t="s">
        <v>#N/A Invalid Field</v>
        <stp/>
        <stp>##V3_BDHV12</stp>
        <stp>3128Q2GG2 Mtge</stp>
        <stp>MTG_GEN_CPR_3M</stp>
        <stp>20090610</stp>
        <stp>20090610</stp>
        <stp>[Copy of 02_cpr_main.xlsx]data!R106C8</stp>
        <stp>Dts=H</stp>
        <tr r="H106" s="2"/>
      </tp>
      <tp t="s">
        <v>#N/A Invalid Field</v>
        <stp/>
        <stp>##V3_BDHV12</stp>
        <stp>3128GGGX5 Mtge</stp>
        <stp>MTG_GEN_CPR_12M</stp>
        <stp>20090610</stp>
        <stp>20090610</stp>
        <stp>[Copy of 02_cpr_main.xlsx]data!R56C10</stp>
        <stp>Dts=H</stp>
        <tr r="J56" s="2"/>
      </tp>
      <tp t="s">
        <v>#N/A Invalid Field</v>
        <stp/>
        <stp>##V3_BDHV12</stp>
        <stp>3128GGEV1 Mtge</stp>
        <stp>MTG_GEN_CPR_12M</stp>
        <stp>20090610</stp>
        <stp>20090610</stp>
        <stp>[Copy of 02_cpr_main.xlsx]data!R55C10</stp>
        <stp>Dts=H</stp>
        <tr r="J55" s="2"/>
      </tp>
      <tp t="s">
        <v>#N/A Invalid Field</v>
        <stp/>
        <stp>##V3_BDHV12</stp>
        <stp>3128GGA78 Mtge</stp>
        <stp>MTG_GEN_CPR_12M</stp>
        <stp>20090610</stp>
        <stp>20090610</stp>
        <stp>[Copy of 02_cpr_main.xlsx]data!R54C10</stp>
        <stp>Dts=H</stp>
        <tr r="J54" s="2"/>
      </tp>
      <tp t="s">
        <v>#N/A Invalid Field</v>
        <stp/>
        <stp>##V3_BDHV12</stp>
        <stp>36291ACW7 Mtge</stp>
        <stp>MTG_GEN_CPR_12M</stp>
        <stp>20090331</stp>
        <stp>20090331</stp>
        <stp>[Copy of 02_cpr_main.xlsx]data!R499C7</stp>
        <stp>Dts=H</stp>
        <tr r="G499" s="2"/>
      </tp>
      <tp t="s">
        <v>#N/A Invalid Field</v>
        <stp/>
        <stp>##V3_BDHV12</stp>
        <stp>31414FKG5 Mtge</stp>
        <stp>MTG_GEN_CPR_12M</stp>
        <stp>20090331</stp>
        <stp>20090331</stp>
        <stp>[Copy of 02_cpr_main.xlsx]data!R437C7</stp>
        <stp>Dts=H</stp>
        <tr r="G437" s="2"/>
      </tp>
      <tp t="s">
        <v>#N/A Invalid Field</v>
        <stp/>
        <stp>##V3_BDHV12</stp>
        <stp>31297CKH2 Mtge</stp>
        <stp>MTG_GEN_CPR_12M</stp>
        <stp>20090331</stp>
        <stp>20090331</stp>
        <stp>[Copy of 02_cpr_main.xlsx]data!R147C7</stp>
        <stp>Dts=H</stp>
        <tr r="G147" s="2"/>
      </tp>
      <tp>
        <v>152.4</v>
        <stp/>
        <stp>##V3_BDPV12</stp>
        <stp>02R050440 Mtge</stp>
        <stp xml:space="preserve">MTG_PL_PSA_3M </stp>
        <stp>[Copy of 02_cpr_main.xlsx]data!R21C14</stp>
        <tr r="N21" s="2"/>
      </tp>
      <tp>
        <v>39.299999999999997</v>
        <stp/>
        <stp>##V3_BDPV12</stp>
        <stp>02R050440 Mtge</stp>
        <stp xml:space="preserve">MTG_PL_PSA_1M </stp>
        <stp>[Copy of 02_cpr_main.xlsx]data!R21C13</stp>
        <tr r="M21" s="2"/>
      </tp>
      <tp>
        <v>549.29999999999995</v>
        <stp/>
        <stp>##V3_BDPV12</stp>
        <stp>02R050440 Mtge</stp>
        <stp xml:space="preserve">MTG_PL_PSA_6M </stp>
        <stp>[Copy of 02_cpr_main.xlsx]data!R21C15</stp>
        <tr r="O21" s="2"/>
      </tp>
      <tp>
        <v>117</v>
        <stp/>
        <stp>##V3_BDPV12</stp>
        <stp>01N042641 Mtge</stp>
        <stp xml:space="preserve">MTG_PL_PSA_6M </stp>
        <stp>[Copy of 02_cpr_main.xlsx]data!R14C15</stp>
        <tr r="O14" s="2"/>
      </tp>
      <tp>
        <v>122.5</v>
        <stp/>
        <stp>##V3_BDPV12</stp>
        <stp>01N042641 Mtge</stp>
        <stp xml:space="preserve">MTG_PL_PSA_1M </stp>
        <stp>[Copy of 02_cpr_main.xlsx]data!R14C13</stp>
        <tr r="M14" s="2"/>
      </tp>
      <tp>
        <v>121.8</v>
        <stp/>
        <stp>##V3_BDPV12</stp>
        <stp>01N042641 Mtge</stp>
        <stp xml:space="preserve">MTG_PL_PSA_3M </stp>
        <stp>[Copy of 02_cpr_main.xlsx]data!R14C14</stp>
        <tr r="N14" s="2"/>
      </tp>
      <tp>
        <v>134.69999999999999</v>
        <stp/>
        <stp>##V3_BDPV12</stp>
        <stp>01N060643 Mtge</stp>
        <stp xml:space="preserve">MTG_PL_PSA_6M </stp>
        <stp>[Copy of 02_cpr_main.xlsx]data!R16C15</stp>
        <tr r="O16" s="2"/>
      </tp>
      <tp>
        <v>152.30000000000001</v>
        <stp/>
        <stp>##V3_BDPV12</stp>
        <stp>01N060643 Mtge</stp>
        <stp xml:space="preserve">MTG_PL_PSA_1M </stp>
        <stp>[Copy of 02_cpr_main.xlsx]data!R16C13</stp>
        <tr r="M16" s="2"/>
      </tp>
      <tp>
        <v>139.1</v>
        <stp/>
        <stp>##V3_BDPV12</stp>
        <stp>01N060643 Mtge</stp>
        <stp xml:space="preserve">MTG_PL_PSA_3M </stp>
        <stp>[Copy of 02_cpr_main.xlsx]data!R16C14</stp>
        <tr r="N16" s="2"/>
      </tp>
      <tp t="s">
        <v>#N/A Invalid Field</v>
        <stp/>
        <stp>##V3_BDHV12</stp>
        <stp>31411AYF6 Mtge</stp>
        <stp>MTG_GEN_CPR_12M</stp>
        <stp>20090331</stp>
        <stp>20090331</stp>
        <stp>[Copy of 02_cpr_main.xlsx]data!R390C7</stp>
        <stp>Dts=H</stp>
        <tr r="G390" s="2"/>
      </tp>
      <tp t="s">
        <v>#N/A Invalid Field</v>
        <stp/>
        <stp>##V3_BDHV12</stp>
        <stp>31414FPH8 Mtge</stp>
        <stp>MTG_GEN_CPR_12M</stp>
        <stp>20090331</stp>
        <stp>20090331</stp>
        <stp>[Copy of 02_cpr_main.xlsx]data!R438C7</stp>
        <stp>Dts=H</stp>
        <tr r="G438" s="2"/>
      </tp>
      <tp t="s">
        <v>#N/A Invalid Field</v>
        <stp/>
        <stp>##V3_BDHV12</stp>
        <stp>31405AZR7 Mtge</stp>
        <stp>MTG_GEN_CPR_12M</stp>
        <stp>20090331</stp>
        <stp>20090331</stp>
        <stp>[Copy of 02_cpr_main.xlsx]data!R323C7</stp>
        <stp>Dts=H</stp>
        <tr r="G323" s="2"/>
      </tp>
      <tp>
        <v>1209.7</v>
        <stp/>
        <stp>##V3_BDPV12</stp>
        <stp>31283KR34 Mtge</stp>
        <stp xml:space="preserve">MTG_PL_PSA_6M </stp>
        <stp>[Copy of 02_cpr_main.xlsx]data!R36C15</stp>
        <tr r="O36" s="2"/>
      </tp>
      <tp>
        <v>0</v>
        <stp/>
        <stp>##V3_BDPV12</stp>
        <stp>31283KR34 Mtge</stp>
        <stp xml:space="preserve">MTG_PL_PSA_1M </stp>
        <stp>[Copy of 02_cpr_main.xlsx]data!R36C13</stp>
        <tr r="M36" s="2"/>
      </tp>
      <tp>
        <v>1412.9</v>
        <stp/>
        <stp>##V3_BDPV12</stp>
        <stp>31283KR34 Mtge</stp>
        <stp xml:space="preserve">MTG_PL_PSA_3M </stp>
        <stp>[Copy of 02_cpr_main.xlsx]data!R36C14</stp>
        <tr r="N36" s="2"/>
      </tp>
      <tp>
        <v>179.2</v>
        <stp/>
        <stp>##V3_BDPV12</stp>
        <stp>31283HWZ4 Mtge</stp>
        <stp xml:space="preserve">MTG_PL_PSA_3M </stp>
        <stp>[Copy of 02_cpr_main.xlsx]data!R33C14</stp>
        <tr r="N33" s="2"/>
      </tp>
      <tp>
        <v>168.6</v>
        <stp/>
        <stp>##V3_BDPV12</stp>
        <stp>31283HWZ4 Mtge</stp>
        <stp xml:space="preserve">MTG_PL_PSA_1M </stp>
        <stp>[Copy of 02_cpr_main.xlsx]data!R33C13</stp>
        <tr r="M33" s="2"/>
      </tp>
      <tp>
        <v>221.9</v>
        <stp/>
        <stp>##V3_BDPV12</stp>
        <stp>31283HWZ4 Mtge</stp>
        <stp xml:space="preserve">MTG_PL_PSA_6M </stp>
        <stp>[Copy of 02_cpr_main.xlsx]data!R33C15</stp>
        <tr r="O33" s="2"/>
      </tp>
      <tp t="s">
        <v>#N/A Invalid Field</v>
        <stp/>
        <stp>##V3_BDHV12</stp>
        <stp>31412G4H1 Mtge</stp>
        <stp>MTG_GEN_CPR_12M</stp>
        <stp>20090331</stp>
        <stp>20090331</stp>
        <stp>[Copy of 02_cpr_main.xlsx]data!R406C7</stp>
        <stp>Dts=H</stp>
        <tr r="G406" s="2"/>
      </tp>
      <tp t="s">
        <v>#N/A Invalid Field</v>
        <stp/>
        <stp>##V3_BDHV12</stp>
        <stp>31401A3J4 Mtge</stp>
        <stp>MTG_GEN_CPR_12M</stp>
        <stp>20090331</stp>
        <stp>20090331</stp>
        <stp>[Copy of 02_cpr_main.xlsx]data!R252C7</stp>
        <stp>Dts=H</stp>
        <tr r="G252" s="2"/>
      </tp>
      <tp t="s">
        <v>#N/A Invalid Field</v>
        <stp/>
        <stp>##V3_BDHV12</stp>
        <stp>3128QT7C2 Mtge</stp>
        <stp>MTG_GEN_CPR_6M</stp>
        <stp>20090610</stp>
        <stp>20090610</stp>
        <stp>[Copy of 02_cpr_main.xlsx]data!R112C9</stp>
        <stp>Dts=H</stp>
        <tr r="I112" s="2"/>
      </tp>
      <tp t="s">
        <v>#N/A Invalid Field</v>
        <stp/>
        <stp>##V3_BDHV12</stp>
        <stp>3128PPAS2 Mtge</stp>
        <stp>MTG_GEN_CPR_3M</stp>
        <stp>20090610</stp>
        <stp>20090610</stp>
        <stp>[Copy of 02_cpr_main.xlsx]data!R105C8</stp>
        <stp>Dts=H</stp>
        <tr r="H105" s="2"/>
      </tp>
      <tp t="s">
        <v>#N/A Invalid Field</v>
        <stp/>
        <stp>##V3_BDHV12</stp>
        <stp>01F040446 Mtge</stp>
        <stp>MTG_GEN_CPR_6M</stp>
        <stp>20090610</stp>
        <stp>20090610</stp>
        <stp>[Copy of 02_cpr_main.xlsx]data!R2C9</stp>
        <stp>Dts=H</stp>
        <tr r="I2" s="2"/>
      </tp>
      <tp t="s">
        <v>#N/A Invalid Field</v>
        <stp/>
        <stp>##V3_BDHV12</stp>
        <stp>01F050445 Mtge</stp>
        <stp>MTG_GEN_CPR_6M</stp>
        <stp>20090610</stp>
        <stp>20090610</stp>
        <stp>[Copy of 02_cpr_main.xlsx]data!R4C9</stp>
        <stp>Dts=H</stp>
        <tr r="I4" s="2"/>
      </tp>
      <tp t="s">
        <v>#N/A Invalid Field</v>
        <stp/>
        <stp>##V3_BDHV12</stp>
        <stp>01F052441 Mtge</stp>
        <stp>MTG_GEN_CPR_6M</stp>
        <stp>20090610</stp>
        <stp>20090610</stp>
        <stp>[Copy of 02_cpr_main.xlsx]data!R8C9</stp>
        <stp>Dts=H</stp>
        <tr r="I8" s="2"/>
      </tp>
      <tp t="s">
        <v>#N/A Invalid Field</v>
        <stp/>
        <stp>##V3_BDHV12</stp>
        <stp>01F050452 Mtge</stp>
        <stp>MTG_GEN_CPR_6M</stp>
        <stp>20090610</stp>
        <stp>20090610</stp>
        <stp>[Copy of 02_cpr_main.xlsx]data!R5C9</stp>
        <stp>Dts=H</stp>
        <tr r="I5" s="2"/>
      </tp>
      <tp t="s">
        <v>#N/A Invalid Field</v>
        <stp/>
        <stp>##V3_BDHV12</stp>
        <stp>31283HRL1 Mtge</stp>
        <stp>MTG_GEN_CPR_3M</stp>
        <stp>20090331</stp>
        <stp>20090331</stp>
        <stp>[Copy of 02_cpr_main.xlsx]data!R31C5</stp>
        <stp>Dts=H</stp>
        <tr r="E31" s="2"/>
      </tp>
      <tp t="s">
        <v>#N/A Invalid Field</v>
        <stp/>
        <stp>##V3_BDHV12</stp>
        <stp>3128PLP22 Mtge</stp>
        <stp>MTG_GEN_CPR_3M</stp>
        <stp>20090610</stp>
        <stp>20090610</stp>
        <stp>[Copy of 02_cpr_main.xlsx]data!R103C8</stp>
        <stp>Dts=H</stp>
        <tr r="H103" s="2"/>
      </tp>
      <tp t="s">
        <v>#N/A Invalid Field</v>
        <stp/>
        <stp>##V3_BDHV12</stp>
        <stp>3128GHCL3 Mtge</stp>
        <stp>MTG_GEN_CPR_3M</stp>
        <stp>20090331</stp>
        <stp>20090331</stp>
        <stp>[Copy of 02_cpr_main.xlsx]data!R57C5</stp>
        <stp>Dts=H</stp>
        <tr r="E57" s="2"/>
      </tp>
      <tp t="s">
        <v>#N/A Invalid Field</v>
        <stp/>
        <stp>##V3_BDHV12</stp>
        <stp>3128GDQJ2 Mtge</stp>
        <stp>MTG_GEN_CPR_6M</stp>
        <stp>20090331</stp>
        <stp>20090331</stp>
        <stp>[Copy of 02_cpr_main.xlsx]data!R46C6</stp>
        <stp>Dts=H</stp>
        <tr r="F46" s="2"/>
      </tp>
      <tp t="s">
        <v>#N/A Invalid Field</v>
        <stp/>
        <stp>##V3_BDHV12</stp>
        <stp>3128GEAJ7 Mtge</stp>
        <stp>MTG_GEN_CPR_6M</stp>
        <stp>20090331</stp>
        <stp>20090331</stp>
        <stp>[Copy of 02_cpr_main.xlsx]data!R51C6</stp>
        <stp>Dts=H</stp>
        <tr r="F51" s="2"/>
      </tp>
      <tp t="s">
        <v>#N/A Invalid Field</v>
        <stp/>
        <stp>##V3_BDHV12</stp>
        <stp>3128LDPL2 Mtge</stp>
        <stp>MTG_GEN_CPR_3M</stp>
        <stp>20090331</stp>
        <stp>20090331</stp>
        <stp>[Copy of 02_cpr_main.xlsx]data!R79C5</stp>
        <stp>Dts=H</stp>
        <tr r="E79" s="2"/>
      </tp>
      <tp t="s">
        <v>#N/A Invalid Field</v>
        <stp/>
        <stp>##V3_BDHV12</stp>
        <stp>3128M5ED8 Mtge</stp>
        <stp>MTG_GEN_CPR_3M</stp>
        <stp>20090610</stp>
        <stp>20090610</stp>
        <stp>[Copy of 02_cpr_main.xlsx]data!R86C8</stp>
        <stp>Dts=H</stp>
        <tr r="H86" s="2"/>
      </tp>
      <tp t="s">
        <v>#N/A Invalid Field</v>
        <stp/>
        <stp>##V3_BDHV12</stp>
        <stp>3128M4NJ8 Mtge</stp>
        <stp>MTG_GEN_CPR_6M</stp>
        <stp>20090331</stp>
        <stp>20090331</stp>
        <stp>[Copy of 02_cpr_main.xlsx]data!R84C6</stp>
        <stp>Dts=H</stp>
        <tr r="F84" s="2"/>
      </tp>
      <tp t="s">
        <v>#N/A Invalid Field</v>
        <stp/>
        <stp>##V3_BDHV12</stp>
        <stp>3128Q2GG2 Mtge</stp>
        <stp>MTG_GEN_CPR_6M</stp>
        <stp>20090610</stp>
        <stp>20090610</stp>
        <stp>[Copy of 02_cpr_main.xlsx]data!R106C9</stp>
        <stp>Dts=H</stp>
        <tr r="I106" s="2"/>
      </tp>
      <tp t="s">
        <v>#N/A Invalid Field</v>
        <stp/>
        <stp>##V3_BDHV12</stp>
        <stp>3128GFA62 Mtge</stp>
        <stp>MTG_GEN_CPR_12M</stp>
        <stp>20090610</stp>
        <stp>20090610</stp>
        <stp>[Copy of 02_cpr_main.xlsx]data!R53C10</stp>
        <stp>Dts=H</stp>
        <tr r="J53" s="2"/>
      </tp>
      <tp t="s">
        <v>#N/A Invalid Field</v>
        <stp/>
        <stp>##V3_BDHV12</stp>
        <stp>3128KDAY1 Mtge</stp>
        <stp>MTG_GEN_CPR_12M</stp>
        <stp>20090610</stp>
        <stp>20090610</stp>
        <stp>[Copy of 02_cpr_main.xlsx]data!R74C10</stp>
        <stp>Dts=H</stp>
        <tr r="J74" s="2"/>
      </tp>
      <tp t="s">
        <v>#N/A Invalid Field</v>
        <stp/>
        <stp>##V3_BDHV12</stp>
        <stp>3128LDMN1 Mtge</stp>
        <stp>MTG_GEN_CPR_12M</stp>
        <stp>20090610</stp>
        <stp>20090610</stp>
        <stp>[Copy of 02_cpr_main.xlsx]data!R78C10</stp>
        <stp>Dts=H</stp>
        <tr r="J78" s="2"/>
      </tp>
      <tp t="s">
        <v>#N/A Invalid Field</v>
        <stp/>
        <stp>##V3_BDHV12</stp>
        <stp>31413GMM9 Mtge</stp>
        <stp>MTG_GEN_CPR_12M</stp>
        <stp>20090331</stp>
        <stp>20090331</stp>
        <stp>[Copy of 02_cpr_main.xlsx]data!R420C7</stp>
        <stp>Dts=H</stp>
        <tr r="G420" s="2"/>
      </tp>
      <tp t="s">
        <v>#N/A Invalid Field</v>
        <stp/>
        <stp>##V3_BDHV12</stp>
        <stp>31400AMX3 Mtge</stp>
        <stp>MTG_GEN_CPR_12M</stp>
        <stp>20090331</stp>
        <stp>20090331</stp>
        <stp>[Copy of 02_cpr_main.xlsx]data!R244C7</stp>
        <stp>Dts=H</stp>
        <tr r="G244" s="2"/>
      </tp>
      <tp t="s">
        <v>#N/A Invalid Field</v>
        <stp/>
        <stp>##V3_BDHV12</stp>
        <stp>36291AM48 Mtge</stp>
        <stp>MTG_GEN_CPR_12M</stp>
        <stp>20090331</stp>
        <stp>20090331</stp>
        <stp>[Copy of 02_cpr_main.xlsx]data!R500C7</stp>
        <stp>Dts=H</stp>
        <tr r="G500" s="2"/>
      </tp>
      <tp>
        <v>2480.1</v>
        <stp/>
        <stp>##V3_BDPV12</stp>
        <stp>01F060642 Mtge</stp>
        <stp xml:space="preserve">MTG_PL_PSA_6M </stp>
        <stp>[Copy of 02_cpr_main.xlsx]data!R11C15</stp>
        <tr r="O11" s="2"/>
      </tp>
      <tp>
        <v>2357</v>
        <stp/>
        <stp>##V3_BDPV12</stp>
        <stp>01F060642 Mtge</stp>
        <stp xml:space="preserve">MTG_PL_PSA_1M </stp>
        <stp>[Copy of 02_cpr_main.xlsx]data!R11C13</stp>
        <tr r="M11" s="2"/>
      </tp>
      <tp>
        <v>2574.4</v>
        <stp/>
        <stp>##V3_BDPV12</stp>
        <stp>01F060642 Mtge</stp>
        <stp xml:space="preserve">MTG_PL_PSA_3M </stp>
        <stp>[Copy of 02_cpr_main.xlsx]data!R11C14</stp>
        <tr r="N11" s="2"/>
      </tp>
      <tp t="s">
        <v>#N/A Invalid Field</v>
        <stp/>
        <stp>##V3_BDHV12</stp>
        <stp>31412GSR3 Mtge</stp>
        <stp>MTG_GEN_CPR_12M</stp>
        <stp>20090331</stp>
        <stp>20090331</stp>
        <stp>[Copy of 02_cpr_main.xlsx]data!R407C7</stp>
        <stp>Dts=H</stp>
        <tr r="G407" s="2"/>
      </tp>
      <tp t="s">
        <v>#N/A Invalid Field</v>
        <stp/>
        <stp>##V3_BDHV12</stp>
        <stp>3128LDPL2 Mtge</stp>
        <stp>MTG_GEN_CPR_12M</stp>
        <stp>20090610</stp>
        <stp>20090610</stp>
        <stp>[Copy of 02_cpr_main.xlsx]data!R79C10</stp>
        <stp>Dts=H</stp>
        <tr r="J79" s="2"/>
      </tp>
      <tp t="s">
        <v>#N/A Invalid Field</v>
        <stp/>
        <stp>##V3_BDHV12</stp>
        <stp>31403ARS6 Mtge</stp>
        <stp>MTG_GEN_CPR_12M</stp>
        <stp>20090331</stp>
        <stp>20090331</stp>
        <stp>[Copy of 02_cpr_main.xlsx]data!R291C7</stp>
        <stp>Dts=H</stp>
        <tr r="G291" s="2"/>
      </tp>
      <tp t="s">
        <v>#N/A Invalid Field</v>
        <stp/>
        <stp>##V3_BDHV12</stp>
        <stp>31391N7M7 Mtge</stp>
        <stp>MTG_GEN_CPR_12M</stp>
        <stp>20090331</stp>
        <stp>20090331</stp>
        <stp>[Copy of 02_cpr_main.xlsx]data!R238C7</stp>
        <stp>Dts=H</stp>
        <tr r="G238" s="2"/>
      </tp>
      <tp t="s">
        <v>#N/A Invalid Field</v>
        <stp/>
        <stp>##V3_BDHV12</stp>
        <stp>3128QS6G6 Mtge</stp>
        <stp>MTG_GEN_CPR_3M</stp>
        <stp>20090331</stp>
        <stp>20090331</stp>
        <stp>[Copy of 02_cpr_main.xlsx]data!R110C5</stp>
        <stp>Dts=H</stp>
        <tr r="E110" s="2"/>
      </tp>
      <tp t="s">
        <v>#N/A Invalid Field</v>
        <stp/>
        <stp>##V3_BDHV12</stp>
        <stp>01F042640 Mtge</stp>
        <stp>MTG_GEN_CPR_3M</stp>
        <stp>20090331</stp>
        <stp>20090331</stp>
        <stp>[Copy of 02_cpr_main.xlsx]data!R3C5</stp>
        <stp>Dts=H</stp>
        <tr r="E3" s="2"/>
      </tp>
      <tp t="s">
        <v>#N/A Invalid Field</v>
        <stp/>
        <stp>##V3_BDHV12</stp>
        <stp>01F050643 Mtge</stp>
        <stp>MTG_GEN_CPR_3M</stp>
        <stp>20090331</stp>
        <stp>20090331</stp>
        <stp>[Copy of 02_cpr_main.xlsx]data!R6C5</stp>
        <stp>Dts=H</stp>
        <tr r="E6" s="2"/>
      </tp>
      <tp t="s">
        <v>#N/A Invalid Field</v>
        <stp/>
        <stp>##V3_BDHV12</stp>
        <stp>3128PPAR4 Mtge</stp>
        <stp>MTG_GEN_CPR_6M</stp>
        <stp>20090331</stp>
        <stp>20090331</stp>
        <stp>[Copy of 02_cpr_main.xlsx]data!R104C6</stp>
        <stp>Dts=H</stp>
        <tr r="F104" s="2"/>
      </tp>
      <tp t="s">
        <v>#N/A Invalid Field</v>
        <stp/>
        <stp>##V3_BDHV12</stp>
        <stp>01F050650 Mtge</stp>
        <stp>MTG_GEN_CPR_3M</stp>
        <stp>20090331</stp>
        <stp>20090331</stp>
        <stp>[Copy of 02_cpr_main.xlsx]data!R7C5</stp>
        <stp>Dts=H</stp>
        <tr r="E7" s="2"/>
      </tp>
      <tp t="s">
        <v>#N/A Invalid Field</v>
        <stp/>
        <stp>##V3_BDHV12</stp>
        <stp>01F052656 Mtge</stp>
        <stp>MTG_GEN_CPR_3M</stp>
        <stp>20090331</stp>
        <stp>20090331</stp>
        <stp>[Copy of 02_cpr_main.xlsx]data!R9C5</stp>
        <stp>Dts=H</stp>
        <tr r="E9" s="2"/>
      </tp>
      <tp t="s">
        <v>#N/A Invalid Field</v>
        <stp/>
        <stp>##V3_BDHV12</stp>
        <stp>31283K3C0 Mtge</stp>
        <stp>MTG_GEN_CPR_3M</stp>
        <stp>20090331</stp>
        <stp>20090331</stp>
        <stp>[Copy of 02_cpr_main.xlsx]data!R34C5</stp>
        <stp>Dts=H</stp>
        <tr r="E34" s="2"/>
      </tp>
      <tp t="s">
        <v>#N/A Invalid Field</v>
        <stp/>
        <stp>##V3_BDHV12</stp>
        <stp>3128QJ4M5 Mtge</stp>
        <stp>MTG_GEN_CPR_6M</stp>
        <stp>20090331</stp>
        <stp>20090331</stp>
        <stp>[Copy of 02_cpr_main.xlsx]data!R109C6</stp>
        <stp>Dts=H</stp>
        <tr r="F109" s="2"/>
      </tp>
      <tp t="s">
        <v>#N/A Invalid Field</v>
        <stp/>
        <stp>##V3_BDHV12</stp>
        <stp>3133XD5F4 Mtge</stp>
        <stp>MTG_GEN_CPR_6M</stp>
        <stp>20090610</stp>
        <stp>20090610</stp>
        <stp>[Copy of 02_cpr_main.xlsx]data!R156C9</stp>
        <stp>Dts=H</stp>
        <tr r="I156" s="2"/>
      </tp>
      <tp t="s">
        <v>#N/A Invalid Field</v>
        <stp/>
        <stp>##V3_BDHV12</stp>
        <stp>3128LXDE7 Mtge</stp>
        <stp>MTG_GEN_CPR_6M</stp>
        <stp>20090331</stp>
        <stp>20090331</stp>
        <stp>[Copy of 02_cpr_main.xlsx]data!R81C6</stp>
        <stp>Dts=H</stp>
        <tr r="F81" s="2"/>
      </tp>
      <tp t="s">
        <v>#N/A Invalid Field</v>
        <stp/>
        <stp>##V3_BDHV12</stp>
        <stp>3128GDRC6 Mtge</stp>
        <stp>MTG_GEN_CPR_3M</stp>
        <stp>20090331</stp>
        <stp>20090331</stp>
        <stp>[Copy of 02_cpr_main.xlsx]data!R48C5</stp>
        <stp>Dts=H</stp>
        <tr r="E48" s="2"/>
      </tp>
      <tp t="s">
        <v>#N/A Invalid Field</v>
        <stp/>
        <stp>##V3_BDHV12</stp>
        <stp>3128CUHK5 Mtge</stp>
        <stp>MTG_GEN_CPR_3M</stp>
        <stp>20090610</stp>
        <stp>20090610</stp>
        <stp>[Copy of 02_cpr_main.xlsx]data!R41C8</stp>
        <stp>Dts=H</stp>
        <tr r="H41" s="2"/>
      </tp>
      <tp t="s">
        <v>#N/A Invalid Field</v>
        <stp/>
        <stp>##V3_BDHV12</stp>
        <stp>3128K3ZC4 Mtge</stp>
        <stp>MTG_GEN_CPR_3M</stp>
        <stp>20090331</stp>
        <stp>20090331</stp>
        <stp>[Copy of 02_cpr_main.xlsx]data!R72C5</stp>
        <stp>Dts=H</stp>
        <tr r="E72" s="2"/>
      </tp>
      <tp t="s">
        <v>#N/A Invalid Field</v>
        <stp/>
        <stp>##V3_BDHV12</stp>
        <stp>3128JRPE0 Mtge</stp>
        <stp>MTG_GEN_CPR_6M</stp>
        <stp>20090331</stp>
        <stp>20090331</stp>
        <stp>[Copy of 02_cpr_main.xlsx]data!R71C6</stp>
        <stp>Dts=H</stp>
        <tr r="F71" s="2"/>
      </tp>
      <tp>
        <v>2281.1</v>
        <stp/>
        <stp>##V3_BDPV12</stp>
        <stp>01F050445 Mtge</stp>
        <stp xml:space="preserve">MTG_PL_PSA_1M </stp>
        <stp>[Copy of 02_cpr_main.xlsx]data!R4C13</stp>
        <tr r="M4" s="2"/>
      </tp>
      <tp>
        <v>2619.4</v>
        <stp/>
        <stp>##V3_BDPV12</stp>
        <stp>01F050445 Mtge</stp>
        <stp xml:space="preserve">MTG_PL_PSA_6M </stp>
        <stp>[Copy of 02_cpr_main.xlsx]data!R4C15</stp>
        <tr r="O4" s="2"/>
      </tp>
      <tp>
        <v>2471</v>
        <stp/>
        <stp>##V3_BDPV12</stp>
        <stp>01F050445 Mtge</stp>
        <stp xml:space="preserve">MTG_PL_PSA_3M </stp>
        <stp>[Copy of 02_cpr_main.xlsx]data!R4C14</stp>
        <tr r="N4" s="2"/>
      </tp>
      <tp>
        <v>407.4</v>
        <stp/>
        <stp>##V3_BDPV12</stp>
        <stp>01F040446 Mtge</stp>
        <stp xml:space="preserve">MTG_PL_PSA_1M </stp>
        <stp>[Copy of 02_cpr_main.xlsx]data!R2C13</stp>
        <tr r="M2" s="2"/>
      </tp>
      <tp>
        <v>740.5</v>
        <stp/>
        <stp>##V3_BDPV12</stp>
        <stp>01F040446 Mtge</stp>
        <stp xml:space="preserve">MTG_PL_PSA_6M </stp>
        <stp>[Copy of 02_cpr_main.xlsx]data!R2C15</stp>
        <tr r="O2" s="2"/>
      </tp>
      <tp>
        <v>550.70000000000005</v>
        <stp/>
        <stp>##V3_BDPV12</stp>
        <stp>01F040446 Mtge</stp>
        <stp xml:space="preserve">MTG_PL_PSA_3M </stp>
        <stp>[Copy of 02_cpr_main.xlsx]data!R2C14</stp>
        <tr r="N2" s="2"/>
      </tp>
      <tp>
        <v>299</v>
        <stp/>
        <stp>##V3_BDPV12</stp>
        <stp>01F042640 Mtge</stp>
        <stp xml:space="preserve">MTG_PL_PSA_1M </stp>
        <stp>[Copy of 02_cpr_main.xlsx]data!R3C13</stp>
        <tr r="M3" s="2"/>
      </tp>
      <tp>
        <v>613</v>
        <stp/>
        <stp>##V3_BDPV12</stp>
        <stp>01F052441 Mtge</stp>
        <stp xml:space="preserve">MTG_PL_PSA_1M </stp>
        <stp>[Copy of 02_cpr_main.xlsx]data!R8C13</stp>
        <tr r="M8" s="2"/>
      </tp>
      <tp>
        <v>484.4</v>
        <stp/>
        <stp>##V3_BDPV12</stp>
        <stp>01F042640 Mtge</stp>
        <stp xml:space="preserve">MTG_PL_PSA_6M </stp>
        <stp>[Copy of 02_cpr_main.xlsx]data!R3C15</stp>
        <tr r="O3" s="2"/>
      </tp>
      <tp>
        <v>1075.9000000000001</v>
        <stp/>
        <stp>##V3_BDPV12</stp>
        <stp>01F052441 Mtge</stp>
        <stp xml:space="preserve">MTG_PL_PSA_6M </stp>
        <stp>[Copy of 02_cpr_main.xlsx]data!R8C15</stp>
        <tr r="O8" s="2"/>
      </tp>
      <tp>
        <v>400.4</v>
        <stp/>
        <stp>##V3_BDPV12</stp>
        <stp>01F042640 Mtge</stp>
        <stp xml:space="preserve">MTG_PL_PSA_3M </stp>
        <stp>[Copy of 02_cpr_main.xlsx]data!R3C14</stp>
        <tr r="N3" s="2"/>
      </tp>
      <tp>
        <v>755.6</v>
        <stp/>
        <stp>##V3_BDPV12</stp>
        <stp>01F052441 Mtge</stp>
        <stp xml:space="preserve">MTG_PL_PSA_3M </stp>
        <stp>[Copy of 02_cpr_main.xlsx]data!R8C14</stp>
        <tr r="N8" s="2"/>
      </tp>
      <tp>
        <v>551.1</v>
        <stp/>
        <stp>##V3_BDPV12</stp>
        <stp>01F050643 Mtge</stp>
        <stp xml:space="preserve">MTG_PL_PSA_1M </stp>
        <stp>[Copy of 02_cpr_main.xlsx]data!R6C13</stp>
        <tr r="M6" s="2"/>
      </tp>
      <tp>
        <v>887.4</v>
        <stp/>
        <stp>##V3_BDPV12</stp>
        <stp>01F050643 Mtge</stp>
        <stp xml:space="preserve">MTG_PL_PSA_6M </stp>
        <stp>[Copy of 02_cpr_main.xlsx]data!R6C15</stp>
        <tr r="O6" s="2"/>
      </tp>
      <tp>
        <v>721.9</v>
        <stp/>
        <stp>##V3_BDPV12</stp>
        <stp>01F050643 Mtge</stp>
        <stp xml:space="preserve">MTG_PL_PSA_3M </stp>
        <stp>[Copy of 02_cpr_main.xlsx]data!R6C14</stp>
        <tr r="N6" s="2"/>
      </tp>
      <tp t="s">
        <v>#N/A Invalid Field</v>
        <stp/>
        <stp>##V3_BDHV12</stp>
        <stp>31414HDB0 Mtge</stp>
        <stp>MTG_GEN_CPR_12M</stp>
        <stp>20090331</stp>
        <stp>20090331</stp>
        <stp>[Copy of 02_cpr_main.xlsx]data!R439C7</stp>
        <stp>Dts=H</stp>
        <tr r="G439" s="2"/>
      </tp>
      <tp t="s">
        <v>#N/A Invalid Field</v>
        <stp/>
        <stp>##V3_BDHV12</stp>
        <stp>31296MC64 Mtge</stp>
        <stp>MTG_GEN_CPR_12M</stp>
        <stp>20090331</stp>
        <stp>20090331</stp>
        <stp>[Copy of 02_cpr_main.xlsx]data!R143C7</stp>
        <stp>Dts=H</stp>
        <tr r="G143" s="2"/>
      </tp>
      <tp t="s">
        <v>#N/A Invalid Field</v>
        <stp/>
        <stp>##V3_BDHV12</stp>
        <stp>31371MB97 Mtge</stp>
        <stp>MTG_GEN_CPR_12M</stp>
        <stp>20090331</stp>
        <stp>20090331</stp>
        <stp>[Copy of 02_cpr_main.xlsx]data!R177C7</stp>
        <stp>Dts=H</stp>
        <tr r="G177" s="2"/>
      </tp>
      <tp t="s">
        <v>#N/A Invalid Field</v>
        <stp/>
        <stp>##V3_BDHV12</stp>
        <stp>31382NES7 Mtge</stp>
        <stp>MTG_GEN_CPR_12M</stp>
        <stp>20090331</stp>
        <stp>20090331</stp>
        <stp>[Copy of 02_cpr_main.xlsx]data!R200C7</stp>
        <stp>Dts=H</stp>
        <tr r="G200" s="2"/>
      </tp>
      <tp t="s">
        <v>#N/A Invalid Field</v>
        <stp/>
        <stp>##V3_BDHV12</stp>
        <stp>31371MLN5 Mtge</stp>
        <stp>MTG_GEN_CPR_12M</stp>
        <stp>20090331</stp>
        <stp>20090331</stp>
        <stp>[Copy of 02_cpr_main.xlsx]data!R178C7</stp>
        <stp>Dts=H</stp>
        <tr r="G178" s="2"/>
      </tp>
      <tp t="s">
        <v>#N/A Invalid Field</v>
        <stp/>
        <stp>##V3_BDHV12</stp>
        <stp>36291NM40 Mtge</stp>
        <stp>MTG_GEN_CPR_12M</stp>
        <stp>20090331</stp>
        <stp>20090331</stp>
        <stp>[Copy of 02_cpr_main.xlsx]data!R503C7</stp>
        <stp>Dts=H</stp>
        <tr r="G503" s="2"/>
      </tp>
      <tp t="s">
        <v>#N/A Invalid Field</v>
        <stp/>
        <stp>##V3_BDHV12</stp>
        <stp>31371MWJ2 Mtge</stp>
        <stp>MTG_GEN_CPR_12M</stp>
        <stp>20090331</stp>
        <stp>20090331</stp>
        <stp>[Copy of 02_cpr_main.xlsx]data!R179C7</stp>
        <stp>Dts=H</stp>
        <tr r="G179" s="2"/>
      </tp>
      <tp t="s">
        <v>#N/A Invalid Field</v>
        <stp/>
        <stp>##V3_BDHV12</stp>
        <stp>36294NV54 Mtge</stp>
        <stp>MTG_GEN_CPR_12M</stp>
        <stp>20090331</stp>
        <stp>20090331</stp>
        <stp>[Copy of 02_cpr_main.xlsx]data!R505C7</stp>
        <stp>Dts=H</stp>
        <tr r="G505" s="2"/>
      </tp>
      <tp t="s">
        <v>#N/A Invalid Field</v>
        <stp/>
        <stp>##V3_BDHV12</stp>
        <stp>31402NY77 Mtge</stp>
        <stp>MTG_GEN_CPR_12M</stp>
        <stp>20090331</stp>
        <stp>20090331</stp>
        <stp>[Copy of 02_cpr_main.xlsx]data!R272C7</stp>
        <stp>Dts=H</stp>
        <tr r="G272" s="2"/>
      </tp>
      <tp>
        <v>1294</v>
        <stp/>
        <stp>##V3_BDPV12</stp>
        <stp>31288MC31 Mtge</stp>
        <stp xml:space="preserve">MTG_PL_PSA_3M </stp>
        <stp>[Copy of 02_cpr_main.xlsx]data!R40C14</stp>
        <tr r="N40" s="2"/>
      </tp>
      <tp>
        <v>1299</v>
        <stp/>
        <stp>##V3_BDPV12</stp>
        <stp>31288MC31 Mtge</stp>
        <stp xml:space="preserve">MTG_PL_PSA_6M </stp>
        <stp>[Copy of 02_cpr_main.xlsx]data!R40C15</stp>
        <tr r="O40" s="2"/>
      </tp>
      <tp>
        <v>0</v>
        <stp/>
        <stp>##V3_BDPV12</stp>
        <stp>31288MC31 Mtge</stp>
        <stp xml:space="preserve">MTG_PL_PSA_1M </stp>
        <stp>[Copy of 02_cpr_main.xlsx]data!R40C13</stp>
        <tr r="M40" s="2"/>
      </tp>
      <tp t="s">
        <v>#N/A Invalid Field</v>
        <stp/>
        <stp>##V3_BDHV12</stp>
        <stp>01F050452 Mtge</stp>
        <stp>MTG_GEN_CPR_6M</stp>
        <stp>20090331</stp>
        <stp>20090331</stp>
        <stp>[Copy of 02_cpr_main.xlsx]data!R5C6</stp>
        <stp>Dts=H</stp>
        <tr r="F5" s="2"/>
      </tp>
      <tp t="s">
        <v>#N/A Invalid Field</v>
        <stp/>
        <stp>##V3_BDHV12</stp>
        <stp>01F050445 Mtge</stp>
        <stp>MTG_GEN_CPR_6M</stp>
        <stp>20090331</stp>
        <stp>20090331</stp>
        <stp>[Copy of 02_cpr_main.xlsx]data!R4C6</stp>
        <stp>Dts=H</stp>
        <tr r="F4" s="2"/>
      </tp>
      <tp t="s">
        <v>#N/A Invalid Field</v>
        <stp/>
        <stp>##V3_BDHV12</stp>
        <stp>01F040446 Mtge</stp>
        <stp>MTG_GEN_CPR_6M</stp>
        <stp>20090331</stp>
        <stp>20090331</stp>
        <stp>[Copy of 02_cpr_main.xlsx]data!R2C6</stp>
        <stp>Dts=H</stp>
        <tr r="F2" s="2"/>
      </tp>
      <tp t="s">
        <v>#N/A Invalid Field</v>
        <stp/>
        <stp>##V3_BDHV12</stp>
        <stp>01F052441 Mtge</stp>
        <stp>MTG_GEN_CPR_6M</stp>
        <stp>20090331</stp>
        <stp>20090331</stp>
        <stp>[Copy of 02_cpr_main.xlsx]data!R8C6</stp>
        <stp>Dts=H</stp>
        <tr r="F8" s="2"/>
      </tp>
      <tp t="s">
        <v>#N/A Invalid Field</v>
        <stp/>
        <stp>##V3_BDHV12</stp>
        <stp>3128QSKM7 Mtge</stp>
        <stp>MTG_GEN_CPR_3M</stp>
        <stp>20090331</stp>
        <stp>20090331</stp>
        <stp>[Copy of 02_cpr_main.xlsx]data!R111C5</stp>
        <stp>Dts=H</stp>
        <tr r="E111" s="2"/>
      </tp>
      <tp t="s">
        <v>#N/A Invalid Field</v>
        <stp/>
        <stp>##V3_BDHV12</stp>
        <stp>31283HWN1 Mtge</stp>
        <stp>MTG_GEN_CPR_6M</stp>
        <stp>20090610</stp>
        <stp>20090610</stp>
        <stp>[Copy of 02_cpr_main.xlsx]data!R32C9</stp>
        <stp>Dts=H</stp>
        <tr r="I32" s="2"/>
      </tp>
      <tp t="s">
        <v>#N/A Invalid Field</v>
        <stp/>
        <stp>##V3_BDHV12</stp>
        <stp>3133XD5F4 Mtge</stp>
        <stp>MTG_GEN_CPR_3M</stp>
        <stp>20090610</stp>
        <stp>20090610</stp>
        <stp>[Copy of 02_cpr_main.xlsx]data!R156C8</stp>
        <stp>Dts=H</stp>
        <tr r="H156" s="2"/>
      </tp>
      <tp t="s">
        <v>#N/A Invalid Field</v>
        <stp/>
        <stp>##V3_BDHV12</stp>
        <stp>3128GEAJ7 Mtge</stp>
        <stp>MTG_GEN_CPR_3M</stp>
        <stp>20090610</stp>
        <stp>20090610</stp>
        <stp>[Copy of 02_cpr_main.xlsx]data!R51C8</stp>
        <stp>Dts=H</stp>
        <tr r="H51" s="2"/>
      </tp>
      <tp t="s">
        <v>#N/A Invalid Field</v>
        <stp/>
        <stp>##V3_BDHV12</stp>
        <stp>3128GDQJ2 Mtge</stp>
        <stp>MTG_GEN_CPR_3M</stp>
        <stp>20090610</stp>
        <stp>20090610</stp>
        <stp>[Copy of 02_cpr_main.xlsx]data!R46C8</stp>
        <stp>Dts=H</stp>
        <tr r="H46" s="2"/>
      </tp>
      <tp t="s">
        <v>#N/A Invalid Field</v>
        <stp/>
        <stp>##V3_BDHV12</stp>
        <stp>3128JMFN2 Mtge</stp>
        <stp>MTG_GEN_CPR_6M</stp>
        <stp>20090610</stp>
        <stp>20090610</stp>
        <stp>[Copy of 02_cpr_main.xlsx]data!R68C9</stp>
        <stp>Dts=H</stp>
        <tr r="I68" s="2"/>
      </tp>
      <tp t="s">
        <v>#N/A Invalid Field</v>
        <stp/>
        <stp>##V3_BDHV12</stp>
        <stp>3128P7LU5 Mtge</stp>
        <stp>MTG_GEN_CPR_6M</stp>
        <stp>20090331</stp>
        <stp>20090331</stp>
        <stp>[Copy of 02_cpr_main.xlsx]data!R102C6</stp>
        <stp>Dts=H</stp>
        <tr r="F102" s="2"/>
      </tp>
      <tp t="s">
        <v>#N/A Invalid Field</v>
        <stp/>
        <stp>##V3_BDHV12</stp>
        <stp>3128M4NJ8 Mtge</stp>
        <stp>MTG_GEN_CPR_3M</stp>
        <stp>20090610</stp>
        <stp>20090610</stp>
        <stp>[Copy of 02_cpr_main.xlsx]data!R84C8</stp>
        <stp>Dts=H</stp>
        <tr r="H84" s="2"/>
      </tp>
      <tp t="s">
        <v>#N/A Invalid Field</v>
        <stp/>
        <stp>##V3_BDHV12</stp>
        <stp>3128LDMN1 Mtge</stp>
        <stp>MTG_GEN_CPR_6M</stp>
        <stp>20090610</stp>
        <stp>20090610</stp>
        <stp>[Copy of 02_cpr_main.xlsx]data!R78C9</stp>
        <stp>Dts=H</stp>
        <tr r="I78" s="2"/>
      </tp>
      <tp t="s">
        <v>#N/A Invalid Field</v>
        <stp/>
        <stp>##V3_BDHV12</stp>
        <stp>3128M5ED8 Mtge</stp>
        <stp>MTG_GEN_CPR_6M</stp>
        <stp>20090331</stp>
        <stp>20090331</stp>
        <stp>[Copy of 02_cpr_main.xlsx]data!R86C6</stp>
        <stp>Dts=H</stp>
        <tr r="F86" s="2"/>
      </tp>
      <tp t="s">
        <v>#N/A Invalid Field</v>
        <stp/>
        <stp>##V3_BDHV12</stp>
        <stp>3128JNBN4 Mtge</stp>
        <stp>MTG_GEN_CPR_6M</stp>
        <stp>20090610</stp>
        <stp>20090610</stp>
        <stp>[Copy of 02_cpr_main.xlsx]data!R70C9</stp>
        <stp>Dts=H</stp>
        <tr r="I70" s="2"/>
      </tp>
      <tp>
        <v>1587.9</v>
        <stp/>
        <stp>##V3_BDPV12</stp>
        <stp>01F052656 Mtge</stp>
        <stp xml:space="preserve">MTG_PL_PSA_1M </stp>
        <stp>[Copy of 02_cpr_main.xlsx]data!R9C13</stp>
        <tr r="M9" s="2"/>
      </tp>
      <tp>
        <v>1907</v>
        <stp/>
        <stp>##V3_BDPV12</stp>
        <stp>01F052656 Mtge</stp>
        <stp xml:space="preserve">MTG_PL_PSA_6M </stp>
        <stp>[Copy of 02_cpr_main.xlsx]data!R9C15</stp>
        <tr r="O9" s="2"/>
      </tp>
      <tp>
        <v>1732.9</v>
        <stp/>
        <stp>##V3_BDPV12</stp>
        <stp>01F052656 Mtge</stp>
        <stp xml:space="preserve">MTG_PL_PSA_3M </stp>
        <stp>[Copy of 02_cpr_main.xlsx]data!R9C14</stp>
        <tr r="N9" s="2"/>
      </tp>
      <tp>
        <v>551.1</v>
        <stp/>
        <stp>##V3_BDPV12</stp>
        <stp>01F050650 Mtge</stp>
        <stp xml:space="preserve">MTG_PL_PSA_1M </stp>
        <stp>[Copy of 02_cpr_main.xlsx]data!R7C13</stp>
        <tr r="M7" s="2"/>
      </tp>
      <tp>
        <v>887.4</v>
        <stp/>
        <stp>##V3_BDPV12</stp>
        <stp>01F050650 Mtge</stp>
        <stp xml:space="preserve">MTG_PL_PSA_6M </stp>
        <stp>[Copy of 02_cpr_main.xlsx]data!R7C15</stp>
        <tr r="O7" s="2"/>
      </tp>
      <tp>
        <v>721.9</v>
        <stp/>
        <stp>##V3_BDPV12</stp>
        <stp>01F050650 Mtge</stp>
        <stp xml:space="preserve">MTG_PL_PSA_3M </stp>
        <stp>[Copy of 02_cpr_main.xlsx]data!R7C14</stp>
        <tr r="N7" s="2"/>
      </tp>
      <tp>
        <v>2281.1</v>
        <stp/>
        <stp>##V3_BDPV12</stp>
        <stp>01F050452 Mtge</stp>
        <stp xml:space="preserve">MTG_PL_PSA_1M </stp>
        <stp>[Copy of 02_cpr_main.xlsx]data!R5C13</stp>
        <tr r="M5" s="2"/>
      </tp>
      <tp>
        <v>2619.4</v>
        <stp/>
        <stp>##V3_BDPV12</stp>
        <stp>01F050452 Mtge</stp>
        <stp xml:space="preserve">MTG_PL_PSA_6M </stp>
        <stp>[Copy of 02_cpr_main.xlsx]data!R5C15</stp>
        <tr r="O5" s="2"/>
      </tp>
      <tp>
        <v>2471</v>
        <stp/>
        <stp>##V3_BDPV12</stp>
        <stp>01F050452 Mtge</stp>
        <stp xml:space="preserve">MTG_PL_PSA_3M </stp>
        <stp>[Copy of 02_cpr_main.xlsx]data!R5C14</stp>
        <tr r="N5" s="2"/>
      </tp>
      <tp t="s">
        <v>#N/A Invalid Field</v>
        <stp/>
        <stp>##V3_BDHV12</stp>
        <stp>31371LDY2 Mtge</stp>
        <stp>MTG_GEN_CPR_12M</stp>
        <stp>20090331</stp>
        <stp>20090331</stp>
        <stp>[Copy of 02_cpr_main.xlsx]data!R175C7</stp>
        <stp>Dts=H</stp>
        <tr r="G175" s="2"/>
      </tp>
      <tp t="s">
        <v>#N/A Invalid Field</v>
        <stp/>
        <stp>##V3_BDHV12</stp>
        <stp>31382LKE5 Mtge</stp>
        <stp>MTG_GEN_CPR_12M</stp>
        <stp>20090331</stp>
        <stp>20090331</stp>
        <stp>[Copy of 02_cpr_main.xlsx]data!R199C7</stp>
        <stp>Dts=H</stp>
        <tr r="G199" s="2"/>
      </tp>
      <tp t="s">
        <v>#N/A Invalid Field</v>
        <stp/>
        <stp>##V3_BDHV12</stp>
        <stp>3128GHCL3 Mtge</stp>
        <stp>MTG_GEN_CPR_12M</stp>
        <stp>20090610</stp>
        <stp>20090610</stp>
        <stp>[Copy of 02_cpr_main.xlsx]data!R57C10</stp>
        <stp>Dts=H</stp>
        <tr r="J57" s="2"/>
      </tp>
      <tp t="s">
        <v>#N/A Invalid Field</v>
        <stp/>
        <stp>##V3_BDHV12</stp>
        <stp>31371LBD0 Mtge</stp>
        <stp>MTG_GEN_CPR_12M</stp>
        <stp>20090331</stp>
        <stp>20090331</stp>
        <stp>[Copy of 02_cpr_main.xlsx]data!R174C7</stp>
        <stp>Dts=H</stp>
        <tr r="G174" s="2"/>
      </tp>
      <tp t="s">
        <v>#N/A Invalid Field</v>
        <stp/>
        <stp>##V3_BDHV12</stp>
        <stp>3128PLP22 Mtge</stp>
        <stp>MTG_GEN_CPR_12M</stp>
        <stp>20090331</stp>
        <stp>20090331</stp>
        <stp>[Copy of 02_cpr_main.xlsx]data!R103C7</stp>
        <stp>Dts=H</stp>
        <tr r="G103" s="2"/>
      </tp>
      <tp t="s">
        <v>#N/A Invalid Field</v>
        <stp/>
        <stp>##V3_BDHV12</stp>
        <stp>31371LQW2 Mtge</stp>
        <stp>MTG_GEN_CPR_12M</stp>
        <stp>20090331</stp>
        <stp>20090331</stp>
        <stp>[Copy of 02_cpr_main.xlsx]data!R176C7</stp>
        <stp>Dts=H</stp>
        <tr r="G176" s="2"/>
      </tp>
      <tp t="s">
        <v>#N/A Invalid Field</v>
        <stp/>
        <stp>##V3_BDHV12</stp>
        <stp>31404M5N4 Mtge</stp>
        <stp>MTG_GEN_CPR_12M</stp>
        <stp>20090331</stp>
        <stp>20090331</stp>
        <stp>[Copy of 02_cpr_main.xlsx]data!R316C7</stp>
        <stp>Dts=H</stp>
        <tr r="G316" s="2"/>
      </tp>
      <tp t="s">
        <v>#N/A Invalid Field</v>
        <stp/>
        <stp>##V3_BDHV12</stp>
        <stp>36200M6G3 Mtge</stp>
        <stp>MTG_GEN_CPR_12M</stp>
        <stp>20090331</stp>
        <stp>20090331</stp>
        <stp>[Copy of 02_cpr_main.xlsx]data!R465C7</stp>
        <stp>Dts=H</stp>
        <tr r="G465" s="2"/>
      </tp>
      <tp t="s">
        <v>#N/A Invalid Field</v>
        <stp/>
        <stp>##V3_BDHV12</stp>
        <stp>31410M4L1 Mtge</stp>
        <stp>MTG_GEN_CPR_12M</stp>
        <stp>20090331</stp>
        <stp>20090331</stp>
        <stp>[Copy of 02_cpr_main.xlsx]data!R378C7</stp>
        <stp>Dts=H</stp>
        <tr r="G378" s="2"/>
      </tp>
      <tp t="s">
        <v>#N/A Invalid Field</v>
        <stp/>
        <stp>##V3_BDHV12</stp>
        <stp>3128QSKM7 Mtge</stp>
        <stp>MTG_GEN_CPR_6M</stp>
        <stp>20090331</stp>
        <stp>20090331</stp>
        <stp>[Copy of 02_cpr_main.xlsx]data!R111C6</stp>
        <stp>Dts=H</stp>
        <tr r="F111" s="2"/>
      </tp>
      <tp t="s">
        <v>#N/A Invalid Override</v>
        <stp/>
        <stp>##V3_BDPV12</stp>
        <stp>31403KRB1 Mtge</stp>
        <stp>MTG_PL_PSA_1M</stp>
        <stp>[Copy of 02_cpr_main.xlsx]data!R308C16</stp>
        <stp>03/31/2009</stp>
        <tr r="P308" s="2"/>
      </tp>
      <tp t="s">
        <v>#N/A Invalid Field</v>
        <stp/>
        <stp>##V3_BDHV12</stp>
        <stp>01F050445 Mtge</stp>
        <stp>MTG_GEN_CPR_3M</stp>
        <stp>20090331</stp>
        <stp>20090331</stp>
        <stp>[Copy of 02_cpr_main.xlsx]data!R4C5</stp>
        <stp>Dts=H</stp>
        <tr r="E4" s="2"/>
      </tp>
      <tp t="s">
        <v>#N/A Invalid Field</v>
        <stp/>
        <stp>##V3_BDHV12</stp>
        <stp>01F052441 Mtge</stp>
        <stp>MTG_GEN_CPR_3M</stp>
        <stp>20090331</stp>
        <stp>20090331</stp>
        <stp>[Copy of 02_cpr_main.xlsx]data!R8C5</stp>
        <stp>Dts=H</stp>
        <tr r="E8" s="2"/>
      </tp>
      <tp t="s">
        <v>#N/A Invalid Field</v>
        <stp/>
        <stp>##V3_BDHV12</stp>
        <stp>01F050452 Mtge</stp>
        <stp>MTG_GEN_CPR_3M</stp>
        <stp>20090331</stp>
        <stp>20090331</stp>
        <stp>[Copy of 02_cpr_main.xlsx]data!R5C5</stp>
        <stp>Dts=H</stp>
        <tr r="E5" s="2"/>
      </tp>
      <tp t="s">
        <v>#N/A Invalid Field</v>
        <stp/>
        <stp>##V3_BDHV12</stp>
        <stp>31283HLG8 Mtge</stp>
        <stp>MTG_GEN_CPR_6M</stp>
        <stp>20090331</stp>
        <stp>20090331</stp>
        <stp>[Copy of 02_cpr_main.xlsx]data!R30C6</stp>
        <stp>Dts=H</stp>
        <tr r="F30" s="2"/>
      </tp>
      <tp t="s">
        <v>#N/A Invalid Field</v>
        <stp/>
        <stp>##V3_BDHV12</stp>
        <stp>3128GJEM5 Mtge</stp>
        <stp>MTG_GEN_CPR_6M</stp>
        <stp>20090610</stp>
        <stp>20090610</stp>
        <stp>[Copy of 02_cpr_main.xlsx]data!R58C9</stp>
        <stp>Dts=H</stp>
        <tr r="I58" s="2"/>
      </tp>
      <tp t="s">
        <v>#N/A Invalid Field</v>
        <stp/>
        <stp>##V3_BDHV12</stp>
        <stp>3128NGEM3 Mtge</stp>
        <stp>MTG_GEN_CPR_6M</stp>
        <stp>20090610</stp>
        <stp>20090610</stp>
        <stp>[Copy of 02_cpr_main.xlsx]data!R98C9</stp>
        <stp>Dts=H</stp>
        <tr r="I98" s="2"/>
      </tp>
      <tp t="s">
        <v>#N/A Invalid Field</v>
        <stp/>
        <stp>##V3_BDHV12</stp>
        <stp>3128GVEA4 Mtge</stp>
        <stp>MTG_GEN_CPR_3M</stp>
        <stp>20090331</stp>
        <stp>20090331</stp>
        <stp>[Copy of 02_cpr_main.xlsx]data!R61C5</stp>
        <stp>Dts=H</stp>
        <tr r="E61" s="2"/>
      </tp>
      <tp t="s">
        <v>#N/A Invalid Field</v>
        <stp/>
        <stp>##V3_BDHV12</stp>
        <stp>3128MB3A3 Mtge</stp>
        <stp>MTG_GEN_CPR_3M</stp>
        <stp>20090331</stp>
        <stp>20090331</stp>
        <stp>[Copy of 02_cpr_main.xlsx]data!R92C5</stp>
        <stp>Dts=H</stp>
        <tr r="E92" s="2"/>
      </tp>
      <tp t="s">
        <v>#N/A Invalid Field</v>
        <stp/>
        <stp>##V3_BDHV12</stp>
        <stp>3128GEBA5 Mtge</stp>
        <stp>MTG_GEN_CPR_3M</stp>
        <stp>20090331</stp>
        <stp>20090331</stp>
        <stp>[Copy of 02_cpr_main.xlsx]data!R52C5</stp>
        <stp>Dts=H</stp>
        <tr r="E52" s="2"/>
      </tp>
      <tp t="s">
        <v>#N/A Invalid Field</v>
        <stp/>
        <stp>##V3_BDHV12</stp>
        <stp>3128JMHG5 Mtge</stp>
        <stp>MTG_GEN_CPR_6M</stp>
        <stp>20090331</stp>
        <stp>20090331</stp>
        <stp>[Copy of 02_cpr_main.xlsx]data!R69C6</stp>
        <stp>Dts=H</stp>
        <tr r="F69" s="2"/>
      </tp>
      <tp t="s">
        <v>#N/A Invalid Field</v>
        <stp/>
        <stp>##V3_BDHV12</stp>
        <stp>3128P7LU5 Mtge</stp>
        <stp>MTG_GEN_CPR_3M</stp>
        <stp>20090331</stp>
        <stp>20090331</stp>
        <stp>[Copy of 02_cpr_main.xlsx]data!R102C5</stp>
        <stp>Dts=H</stp>
        <tr r="E102" s="2"/>
      </tp>
      <tp t="s">
        <v>#N/A Invalid Field</v>
        <stp/>
        <stp>##V3_BDHV12</stp>
        <stp>3128H4XA2 Mtge</stp>
        <stp>MTG_GEN_CPR_3M</stp>
        <stp>20090331</stp>
        <stp>20090331</stp>
        <stp>[Copy of 02_cpr_main.xlsx]data!R66C5</stp>
        <stp>Dts=H</stp>
        <tr r="E66" s="2"/>
      </tp>
      <tp t="s">
        <v>#N/A Invalid Field</v>
        <stp/>
        <stp>##V3_BDHV12</stp>
        <stp>31404ML97 Mtge</stp>
        <stp>MTG_GEN_CPR_12M</stp>
        <stp>20090331</stp>
        <stp>20090331</stp>
        <stp>[Copy of 02_cpr_main.xlsx]data!R317C7</stp>
        <stp>Dts=H</stp>
        <tr r="G317" s="2"/>
      </tp>
      <tp t="s">
        <v>#N/A Invalid Field</v>
        <stp/>
        <stp>##V3_BDHV12</stp>
        <stp>31413JLB8 Mtge</stp>
        <stp>MTG_GEN_CPR_12M</stp>
        <stp>20090331</stp>
        <stp>20090331</stp>
        <stp>[Copy of 02_cpr_main.xlsx]data!R422C7</stp>
        <stp>Dts=H</stp>
        <tr r="G422" s="2"/>
      </tp>
      <tp t="s">
        <v>#N/A Invalid Field</v>
        <stp/>
        <stp>##V3_BDHV12</stp>
        <stp>31288MC23 Mtge</stp>
        <stp>MTG_GEN_CPR_12M</stp>
        <stp>20090610</stp>
        <stp>20090610</stp>
        <stp>[Copy of 02_cpr_main.xlsx]data!R39C10</stp>
        <stp>Dts=H</stp>
        <tr r="J39" s="2"/>
      </tp>
      <tp t="s">
        <v>#N/A Invalid Field</v>
        <stp/>
        <stp>##V3_BDHV12</stp>
        <stp>3128NGEM3 Mtge</stp>
        <stp>MTG_GEN_CPR_12M</stp>
        <stp>20090610</stp>
        <stp>20090610</stp>
        <stp>[Copy of 02_cpr_main.xlsx]data!R98C10</stp>
        <stp>Dts=H</stp>
        <tr r="J98" s="2"/>
      </tp>
      <tp t="s">
        <v>#N/A Invalid Field</v>
        <stp/>
        <stp>##V3_BDHV12</stp>
        <stp>31413JJ96 Mtge</stp>
        <stp>MTG_GEN_CPR_12M</stp>
        <stp>20090331</stp>
        <stp>20090331</stp>
        <stp>[Copy of 02_cpr_main.xlsx]data!R421C7</stp>
        <stp>Dts=H</stp>
        <tr r="G421" s="2"/>
      </tp>
      <tp t="s">
        <v>#N/A Invalid Field</v>
        <stp/>
        <stp>##V3_BDHV12</stp>
        <stp>3128NGF75 Mtge</stp>
        <stp>MTG_GEN_CPR_12M</stp>
        <stp>20090610</stp>
        <stp>20090610</stp>
        <stp>[Copy of 02_cpr_main.xlsx]data!R99C10</stp>
        <stp>Dts=H</stp>
        <tr r="J99" s="2"/>
      </tp>
      <tp t="s">
        <v>#N/A Invalid Field</v>
        <stp/>
        <stp>##V3_BDHV12</stp>
        <stp>36200MTF0 Mtge</stp>
        <stp>MTG_GEN_CPR_12M</stp>
        <stp>20090331</stp>
        <stp>20090331</stp>
        <stp>[Copy of 02_cpr_main.xlsx]data!R466C7</stp>
        <stp>Dts=H</stp>
        <tr r="G466" s="2"/>
      </tp>
      <tp t="s">
        <v>#N/A Invalid Field</v>
        <stp/>
        <stp>##V3_BDHV12</stp>
        <stp>31410MYP9 Mtge</stp>
        <stp>MTG_GEN_CPR_12M</stp>
        <stp>20090331</stp>
        <stp>20090331</stp>
        <stp>[Copy of 02_cpr_main.xlsx]data!R379C7</stp>
        <stp>Dts=H</stp>
        <tr r="G379" s="2"/>
      </tp>
      <tp>
        <v>1578.7</v>
        <stp/>
        <stp>##V3_BDPV12</stp>
        <stp>31283KNU8 Mtge</stp>
        <stp xml:space="preserve">MTG_PL_PSA_3M </stp>
        <stp>[Copy of 02_cpr_main.xlsx]data!R35C14</stp>
        <tr r="N35" s="2"/>
      </tp>
      <tp>
        <v>1373.2</v>
        <stp/>
        <stp>##V3_BDPV12</stp>
        <stp>31283KNU8 Mtge</stp>
        <stp xml:space="preserve">MTG_PL_PSA_6M </stp>
        <stp>[Copy of 02_cpr_main.xlsx]data!R35C15</stp>
        <tr r="O35" s="2"/>
      </tp>
      <tp>
        <v>0</v>
        <stp/>
        <stp>##V3_BDPV12</stp>
        <stp>31283KNU8 Mtge</stp>
        <stp xml:space="preserve">MTG_PL_PSA_1M </stp>
        <stp>[Copy of 02_cpr_main.xlsx]data!R35C13</stp>
        <tr r="M35" s="2"/>
      </tp>
      <tp>
        <v>765.1</v>
        <stp/>
        <stp>##V3_BDPV12</stp>
        <stp>31283HLG8 Mtge</stp>
        <stp xml:space="preserve">MTG_PL_PSA_3M </stp>
        <stp>[Copy of 02_cpr_main.xlsx]data!R30C14</stp>
        <tr r="N30" s="2"/>
      </tp>
      <tp>
        <v>527.6</v>
        <stp/>
        <stp>##V3_BDPV12</stp>
        <stp>31283HLG8 Mtge</stp>
        <stp xml:space="preserve">MTG_PL_PSA_6M </stp>
        <stp>[Copy of 02_cpr_main.xlsx]data!R30C15</stp>
        <tr r="O30" s="2"/>
      </tp>
      <tp>
        <v>181.4</v>
        <stp/>
        <stp>##V3_BDPV12</stp>
        <stp>31283HLG8 Mtge</stp>
        <stp xml:space="preserve">MTG_PL_PSA_1M </stp>
        <stp>[Copy of 02_cpr_main.xlsx]data!R30C13</stp>
        <tr r="M30" s="2"/>
      </tp>
      <tp>
        <v>0</v>
        <stp/>
        <stp>##V3_BDPV12</stp>
        <stp>31288MC23 Mtge</stp>
        <stp xml:space="preserve">MTG_PL_PSA_1M </stp>
        <stp>[Copy of 02_cpr_main.xlsx]data!R39C13</stp>
        <tr r="M39" s="2"/>
      </tp>
      <tp>
        <v>872.9</v>
        <stp/>
        <stp>##V3_BDPV12</stp>
        <stp>31288MC23 Mtge</stp>
        <stp xml:space="preserve">MTG_PL_PSA_6M </stp>
        <stp>[Copy of 02_cpr_main.xlsx]data!R39C15</stp>
        <tr r="O39" s="2"/>
      </tp>
      <tp>
        <v>501.1</v>
        <stp/>
        <stp>##V3_BDPV12</stp>
        <stp>31288MC23 Mtge</stp>
        <stp xml:space="preserve">MTG_PL_PSA_3M </stp>
        <stp>[Copy of 02_cpr_main.xlsx]data!R39C14</stp>
        <tr r="N39" s="2"/>
      </tp>
      <tp t="s">
        <v>#N/A Invalid Field</v>
        <stp/>
        <stp>##V3_BDHV12</stp>
        <stp>31413K5A5 Mtge</stp>
        <stp>MTG_GEN_CPR_12M</stp>
        <stp>20090331</stp>
        <stp>20090331</stp>
        <stp>[Copy of 02_cpr_main.xlsx]data!R423C7</stp>
        <stp>Dts=H</stp>
        <tr r="G423" s="2"/>
      </tp>
      <tp t="s">
        <v>#N/A Invalid Field</v>
        <stp/>
        <stp>##V3_BDHV12</stp>
        <stp>01F050650 Mtge</stp>
        <stp>MTG_GEN_CPR_6M</stp>
        <stp>20090331</stp>
        <stp>20090331</stp>
        <stp>[Copy of 02_cpr_main.xlsx]data!R7C6</stp>
        <stp>Dts=H</stp>
        <tr r="F7" s="2"/>
      </tp>
      <tp t="s">
        <v>#N/A Invalid Field</v>
        <stp/>
        <stp>##V3_BDHV12</stp>
        <stp>01F052656 Mtge</stp>
        <stp>MTG_GEN_CPR_6M</stp>
        <stp>20090331</stp>
        <stp>20090331</stp>
        <stp>[Copy of 02_cpr_main.xlsx]data!R9C6</stp>
        <stp>Dts=H</stp>
        <tr r="F9" s="2"/>
      </tp>
      <tp t="s">
        <v>#N/A Invalid Field</v>
        <stp/>
        <stp>##V3_BDHV12</stp>
        <stp>01F042640 Mtge</stp>
        <stp>MTG_GEN_CPR_6M</stp>
        <stp>20090331</stp>
        <stp>20090331</stp>
        <stp>[Copy of 02_cpr_main.xlsx]data!R3C6</stp>
        <stp>Dts=H</stp>
        <tr r="F3" s="2"/>
      </tp>
      <tp t="s">
        <v>#N/A Invalid Field</v>
        <stp/>
        <stp>##V3_BDHV12</stp>
        <stp>01F050643 Mtge</stp>
        <stp>MTG_GEN_CPR_6M</stp>
        <stp>20090331</stp>
        <stp>20090331</stp>
        <stp>[Copy of 02_cpr_main.xlsx]data!R6C6</stp>
        <stp>Dts=H</stp>
        <tr r="F6" s="2"/>
      </tp>
      <tp t="s">
        <v>#N/A Invalid Field</v>
        <stp/>
        <stp>##V3_BDHV12</stp>
        <stp>3128QS6G6 Mtge</stp>
        <stp>MTG_GEN_CPR_6M</stp>
        <stp>20090331</stp>
        <stp>20090331</stp>
        <stp>[Copy of 02_cpr_main.xlsx]data!R110C6</stp>
        <stp>Dts=H</stp>
        <tr r="F110" s="2"/>
      </tp>
      <tp t="s">
        <v>#N/A Invalid Field</v>
        <stp/>
        <stp>##V3_BDHV12</stp>
        <stp>3128PPAR4 Mtge</stp>
        <stp>MTG_GEN_CPR_3M</stp>
        <stp>20090331</stp>
        <stp>20090331</stp>
        <stp>[Copy of 02_cpr_main.xlsx]data!R104C5</stp>
        <stp>Dts=H</stp>
        <tr r="E104" s="2"/>
      </tp>
      <tp t="s">
        <v>#N/A Invalid Field</v>
        <stp/>
        <stp>##V3_BDHV12</stp>
        <stp>3128QJ4M5 Mtge</stp>
        <stp>MTG_GEN_CPR_3M</stp>
        <stp>20090331</stp>
        <stp>20090331</stp>
        <stp>[Copy of 02_cpr_main.xlsx]data!R109C5</stp>
        <stp>Dts=H</stp>
        <tr r="E109" s="2"/>
      </tp>
      <tp t="s">
        <v>#N/A Invalid Field</v>
        <stp/>
        <stp>##V3_BDHV12</stp>
        <stp>31283HRL1 Mtge</stp>
        <stp>MTG_GEN_CPR_6M</stp>
        <stp>20090610</stp>
        <stp>20090610</stp>
        <stp>[Copy of 02_cpr_main.xlsx]data!R31C9</stp>
        <stp>Dts=H</stp>
        <tr r="I31" s="2"/>
      </tp>
      <tp t="s">
        <v>#N/A Invalid Field</v>
        <stp/>
        <stp>##V3_BDHV12</stp>
        <stp>3128GHCL3 Mtge</stp>
        <stp>MTG_GEN_CPR_6M</stp>
        <stp>20090610</stp>
        <stp>20090610</stp>
        <stp>[Copy of 02_cpr_main.xlsx]data!R57C9</stp>
        <stp>Dts=H</stp>
        <tr r="I57" s="2"/>
      </tp>
      <tp t="s">
        <v>#N/A Invalid Field</v>
        <stp/>
        <stp>##V3_BDHV12</stp>
        <stp>3128LDPL2 Mtge</stp>
        <stp>MTG_GEN_CPR_6M</stp>
        <stp>20090610</stp>
        <stp>20090610</stp>
        <stp>[Copy of 02_cpr_main.xlsx]data!R79C9</stp>
        <stp>Dts=H</stp>
        <tr r="I79" s="2"/>
      </tp>
      <tp t="s">
        <v>#N/A Invalid Field</v>
        <stp/>
        <stp>##V3_BDHV12</stp>
        <stp>31371NJD8 Mtge</stp>
        <stp>MTG_GEN_CPR_12M</stp>
        <stp>20090331</stp>
        <stp>20090331</stp>
        <stp>[Copy of 02_cpr_main.xlsx]data!R181C7</stp>
        <stp>Dts=H</stp>
        <tr r="G181" s="2"/>
      </tp>
      <tp t="s">
        <v>#N/A Invalid Field</v>
        <stp/>
        <stp>##V3_BDHV12</stp>
        <stp>31414KAV2 Mtge</stp>
        <stp>MTG_GEN_CPR_12M</stp>
        <stp>20090331</stp>
        <stp>20090331</stp>
        <stp>[Copy of 02_cpr_main.xlsx]data!R440C7</stp>
        <stp>Dts=H</stp>
        <tr r="G440" s="2"/>
      </tp>
      <tp t="s">
        <v>#N/A Invalid Field</v>
        <stp/>
        <stp>##V3_BDHV12</stp>
        <stp>31413KBU4 Mtge</stp>
        <stp>MTG_GEN_CPR_12M</stp>
        <stp>20090331</stp>
        <stp>20090331</stp>
        <stp>[Copy of 02_cpr_main.xlsx]data!R424C7</stp>
        <stp>Dts=H</stp>
        <tr r="G424" s="2"/>
      </tp>
      <tp t="s">
        <v>#N/A Invalid Field</v>
        <stp/>
        <stp>##V3_BDHV12</stp>
        <stp>31407LE60 Mtge</stp>
        <stp>MTG_GEN_CPR_12M</stp>
        <stp>20090331</stp>
        <stp>20090331</stp>
        <stp>[Copy of 02_cpr_main.xlsx]data!R344C7</stp>
        <stp>Dts=H</stp>
        <tr r="G344" s="2"/>
      </tp>
      <tp t="s">
        <v>#N/A Invalid Field</v>
        <stp/>
        <stp>##V3_BDHV12</stp>
        <stp>31407LEA1 Mtge</stp>
        <stp>MTG_GEN_CPR_12M</stp>
        <stp>20090331</stp>
        <stp>20090331</stp>
        <stp>[Copy of 02_cpr_main.xlsx]data!R345C7</stp>
        <stp>Dts=H</stp>
        <tr r="G345" s="2"/>
      </tp>
      <tp t="s">
        <v>#N/A Invalid Field</v>
        <stp/>
        <stp>##V3_BDHV12</stp>
        <stp>31401MDP3 Mtge</stp>
        <stp>MTG_GEN_CPR_12M</stp>
        <stp>20090331</stp>
        <stp>20090331</stp>
        <stp>[Copy of 02_cpr_main.xlsx]data!R258C7</stp>
        <stp>Dts=H</stp>
        <tr r="G258" s="2"/>
      </tp>
      <tp t="s">
        <v>#N/A Invalid Field</v>
        <stp/>
        <stp>##V3_BDHV12</stp>
        <stp>31296NA23 Mtge</stp>
        <stp>MTG_GEN_CPR_12M</stp>
        <stp>20090331</stp>
        <stp>20090331</stp>
        <stp>[Copy of 02_cpr_main.xlsx]data!R144C7</stp>
        <stp>Dts=H</stp>
        <tr r="G144" s="2"/>
      </tp>
      <tp t="s">
        <v>#N/A Invalid Field</v>
        <stp/>
        <stp>##V3_BDHV12</stp>
        <stp>31413KL33 Mtge</stp>
        <stp>MTG_GEN_CPR_12M</stp>
        <stp>20090331</stp>
        <stp>20090331</stp>
        <stp>[Copy of 02_cpr_main.xlsx]data!R426C7</stp>
        <stp>Dts=H</stp>
        <tr r="G426" s="2"/>
      </tp>
      <tp t="s">
        <v>#N/A Invalid Field</v>
        <stp/>
        <stp>##V3_BDHV12</stp>
        <stp>3128NFL70 Mtge</stp>
        <stp>MTG_GEN_CPR_12M</stp>
        <stp>20090610</stp>
        <stp>20090610</stp>
        <stp>[Copy of 02_cpr_main.xlsx]data!R97C10</stp>
        <stp>Dts=H</stp>
        <tr r="J97" s="2"/>
      </tp>
      <tp t="s">
        <v>#N/A Invalid Field</v>
        <stp/>
        <stp>##V3_BDHV12</stp>
        <stp>3128GJEM5 Mtge</stp>
        <stp>MTG_GEN_CPR_12M</stp>
        <stp>20090610</stp>
        <stp>20090610</stp>
        <stp>[Copy of 02_cpr_main.xlsx]data!R58C10</stp>
        <stp>Dts=H</stp>
        <tr r="J58" s="2"/>
      </tp>
      <tp t="s">
        <v>#N/A Invalid Field</v>
        <stp/>
        <stp>##V3_BDHV12</stp>
        <stp>31371NGU3 Mtge</stp>
        <stp>MTG_GEN_CPR_12M</stp>
        <stp>20090331</stp>
        <stp>20090331</stp>
        <stp>[Copy of 02_cpr_main.xlsx]data!R180C7</stp>
        <stp>Dts=H</stp>
        <tr r="G180" s="2"/>
      </tp>
      <tp t="s">
        <v>#N/A Invalid Field</v>
        <stp/>
        <stp>##V3_BDHV12</stp>
        <stp>31413KKF7 Mtge</stp>
        <stp>MTG_GEN_CPR_12M</stp>
        <stp>20090331</stp>
        <stp>20090331</stp>
        <stp>[Copy of 02_cpr_main.xlsx]data!R425C7</stp>
        <stp>Dts=H</stp>
        <tr r="G425" s="2"/>
      </tp>
      <tp t="s">
        <v>#N/A Invalid Field</v>
        <stp/>
        <stp>##V3_BDHV12</stp>
        <stp>3128GJFP7 Mtge</stp>
        <stp>MTG_GEN_CPR_12M</stp>
        <stp>20090610</stp>
        <stp>20090610</stp>
        <stp>[Copy of 02_cpr_main.xlsx]data!R59C10</stp>
        <stp>Dts=H</stp>
        <tr r="J59" s="2"/>
      </tp>
      <tp t="s">
        <v>#N/A Invalid Field</v>
        <stp/>
        <stp>##V3_BDHV12</stp>
        <stp>36210LPE7 Mtge</stp>
        <stp>MTG_GEN_CPR_12M</stp>
        <stp>20090331</stp>
        <stp>20090331</stp>
        <stp>[Copy of 02_cpr_main.xlsx]data!R484C7</stp>
        <stp>Dts=H</stp>
        <tr r="G484" s="2"/>
      </tp>
      <tp t="s">
        <v>#N/A Invalid Field</v>
        <stp/>
        <stp>##V3_BDHV12</stp>
        <stp>31295NZX9 Mtge</stp>
        <stp>MTG_GEN_CPR_12M</stp>
        <stp>20090331</stp>
        <stp>20090331</stp>
        <stp>[Copy of 02_cpr_main.xlsx]data!R136C7</stp>
        <stp>Dts=H</stp>
        <tr r="G136" s="2"/>
      </tp>
      <tp t="s">
        <v>#N/A Invalid Field</v>
        <stp/>
        <stp>##V3_BDHV12</stp>
        <stp>31403K4Q3 Mtge</stp>
        <stp>MTG_GEN_CPR_12M</stp>
        <stp>20090331</stp>
        <stp>20090331</stp>
        <stp>[Copy of 02_cpr_main.xlsx]data!R307C7</stp>
        <stp>Dts=H</stp>
        <tr r="G307" s="2"/>
      </tp>
      <tp t="s">
        <v>#N/A Invalid Field</v>
        <stp/>
        <stp>##V3_BDHV12</stp>
        <stp>31283K3C0 Mtge</stp>
        <stp>MTG_GEN_CPR_12M</stp>
        <stp>20090610</stp>
        <stp>20090610</stp>
        <stp>[Copy of 02_cpr_main.xlsx]data!R34C10</stp>
        <stp>Dts=H</stp>
        <tr r="J34" s="2"/>
      </tp>
      <tp t="s">
        <v>#N/A Invalid Field</v>
        <stp/>
        <stp>##V3_BDHV12</stp>
        <stp>3128QT7C2 Mtge</stp>
        <stp>MTG_GEN_CPR_3M</stp>
        <stp>20090331</stp>
        <stp>20090331</stp>
        <stp>[Copy of 02_cpr_main.xlsx]data!R112C5</stp>
        <stp>Dts=H</stp>
        <tr r="E112" s="2"/>
      </tp>
      <tp t="s">
        <v>#N/A Invalid Field</v>
        <stp/>
        <stp>##V3_BDHV12</stp>
        <stp>3128QHVC1 Mtge</stp>
        <stp>MTG_GEN_CPR_6M</stp>
        <stp>20090331</stp>
        <stp>20090331</stp>
        <stp>[Copy of 02_cpr_main.xlsx]data!R108C6</stp>
        <stp>Dts=H</stp>
        <tr r="F108" s="2"/>
      </tp>
      <tp t="s">
        <v>#N/A Invalid Field</v>
        <stp/>
        <stp>##V3_BDHV12</stp>
        <stp>31283HLG8 Mtge</stp>
        <stp>MTG_GEN_CPR_3M</stp>
        <stp>20090331</stp>
        <stp>20090331</stp>
        <stp>[Copy of 02_cpr_main.xlsx]data!R30C5</stp>
        <stp>Dts=H</stp>
        <tr r="E30" s="2"/>
      </tp>
      <tp t="s">
        <v>#N/A Invalid Field</v>
        <stp/>
        <stp>##V3_BDHV12</stp>
        <stp>3128QGMM1 Mtge</stp>
        <stp>MTG_GEN_CPR_6M</stp>
        <stp>20090331</stp>
        <stp>20090331</stp>
        <stp>[Copy of 02_cpr_main.xlsx]data!R107C6</stp>
        <stp>Dts=H</stp>
        <tr r="F107" s="2"/>
      </tp>
      <tp t="s">
        <v>#N/A Invalid Field</v>
        <stp/>
        <stp>##V3_BDHV12</stp>
        <stp>3128CUHK5 Mtge</stp>
        <stp>MTG_GEN_CPR_6M</stp>
        <stp>20090610</stp>
        <stp>20090610</stp>
        <stp>[Copy of 02_cpr_main.xlsx]data!R41C9</stp>
        <stp>Dts=H</stp>
        <tr r="I41" s="2"/>
      </tp>
      <tp t="s">
        <v>#N/A Invalid Field</v>
        <stp/>
        <stp>##V3_BDHV12</stp>
        <stp>3128GVEA4 Mtge</stp>
        <stp>MTG_GEN_CPR_6M</stp>
        <stp>20090331</stp>
        <stp>20090331</stp>
        <stp>[Copy of 02_cpr_main.xlsx]data!R61C6</stp>
        <stp>Dts=H</stp>
        <tr r="F61" s="2"/>
      </tp>
      <tp t="s">
        <v>#N/A Invalid Field</v>
        <stp/>
        <stp>##V3_BDHV12</stp>
        <stp>3128MB3A3 Mtge</stp>
        <stp>MTG_GEN_CPR_6M</stp>
        <stp>20090331</stp>
        <stp>20090331</stp>
        <stp>[Copy of 02_cpr_main.xlsx]data!R92C6</stp>
        <stp>Dts=H</stp>
        <tr r="F92" s="2"/>
      </tp>
      <tp t="s">
        <v>#N/A Invalid Field</v>
        <stp/>
        <stp>##V3_BDHV12</stp>
        <stp>3128GEBA5 Mtge</stp>
        <stp>MTG_GEN_CPR_6M</stp>
        <stp>20090331</stp>
        <stp>20090331</stp>
        <stp>[Copy of 02_cpr_main.xlsx]data!R52C6</stp>
        <stp>Dts=H</stp>
        <tr r="F52" s="2"/>
      </tp>
      <tp t="s">
        <v>#N/A Invalid Field</v>
        <stp/>
        <stp>##V3_BDHV12</stp>
        <stp>3128JMHG5 Mtge</stp>
        <stp>MTG_GEN_CPR_3M</stp>
        <stp>20090331</stp>
        <stp>20090331</stp>
        <stp>[Copy of 02_cpr_main.xlsx]data!R69C5</stp>
        <stp>Dts=H</stp>
        <tr r="E69" s="2"/>
      </tp>
      <tp t="s">
        <v>#N/A Invalid Field</v>
        <stp/>
        <stp>##V3_BDHV12</stp>
        <stp>3128Q2GG2 Mtge</stp>
        <stp>MTG_GEN_CPR_3M</stp>
        <stp>20090331</stp>
        <stp>20090331</stp>
        <stp>[Copy of 02_cpr_main.xlsx]data!R106C5</stp>
        <stp>Dts=H</stp>
        <tr r="E106" s="2"/>
      </tp>
      <tp t="s">
        <v>#N/A Invalid Field</v>
        <stp/>
        <stp>##V3_BDHV12</stp>
        <stp>3128H4XA2 Mtge</stp>
        <stp>MTG_GEN_CPR_6M</stp>
        <stp>20090331</stp>
        <stp>20090331</stp>
        <stp>[Copy of 02_cpr_main.xlsx]data!R66C6</stp>
        <stp>Dts=H</stp>
        <tr r="F66" s="2"/>
      </tp>
      <tp t="s">
        <v>#N/A Invalid Field</v>
        <stp/>
        <stp>##V3_BDHV12</stp>
        <stp>31400JA25 Mtge</stp>
        <stp>MTG_GEN_CPR_12M</stp>
        <stp>20090331</stp>
        <stp>20090331</stp>
        <stp>[Copy of 02_cpr_main.xlsx]data!R245C7</stp>
        <stp>Dts=H</stp>
        <tr r="G245" s="2"/>
      </tp>
      <tp t="s">
        <v>#N/A Invalid Field</v>
        <stp/>
        <stp>##V3_BDHV12</stp>
        <stp>31414LAH1 Mtge</stp>
        <stp>MTG_GEN_CPR_12M</stp>
        <stp>20090331</stp>
        <stp>20090331</stp>
        <stp>[Copy of 02_cpr_main.xlsx]data!R441C7</stp>
        <stp>Dts=H</stp>
        <tr r="G441" s="2"/>
      </tp>
      <tp t="s">
        <v>#N/A Invalid Field</v>
        <stp/>
        <stp>##V3_BDHV12</stp>
        <stp>31400JBY4 Mtge</stp>
        <stp>MTG_GEN_CPR_12M</stp>
        <stp>20090331</stp>
        <stp>20090331</stp>
        <stp>[Copy of 02_cpr_main.xlsx]data!R246C7</stp>
        <stp>Dts=H</stp>
        <tr r="G246" s="2"/>
      </tp>
      <tp t="s">
        <v>#N/A Invalid Field</v>
        <stp/>
        <stp>##V3_BDHV12</stp>
        <stp>36241KNL8 Mtge</stp>
        <stp>MTG_GEN_CPR_12M</stp>
        <stp>20090331</stp>
        <stp>20090331</stp>
        <stp>[Copy of 02_cpr_main.xlsx]data!R496C7</stp>
        <stp>Dts=H</stp>
        <tr r="G496" s="2"/>
      </tp>
      <tp t="s">
        <v>#N/A Invalid Field</v>
        <stp/>
        <stp>##V3_BDHV12</stp>
        <stp>31385JD39 Mtge</stp>
        <stp>MTG_GEN_CPR_12M</stp>
        <stp>20090331</stp>
        <stp>20090331</stp>
        <stp>[Copy of 02_cpr_main.xlsx]data!R214C7</stp>
        <stp>Dts=H</stp>
        <tr r="G214" s="2"/>
      </tp>
      <tp t="s">
        <v>#N/A Invalid Field</v>
        <stp/>
        <stp>##V3_BDHV12</stp>
        <stp>31407KGJ2 Mtge</stp>
        <stp>MTG_GEN_CPR_12M</stp>
        <stp>20090331</stp>
        <stp>20090331</stp>
        <stp>[Copy of 02_cpr_main.xlsx]data!R343C7</stp>
        <stp>Dts=H</stp>
        <tr r="G343" s="2"/>
      </tp>
      <tp t="s">
        <v>#N/A Invalid Field</v>
        <stp/>
        <stp>##V3_BDHV12</stp>
        <stp>31385JJF6 Mtge</stp>
        <stp>MTG_GEN_CPR_12M</stp>
        <stp>20090331</stp>
        <stp>20090331</stp>
        <stp>[Copy of 02_cpr_main.xlsx]data!R215C7</stp>
        <stp>Dts=H</stp>
        <tr r="G215" s="2"/>
      </tp>
      <tp t="s">
        <v>#N/A Invalid Field</v>
        <stp/>
        <stp>##V3_BDHV12</stp>
        <stp>36200KMY0 Mtge</stp>
        <stp>MTG_GEN_CPR_12M</stp>
        <stp>20090331</stp>
        <stp>20090331</stp>
        <stp>[Copy of 02_cpr_main.xlsx]data!R464C7</stp>
        <stp>Dts=H</stp>
        <tr r="G464" s="2"/>
      </tp>
      <tp t="s">
        <v>#N/A Invalid Field</v>
        <stp/>
        <stp>##V3_BDHV12</stp>
        <stp>31283KNU8 Mtge</stp>
        <stp>MTG_GEN_CPR_12M</stp>
        <stp>20090610</stp>
        <stp>20090610</stp>
        <stp>[Copy of 02_cpr_main.xlsx]data!R35C10</stp>
        <stp>Dts=H</stp>
        <tr r="J35" s="2"/>
      </tp>
      <tp t="s">
        <v>#N/A Invalid Field</v>
        <stp/>
        <stp>##V3_BDHV12</stp>
        <stp>36295JMQ6 Mtge</stp>
        <stp>MTG_GEN_CPR_12M</stp>
        <stp>20090331</stp>
        <stp>20090331</stp>
        <stp>[Copy of 02_cpr_main.xlsx]data!R506C7</stp>
        <stp>Dts=H</stp>
        <tr r="G506" s="2"/>
      </tp>
      <tp>
        <v>130.19999999999999</v>
        <stp/>
        <stp>##V3_BDPV12</stp>
        <stp>01N062649 Mtge</stp>
        <stp xml:space="preserve">MTG_PL_PSA_6M </stp>
        <stp>[Copy of 02_cpr_main.xlsx]data!R18C15</stp>
        <tr r="O18" s="2"/>
      </tp>
      <tp>
        <v>170.2</v>
        <stp/>
        <stp>##V3_BDPV12</stp>
        <stp>01N062649 Mtge</stp>
        <stp xml:space="preserve">MTG_PL_PSA_1M </stp>
        <stp>[Copy of 02_cpr_main.xlsx]data!R18C13</stp>
        <tr r="M18" s="2"/>
      </tp>
      <tp>
        <v>130.5</v>
        <stp/>
        <stp>##V3_BDPV12</stp>
        <stp>01N062649 Mtge</stp>
        <stp xml:space="preserve">MTG_PL_PSA_3M </stp>
        <stp>[Copy of 02_cpr_main.xlsx]data!R18C14</stp>
        <tr r="N18" s="2"/>
      </tp>
      <tp t="s">
        <v>#N/A Invalid Field</v>
        <stp/>
        <stp>##V3_BDHV12</stp>
        <stp>31410KR22 Mtge</stp>
        <stp>MTG_GEN_CPR_12M</stp>
        <stp>20090331</stp>
        <stp>20090331</stp>
        <stp>[Copy of 02_cpr_main.xlsx]data!R374C7</stp>
        <stp>Dts=H</stp>
        <tr r="G374" s="2"/>
      </tp>
      <tp t="s">
        <v>#N/A Invalid Field</v>
        <stp/>
        <stp>##V3_BDHV12</stp>
        <stp>31410KRX4 Mtge</stp>
        <stp>MTG_GEN_CPR_12M</stp>
        <stp>20090331</stp>
        <stp>20090331</stp>
        <stp>[Copy of 02_cpr_main.xlsx]data!R375C7</stp>
        <stp>Dts=H</stp>
        <tr r="G375" s="2"/>
      </tp>
      <tp t="s">
        <v>#N/A Invalid Field</v>
        <stp/>
        <stp>##V3_BDHV12</stp>
        <stp>31410KQJ6 Mtge</stp>
        <stp>MTG_GEN_CPR_12M</stp>
        <stp>20090331</stp>
        <stp>20090331</stp>
        <stp>[Copy of 02_cpr_main.xlsx]data!R373C7</stp>
        <stp>Dts=H</stp>
        <tr r="G373" s="2"/>
      </tp>
      <tp t="s">
        <v>#N/A Invalid Field</v>
        <stp/>
        <stp>##V3_BDHV12</stp>
        <stp>31401JUA4 Mtge</stp>
        <stp>MTG_GEN_CPR_12M</stp>
        <stp>20090331</stp>
        <stp>20090331</stp>
        <stp>[Copy of 02_cpr_main.xlsx]data!R255C7</stp>
        <stp>Dts=H</stp>
        <tr r="G255" s="2"/>
      </tp>
      <tp t="s">
        <v>#N/A Invalid Field</v>
        <stp/>
        <stp>##V3_BDHV12</stp>
        <stp>36291JVC1 Mtge</stp>
        <stp>MTG_GEN_CPR_12M</stp>
        <stp>20090331</stp>
        <stp>20090331</stp>
        <stp>[Copy of 02_cpr_main.xlsx]data!R502C7</stp>
        <stp>Dts=H</stp>
        <tr r="G502" s="2"/>
      </tp>
      <tp t="s">
        <v>#N/A Invalid Field</v>
        <stp/>
        <stp>##V3_BDHV12</stp>
        <stp>31390JTB7 Mtge</stp>
        <stp>MTG_GEN_CPR_12M</stp>
        <stp>20090331</stp>
        <stp>20090331</stp>
        <stp>[Copy of 02_cpr_main.xlsx]data!R232C7</stp>
        <stp>Dts=H</stp>
        <tr r="G232" s="2"/>
      </tp>
      <tp t="s">
        <v>#N/A Invalid Field</v>
        <stp/>
        <stp>##V3_BDHV12</stp>
        <stp>31401JTD0 Mtge</stp>
        <stp>MTG_GEN_CPR_12M</stp>
        <stp>20090331</stp>
        <stp>20090331</stp>
        <stp>[Copy of 02_cpr_main.xlsx]data!R254C7</stp>
        <stp>Dts=H</stp>
        <tr r="G254" s="2"/>
      </tp>
      <tp t="s">
        <v>#N/A Invalid Field</v>
        <stp/>
        <stp>##V3_BDHV12</stp>
        <stp>31283KR34 Mtge</stp>
        <stp>MTG_GEN_CPR_12M</stp>
        <stp>20090610</stp>
        <stp>20090610</stp>
        <stp>[Copy of 02_cpr_main.xlsx]data!R36C10</stp>
        <stp>Dts=H</stp>
        <tr r="J36" s="2"/>
      </tp>
      <tp t="s">
        <v>#N/A Invalid Field</v>
        <stp/>
        <stp>##V3_BDHV12</stp>
        <stp>31410KUN2 Mtge</stp>
        <stp>MTG_GEN_CPR_12M</stp>
        <stp>20090331</stp>
        <stp>20090331</stp>
        <stp>[Copy of 02_cpr_main.xlsx]data!R377C7</stp>
        <stp>Dts=H</stp>
        <tr r="G377" s="2"/>
      </tp>
      <tp t="s">
        <v>#N/A Invalid Field</v>
        <stp/>
        <stp>##V3_BDHV12</stp>
        <stp>31403KRB1 Mtge</stp>
        <stp>MTG_GEN_CPR_12M</stp>
        <stp>20090331</stp>
        <stp>20090331</stp>
        <stp>[Copy of 02_cpr_main.xlsx]data!R308C7</stp>
        <stp>Dts=H</stp>
        <tr r="G308" s="2"/>
      </tp>
      <tp t="s">
        <v>#N/A Invalid Field</v>
        <stp/>
        <stp>##V3_BDHV12</stp>
        <stp>31410KTH7 Mtge</stp>
        <stp>MTG_GEN_CPR_12M</stp>
        <stp>20090331</stp>
        <stp>20090331</stp>
        <stp>[Copy of 02_cpr_main.xlsx]data!R376C7</stp>
        <stp>Dts=H</stp>
        <tr r="G376" s="2"/>
      </tp>
      <tp t="s">
        <v>#N/A Invalid Field</v>
        <stp/>
        <stp>##V3_BDHV12</stp>
        <stp>31405KZ20 Mtge</stp>
        <stp>MTG_GEN_CPR_12M</stp>
        <stp>20090331</stp>
        <stp>20090331</stp>
        <stp>[Copy of 02_cpr_main.xlsx]data!R327C7</stp>
        <stp>Dts=H</stp>
        <tr r="G327" s="2"/>
      </tp>
      <tp t="s">
        <v>#N/A Invalid Field</v>
        <stp/>
        <stp>##V3_BDHV12</stp>
        <stp>31412LZK9 Mtge</stp>
        <stp>MTG_GEN_CPR_12M</stp>
        <stp>20090331</stp>
        <stp>20090331</stp>
        <stp>[Copy of 02_cpr_main.xlsx]data!R408C7</stp>
        <stp>Dts=H</stp>
        <tr r="G408" s="2"/>
      </tp>
      <tp t="s">
        <v>#N/A Invalid Field</v>
        <stp/>
        <stp>##V3_BDHV12</stp>
        <stp>31412M4Y1 Mtge</stp>
        <stp>MTG_GEN_CPR_12M</stp>
        <stp>20090331</stp>
        <stp>20090331</stp>
        <stp>[Copy of 02_cpr_main.xlsx]data!R410C7</stp>
        <stp>Dts=H</stp>
        <tr r="G410" s="2"/>
      </tp>
      <tp t="s">
        <v>#N/A Invalid Field</v>
        <stp/>
        <stp>##V3_BDHV12</stp>
        <stp>31335H4K6 Mtge</stp>
        <stp>MTG_GEN_CPR_12M</stp>
        <stp>20090331</stp>
        <stp>20090331</stp>
        <stp>[Copy of 02_cpr_main.xlsx]data!R154C7</stp>
        <stp>Dts=H</stp>
        <tr r="G154" s="2"/>
      </tp>
      <tp t="s">
        <v>#N/A Invalid Field</v>
        <stp/>
        <stp>##V3_BDHV12</stp>
        <stp>31404J2J3 Mtge</stp>
        <stp>MTG_GEN_CPR_12M</stp>
        <stp>20090331</stp>
        <stp>20090331</stp>
        <stp>[Copy of 02_cpr_main.xlsx]data!R314C7</stp>
        <stp>Dts=H</stp>
        <tr r="G314" s="2"/>
      </tp>
      <tp t="s">
        <v>#N/A Invalid Field</v>
        <stp/>
        <stp>##V3_BDHV12</stp>
        <stp>31412M3C0 Mtge</stp>
        <stp>MTG_GEN_CPR_12M</stp>
        <stp>20090331</stp>
        <stp>20090331</stp>
        <stp>[Copy of 02_cpr_main.xlsx]data!R409C7</stp>
        <stp>Dts=H</stp>
        <tr r="G409" s="2"/>
      </tp>
      <tp t="s">
        <v>#N/A Invalid Field</v>
        <stp/>
        <stp>##V3_BDHV12</stp>
        <stp>3128PPAS2 Mtge</stp>
        <stp>MTG_GEN_CPR_3M</stp>
        <stp>20090331</stp>
        <stp>20090331</stp>
        <stp>[Copy of 02_cpr_main.xlsx]data!R105C5</stp>
        <stp>Dts=H</stp>
        <tr r="E105" s="2"/>
      </tp>
      <tp t="s">
        <v>#N/A Invalid Field</v>
        <stp/>
        <stp>##V3_BDHV12</stp>
        <stp>3128PLP22 Mtge</stp>
        <stp>MTG_GEN_CPR_3M</stp>
        <stp>20090331</stp>
        <stp>20090331</stp>
        <stp>[Copy of 02_cpr_main.xlsx]data!R103C5</stp>
        <stp>Dts=H</stp>
        <tr r="E103" s="2"/>
      </tp>
      <tp t="s">
        <v>#N/A Invalid Field</v>
        <stp/>
        <stp>##V3_BDHV12</stp>
        <stp>31283HWN1 Mtge</stp>
        <stp>MTG_GEN_CPR_3M</stp>
        <stp>20090610</stp>
        <stp>20090610</stp>
        <stp>[Copy of 02_cpr_main.xlsx]data!R32C8</stp>
        <stp>Dts=H</stp>
        <tr r="H32" s="2"/>
      </tp>
      <tp t="s">
        <v>#N/A Invalid Field</v>
        <stp/>
        <stp>##V3_BDHV12</stp>
        <stp>3128GEAJ7 Mtge</stp>
        <stp>MTG_GEN_CPR_6M</stp>
        <stp>20090610</stp>
        <stp>20090610</stp>
        <stp>[Copy of 02_cpr_main.xlsx]data!R51C9</stp>
        <stp>Dts=H</stp>
        <tr r="I51" s="2"/>
      </tp>
      <tp t="s">
        <v>#N/A Invalid Field</v>
        <stp/>
        <stp>##V3_BDHV12</stp>
        <stp>3128GDQJ2 Mtge</stp>
        <stp>MTG_GEN_CPR_6M</stp>
        <stp>20090610</stp>
        <stp>20090610</stp>
        <stp>[Copy of 02_cpr_main.xlsx]data!R46C9</stp>
        <stp>Dts=H</stp>
        <tr r="I46" s="2"/>
      </tp>
      <tp t="s">
        <v>#N/A Invalid Field</v>
        <stp/>
        <stp>##V3_BDHV12</stp>
        <stp>3128JMFN2 Mtge</stp>
        <stp>MTG_GEN_CPR_3M</stp>
        <stp>20090610</stp>
        <stp>20090610</stp>
        <stp>[Copy of 02_cpr_main.xlsx]data!R68C8</stp>
        <stp>Dts=H</stp>
        <tr r="H68" s="2"/>
      </tp>
      <tp t="s">
        <v>#N/A Invalid Field</v>
        <stp/>
        <stp>##V3_BDHV12</stp>
        <stp>3128M4NJ8 Mtge</stp>
        <stp>MTG_GEN_CPR_6M</stp>
        <stp>20090610</stp>
        <stp>20090610</stp>
        <stp>[Copy of 02_cpr_main.xlsx]data!R84C9</stp>
        <stp>Dts=H</stp>
        <tr r="I84" s="2"/>
      </tp>
      <tp t="s">
        <v>#N/A Invalid Field</v>
        <stp/>
        <stp>##V3_BDHV12</stp>
        <stp>3128LDMN1 Mtge</stp>
        <stp>MTG_GEN_CPR_3M</stp>
        <stp>20090610</stp>
        <stp>20090610</stp>
        <stp>[Copy of 02_cpr_main.xlsx]data!R78C8</stp>
        <stp>Dts=H</stp>
        <tr r="H78" s="2"/>
      </tp>
      <tp t="s">
        <v>#N/A Invalid Field</v>
        <stp/>
        <stp>##V3_BDHV12</stp>
        <stp>3128JNBN4 Mtge</stp>
        <stp>MTG_GEN_CPR_3M</stp>
        <stp>20090610</stp>
        <stp>20090610</stp>
        <stp>[Copy of 02_cpr_main.xlsx]data!R70C8</stp>
        <stp>Dts=H</stp>
        <tr r="H70" s="2"/>
      </tp>
      <tp t="s">
        <v>#N/A Invalid Field</v>
        <stp/>
        <stp>##V3_BDHV12</stp>
        <stp>36201JDG1 Mtge</stp>
        <stp>MTG_GEN_CPR_12M</stp>
        <stp>20090331</stp>
        <stp>20090331</stp>
        <stp>[Copy of 02_cpr_main.xlsx]data!R471C7</stp>
        <stp>Dts=H</stp>
        <tr r="G471" s="2"/>
      </tp>
      <tp t="s">
        <v>#N/A Invalid Field</v>
        <stp/>
        <stp>##V3_BDHV12</stp>
        <stp>31391KAL1 Mtge</stp>
        <stp>MTG_GEN_CPR_12M</stp>
        <stp>20090331</stp>
        <stp>20090331</stp>
        <stp>[Copy of 02_cpr_main.xlsx]data!R237C7</stp>
        <stp>Dts=H</stp>
        <tr r="G237" s="2"/>
      </tp>
      <tp t="s">
        <v>#N/A Invalid Field</v>
        <stp/>
        <stp>##V3_BDHV12</stp>
        <stp>31401KCF0 Mtge</stp>
        <stp>MTG_GEN_CPR_12M</stp>
        <stp>20090331</stp>
        <stp>20090331</stp>
        <stp>[Copy of 02_cpr_main.xlsx]data!R256C7</stp>
        <stp>Dts=H</stp>
        <tr r="G256" s="2"/>
      </tp>
      <tp t="s">
        <v>#N/A Invalid Field</v>
        <stp/>
        <stp>##V3_BDHV12</stp>
        <stp>31407JBC5 Mtge</stp>
        <stp>MTG_GEN_CPR_12M</stp>
        <stp>20090331</stp>
        <stp>20090331</stp>
        <stp>[Copy of 02_cpr_main.xlsx]data!R342C7</stp>
        <stp>Dts=H</stp>
        <tr r="G342" s="2"/>
      </tp>
      <tp t="s">
        <v>#N/A Invalid Field</v>
        <stp/>
        <stp>##V3_BDHV12</stp>
        <stp>31288MC31 Mtge</stp>
        <stp>MTG_GEN_CPR_12M</stp>
        <stp>20090610</stp>
        <stp>20090610</stp>
        <stp>[Copy of 02_cpr_main.xlsx]data!R40C10</stp>
        <stp>Dts=H</stp>
        <tr r="J40" s="2"/>
      </tp>
      <tp t="s">
        <v>#N/A Invalid Field</v>
        <stp/>
        <stp>##V3_BDHV12</stp>
        <stp>3128JNBN4 Mtge</stp>
        <stp>MTG_GEN_CPR_12M</stp>
        <stp>20090610</stp>
        <stp>20090610</stp>
        <stp>[Copy of 02_cpr_main.xlsx]data!R70C10</stp>
        <stp>Dts=H</stp>
        <tr r="J70" s="2"/>
      </tp>
      <tp t="s">
        <v>#N/A Invalid Field</v>
        <stp/>
        <stp>##V3_BDHV12</stp>
        <stp>31413ME78 Mtge</stp>
        <stp>MTG_GEN_CPR_12M</stp>
        <stp>20090331</stp>
        <stp>20090331</stp>
        <stp>[Copy of 02_cpr_main.xlsx]data!R427C7</stp>
        <stp>Dts=H</stp>
        <tr r="G427" s="2"/>
      </tp>
      <tp t="s">
        <v>#N/A Invalid Field</v>
        <stp/>
        <stp>##V3_BDHV12</stp>
        <stp>36201JFW4 Mtge</stp>
        <stp>MTG_GEN_CPR_12M</stp>
        <stp>20090331</stp>
        <stp>20090331</stp>
        <stp>[Copy of 02_cpr_main.xlsx]data!R472C7</stp>
        <stp>Dts=H</stp>
        <tr r="G472" s="2"/>
      </tp>
      <tp t="s">
        <v>#N/A Invalid Field</v>
        <stp/>
        <stp>##V3_BDHV12</stp>
        <stp>31382HBK0 Mtge</stp>
        <stp>MTG_GEN_CPR_12M</stp>
        <stp>20090331</stp>
        <stp>20090331</stp>
        <stp>[Copy of 02_cpr_main.xlsx]data!R196C7</stp>
        <stp>Dts=H</stp>
        <tr r="G196" s="2"/>
      </tp>
      <tp t="s">
        <v>#N/A Invalid Field</v>
        <stp/>
        <stp>##V3_BDHV12</stp>
        <stp>31368HMA8 Mtge</stp>
        <stp>MTG_GEN_CPR_12M</stp>
        <stp>20090331</stp>
        <stp>20090331</stp>
        <stp>[Copy of 02_cpr_main.xlsx]data!R160C7</stp>
        <stp>Dts=H</stp>
        <tr r="G160" s="2"/>
      </tp>
      <tp t="s">
        <v>#N/A Invalid Field</v>
        <stp/>
        <stp>##V3_BDHV12</stp>
        <stp>31368HME0 Mtge</stp>
        <stp>MTG_GEN_CPR_12M</stp>
        <stp>20090331</stp>
        <stp>20090331</stp>
        <stp>[Copy of 02_cpr_main.xlsx]data!R161C7</stp>
        <stp>Dts=H</stp>
        <tr r="G161" s="2"/>
      </tp>
      <tp t="s">
        <v>#N/A Invalid Field</v>
        <stp/>
        <stp>##V3_BDHV12</stp>
        <stp>31368HMH3 Mtge</stp>
        <stp>MTG_GEN_CPR_12M</stp>
        <stp>20090331</stp>
        <stp>20090331</stp>
        <stp>[Copy of 02_cpr_main.xlsx]data!R162C7</stp>
        <stp>Dts=H</stp>
        <tr r="G162" s="2"/>
      </tp>
      <tp t="s">
        <v>#N/A Invalid Field</v>
        <stp/>
        <stp>##V3_BDHV12</stp>
        <stp>31371HLX4 Mtge</stp>
        <stp>MTG_GEN_CPR_12M</stp>
        <stp>20090331</stp>
        <stp>20090331</stp>
        <stp>[Copy of 02_cpr_main.xlsx]data!R163C7</stp>
        <stp>Dts=H</stp>
        <tr r="G163" s="2"/>
      </tp>
      <tp t="s">
        <v>#N/A Invalid Field</v>
        <stp/>
        <stp>##V3_BDHV12</stp>
        <stp>31368HM26 Mtge</stp>
        <stp>MTG_GEN_CPR_12M</stp>
        <stp>20090331</stp>
        <stp>20090331</stp>
        <stp>[Copy of 02_cpr_main.xlsx]data!R159C7</stp>
        <stp>Dts=H</stp>
        <tr r="G159" s="2"/>
      </tp>
      <tp t="s">
        <v>#N/A Invalid Field</v>
        <stp/>
        <stp>##V3_BDHV12</stp>
        <stp>31371HNJ3 Mtge</stp>
        <stp>MTG_GEN_CPR_12M</stp>
        <stp>20090331</stp>
        <stp>20090331</stp>
        <stp>[Copy of 02_cpr_main.xlsx]data!R164C7</stp>
        <stp>Dts=H</stp>
        <tr r="G164" s="2"/>
      </tp>
      <tp t="s">
        <v>#N/A Invalid Field</v>
        <stp/>
        <stp>##V3_BDHV12</stp>
        <stp>31404JHV0 Mtge</stp>
        <stp>MTG_GEN_CPR_12M</stp>
        <stp>20090331</stp>
        <stp>20090331</stp>
        <stp>[Copy of 02_cpr_main.xlsx]data!R315C7</stp>
        <stp>Dts=H</stp>
        <tr r="G315" s="2"/>
      </tp>
      <tp t="s">
        <v>#N/A Invalid Field</v>
        <stp/>
        <stp>##V3_BDHV12</stp>
        <stp>36206JJ96 Mtge</stp>
        <stp>MTG_GEN_CPR_12M</stp>
        <stp>20090331</stp>
        <stp>20090331</stp>
        <stp>[Copy of 02_cpr_main.xlsx]data!R479C7</stp>
        <stp>Dts=H</stp>
        <tr r="G479" s="2"/>
      </tp>
      <tp>
        <v>1460.7</v>
        <stp/>
        <stp>##V3_BDPV12</stp>
        <stp>01F062648 Mtge</stp>
        <stp xml:space="preserve">MTG_PL_PSA_6M </stp>
        <stp>[Copy of 02_cpr_main.xlsx]data!R12C15</stp>
        <tr r="O12" s="2"/>
      </tp>
      <tp>
        <v>738.5</v>
        <stp/>
        <stp>##V3_BDPV12</stp>
        <stp>01F062648 Mtge</stp>
        <stp xml:space="preserve">MTG_PL_PSA_1M </stp>
        <stp>[Copy of 02_cpr_main.xlsx]data!R12C13</stp>
        <tr r="M12" s="2"/>
      </tp>
      <tp>
        <v>953.1</v>
        <stp/>
        <stp>##V3_BDPV12</stp>
        <stp>01F062648 Mtge</stp>
        <stp xml:space="preserve">MTG_PL_PSA_3M </stp>
        <stp>[Copy of 02_cpr_main.xlsx]data!R12C14</stp>
        <tr r="N12" s="2"/>
      </tp>
      <tp t="s">
        <v>#N/A Invalid Field</v>
        <stp/>
        <stp>##V3_BDHV12</stp>
        <stp>31400KQ66 Mtge</stp>
        <stp>MTG_GEN_CPR_12M</stp>
        <stp>20090331</stp>
        <stp>20090331</stp>
        <stp>[Copy of 02_cpr_main.xlsx]data!R247C7</stp>
        <stp>Dts=H</stp>
        <tr r="G247" s="2"/>
      </tp>
      <tp t="s">
        <v>#N/A Invalid Field</v>
        <stp/>
        <stp>##V3_BDHV12</stp>
        <stp>31405JWZ3 Mtge</stp>
        <stp>MTG_GEN_CPR_12M</stp>
        <stp>20090331</stp>
        <stp>20090331</stp>
        <stp>[Copy of 02_cpr_main.xlsx]data!R326C7</stp>
        <stp>Dts=H</stp>
        <tr r="G326" s="2"/>
      </tp>
      <tp t="s">
        <v>#N/A Invalid Field</v>
        <stp/>
        <stp>##V3_BDHV12</stp>
        <stp>3128NHP98 Mtge</stp>
        <stp>MTG_GEN_CPR_12M</stp>
        <stp>20090331</stp>
        <stp>20090331</stp>
        <stp>[Copy of 02_cpr_main.xlsx]data!R100C7</stp>
        <stp>Dts=H</stp>
        <tr r="G100" s="2"/>
      </tp>
      <tp t="s">
        <v>#N/A Invalid Field</v>
        <stp/>
        <stp>##V3_BDHV12</stp>
        <stp>31401KR49 Mtge</stp>
        <stp>MTG_GEN_CPR_12M</stp>
        <stp>20090331</stp>
        <stp>20090331</stp>
        <stp>[Copy of 02_cpr_main.xlsx]data!R257C7</stp>
        <stp>Dts=H</stp>
        <tr r="G257" s="2"/>
      </tp>
      <tp t="s">
        <v>#N/A Invalid Field</v>
        <stp/>
        <stp>##V3_BDHV12</stp>
        <stp>31335HUZ4 Mtge</stp>
        <stp>MTG_GEN_CPR_12M</stp>
        <stp>20090331</stp>
        <stp>20090331</stp>
        <stp>[Copy of 02_cpr_main.xlsx]data!R155C7</stp>
        <stp>Dts=H</stp>
        <tr r="G155" s="2"/>
      </tp>
      <tp t="s">
        <v>#N/A Invalid Field</v>
        <stp/>
        <stp>##V3_BDHV12</stp>
        <stp>3128QHVC1 Mtge</stp>
        <stp>MTG_GEN_CPR_12M</stp>
        <stp>20090331</stp>
        <stp>20090331</stp>
        <stp>[Copy of 02_cpr_main.xlsx]data!R108C7</stp>
        <stp>Dts=H</stp>
        <tr r="G108" s="2"/>
      </tp>
      <tp t="s">
        <v>#N/A Invalid Field</v>
        <stp/>
        <stp>##V3_BDHV12</stp>
        <stp>31371HQS0 Mtge</stp>
        <stp>MTG_GEN_CPR_12M</stp>
        <stp>20090331</stp>
        <stp>20090331</stp>
        <stp>[Copy of 02_cpr_main.xlsx]data!R165C7</stp>
        <stp>Dts=H</stp>
        <tr r="G165" s="2"/>
      </tp>
      <tp t="s">
        <v>#N/A Invalid Field</v>
        <stp/>
        <stp>##V3_BDHV12</stp>
        <stp>31371HQY7 Mtge</stp>
        <stp>MTG_GEN_CPR_12M</stp>
        <stp>20090331</stp>
        <stp>20090331</stp>
        <stp>[Copy of 02_cpr_main.xlsx]data!R166C7</stp>
        <stp>Dts=H</stp>
        <tr r="G166" s="2"/>
      </tp>
      <tp t="s">
        <v>#N/A Invalid Field</v>
        <stp/>
        <stp>##V3_BDHV12</stp>
        <stp>3128NHUD3 Mtge</stp>
        <stp>MTG_GEN_CPR_12M</stp>
        <stp>20090331</stp>
        <stp>20090331</stp>
        <stp>[Copy of 02_cpr_main.xlsx]data!R101C7</stp>
        <stp>Dts=H</stp>
        <tr r="G101" s="2"/>
      </tp>
      <tp t="s">
        <v>#N/A Invalid Field</v>
        <stp/>
        <stp>##V3_BDHV12</stp>
        <stp>31292HYT5 Mtge</stp>
        <stp>MTG_GEN_CPR_12M</stp>
        <stp>20090331</stp>
        <stp>20090331</stp>
        <stp>[Copy of 02_cpr_main.xlsx]data!R118C7</stp>
        <stp>Dts=H</stp>
        <tr r="G118" s="2"/>
      </tp>
      <tp t="s">
        <v>#N/A Invalid Field</v>
        <stp/>
        <stp>##V3_BDHV12</stp>
        <stp>31371K5T4 Mtge</stp>
        <stp>MTG_GEN_CPR_12M</stp>
        <stp>20090331</stp>
        <stp>20090331</stp>
        <stp>[Copy of 02_cpr_main.xlsx]data!R168C7</stp>
        <stp>Dts=H</stp>
        <tr r="G168" s="2"/>
      </tp>
      <tp>
        <v>1666.7</v>
        <stp/>
        <stp>##V3_BDPV12</stp>
        <stp>31287R2R9 Mtge</stp>
        <stp xml:space="preserve">MTG_PL_PSA_6M </stp>
        <stp>[Copy of 02_cpr_main.xlsx]data!R37C15</stp>
        <tr r="O37" s="2"/>
      </tp>
      <tp>
        <v>1666.7</v>
        <stp/>
        <stp>##V3_BDPV12</stp>
        <stp>31287R2R9 Mtge</stp>
        <stp xml:space="preserve">MTG_PL_PSA_1M </stp>
        <stp>[Copy of 02_cpr_main.xlsx]data!R37C13</stp>
        <tr r="M37" s="2"/>
      </tp>
      <tp>
        <v>1666.7</v>
        <stp/>
        <stp>##V3_BDPV12</stp>
        <stp>31287R2R9 Mtge</stp>
        <stp xml:space="preserve">MTG_PL_PSA_3M </stp>
        <stp>[Copy of 02_cpr_main.xlsx]data!R37C14</stp>
        <tr r="N37" s="2"/>
      </tp>
      <tp t="s">
        <v>#N/A Invalid Field</v>
        <stp/>
        <stp>##V3_BDHV12</stp>
        <stp>31371K6K2 Mtge</stp>
        <stp>MTG_GEN_CPR_12M</stp>
        <stp>20090331</stp>
        <stp>20090331</stp>
        <stp>[Copy of 02_cpr_main.xlsx]data!R169C7</stp>
        <stp>Dts=H</stp>
        <tr r="G169" s="2"/>
      </tp>
      <tp t="s">
        <v>#N/A Invalid Field</v>
        <stp/>
        <stp>##V3_BDHV12</stp>
        <stp>31413N5R2 Mtge</stp>
        <stp>MTG_GEN_CPR_12M</stp>
        <stp>20090331</stp>
        <stp>20090331</stp>
        <stp>[Copy of 02_cpr_main.xlsx]data!R428C7</stp>
        <stp>Dts=H</stp>
        <tr r="G428" s="2"/>
      </tp>
      <tp t="s">
        <v>#N/A Invalid Field</v>
        <stp/>
        <stp>##V3_BDHV12</stp>
        <stp>31371K3A7 Mtge</stp>
        <stp>MTG_GEN_CPR_12M</stp>
        <stp>20090331</stp>
        <stp>20090331</stp>
        <stp>[Copy of 02_cpr_main.xlsx]data!R167C7</stp>
        <stp>Dts=H</stp>
        <tr r="G167" s="2"/>
      </tp>
      <tp t="s">
        <v>#N/A Invalid Field</v>
        <stp/>
        <stp>##V3_BDHV12</stp>
        <stp>31283H4W2 Mtge</stp>
        <stp>MTG_GEN_CPR_12M</stp>
        <stp>20090610</stp>
        <stp>20090610</stp>
        <stp>[Copy of 02_cpr_main.xlsx]data!R29C10</stp>
        <stp>Dts=H</stp>
        <tr r="J29" s="2"/>
      </tp>
      <tp t="s">
        <v>#N/A Invalid Field</v>
        <stp/>
        <stp>##V3_BDHV12</stp>
        <stp>3128PPAS2 Mtge</stp>
        <stp>MTG_GEN_CPR_6M</stp>
        <stp>20090331</stp>
        <stp>20090331</stp>
        <stp>[Copy of 02_cpr_main.xlsx]data!R105C6</stp>
        <stp>Dts=H</stp>
        <tr r="F105" s="2"/>
      </tp>
      <tp t="s">
        <v>#N/A Invalid Field</v>
        <stp/>
        <stp>##V3_BDHV12</stp>
        <stp>31283K3C0 Mtge</stp>
        <stp>MTG_GEN_CPR_6M</stp>
        <stp>20090331</stp>
        <stp>20090331</stp>
        <stp>[Copy of 02_cpr_main.xlsx]data!R34C6</stp>
        <stp>Dts=H</stp>
        <tr r="F34" s="2"/>
      </tp>
      <tp t="s">
        <v>#N/A Invalid Field</v>
        <stp/>
        <stp>##V3_BDHV12</stp>
        <stp>3128PLP22 Mtge</stp>
        <stp>MTG_GEN_CPR_6M</stp>
        <stp>20090331</stp>
        <stp>20090331</stp>
        <stp>[Copy of 02_cpr_main.xlsx]data!R103C6</stp>
        <stp>Dts=H</stp>
        <tr r="F103" s="2"/>
      </tp>
      <tp t="s">
        <v>#N/A Invalid Field</v>
        <stp/>
        <stp>##V3_BDHV12</stp>
        <stp>3128GJEM5 Mtge</stp>
        <stp>MTG_GEN_CPR_3M</stp>
        <stp>20090610</stp>
        <stp>20090610</stp>
        <stp>[Copy of 02_cpr_main.xlsx]data!R58C8</stp>
        <stp>Dts=H</stp>
        <tr r="H58" s="2"/>
      </tp>
      <tp t="s">
        <v>#N/A Invalid Field</v>
        <stp/>
        <stp>##V3_BDHV12</stp>
        <stp>3128NGEM3 Mtge</stp>
        <stp>MTG_GEN_CPR_3M</stp>
        <stp>20090610</stp>
        <stp>20090610</stp>
        <stp>[Copy of 02_cpr_main.xlsx]data!R98C8</stp>
        <stp>Dts=H</stp>
        <tr r="H98" s="2"/>
      </tp>
      <tp t="s">
        <v>#N/A Invalid Field</v>
        <stp/>
        <stp>##V3_BDHV12</stp>
        <stp>3128LXDE7 Mtge</stp>
        <stp>MTG_GEN_CPR_3M</stp>
        <stp>20090331</stp>
        <stp>20090331</stp>
        <stp>[Copy of 02_cpr_main.xlsx]data!R81C5</stp>
        <stp>Dts=H</stp>
        <tr r="E81" s="2"/>
      </tp>
      <tp t="s">
        <v>#N/A Invalid Field</v>
        <stp/>
        <stp>##V3_BDHV12</stp>
        <stp>3128GDRC6 Mtge</stp>
        <stp>MTG_GEN_CPR_6M</stp>
        <stp>20090331</stp>
        <stp>20090331</stp>
        <stp>[Copy of 02_cpr_main.xlsx]data!R48C6</stp>
        <stp>Dts=H</stp>
        <tr r="F48" s="2"/>
      </tp>
      <tp t="s">
        <v>#N/A Invalid Field</v>
        <stp/>
        <stp>##V3_BDHV12</stp>
        <stp>3128K3ZC4 Mtge</stp>
        <stp>MTG_GEN_CPR_6M</stp>
        <stp>20090331</stp>
        <stp>20090331</stp>
        <stp>[Copy of 02_cpr_main.xlsx]data!R72C6</stp>
        <stp>Dts=H</stp>
        <tr r="F72" s="2"/>
      </tp>
      <tp t="s">
        <v>#N/A Invalid Field</v>
        <stp/>
        <stp>##V3_BDHV12</stp>
        <stp>3128JRPE0 Mtge</stp>
        <stp>MTG_GEN_CPR_3M</stp>
        <stp>20090331</stp>
        <stp>20090331</stp>
        <stp>[Copy of 02_cpr_main.xlsx]data!R71C5</stp>
        <stp>Dts=H</stp>
        <tr r="E71" s="2"/>
      </tp>
      <tp t="s">
        <v>#N/A Invalid Field</v>
        <stp/>
        <stp>##V3_BDHV12</stp>
        <stp>31377KKG9 Mtge</stp>
        <stp>MTG_GEN_CPR_12M</stp>
        <stp>20090331</stp>
        <stp>20090331</stp>
        <stp>[Copy of 02_cpr_main.xlsx]data!R187C7</stp>
        <stp>Dts=H</stp>
        <tr r="G187" s="2"/>
      </tp>
      <tp t="s">
        <v>#N/A Invalid Field</v>
        <stp/>
        <stp>##V3_BDHV12</stp>
        <stp>31371KDF5 Mtge</stp>
        <stp>MTG_GEN_CPR_12M</stp>
        <stp>20090331</stp>
        <stp>20090331</stp>
        <stp>[Copy of 02_cpr_main.xlsx]data!R170C7</stp>
        <stp>Dts=H</stp>
        <tr r="G170" s="2"/>
      </tp>
      <tp t="s">
        <v>#N/A Invalid Field</v>
        <stp/>
        <stp>##V3_BDHV12</stp>
        <stp>31371KGN5 Mtge</stp>
        <stp>MTG_GEN_CPR_12M</stp>
        <stp>20090331</stp>
        <stp>20090331</stp>
        <stp>[Copy of 02_cpr_main.xlsx]data!R171C7</stp>
        <stp>Dts=H</stp>
        <tr r="G171" s="2"/>
      </tp>
      <tp t="s">
        <v>#N/A Invalid Field</v>
        <stp/>
        <stp>##V3_BDHV12</stp>
        <stp>31413NDT9 Mtge</stp>
        <stp>MTG_GEN_CPR_12M</stp>
        <stp>20090331</stp>
        <stp>20090331</stp>
        <stp>[Copy of 02_cpr_main.xlsx]data!R430C7</stp>
        <stp>Dts=H</stp>
        <tr r="G430" s="2"/>
      </tp>
      <tp t="s">
        <v>#N/A Invalid Field</v>
        <stp/>
        <stp>##V3_BDHV12</stp>
        <stp>3128GLE99 Mtge</stp>
        <stp>MTG_GEN_CPR_12M</stp>
        <stp>20090610</stp>
        <stp>20090610</stp>
        <stp>[Copy of 02_cpr_main.xlsx]data!R60C10</stp>
        <stp>Dts=H</stp>
        <tr r="J60" s="2"/>
      </tp>
      <tp t="s">
        <v>#N/A Invalid Field</v>
        <stp/>
        <stp>##V3_BDHV12</stp>
        <stp>31413NCZ6 Mtge</stp>
        <stp>MTG_GEN_CPR_12M</stp>
        <stp>20090331</stp>
        <stp>20090331</stp>
        <stp>[Copy of 02_cpr_main.xlsx]data!R429C7</stp>
        <stp>Dts=H</stp>
        <tr r="G429" s="2"/>
      </tp>
      <tp t="s">
        <v>#N/A Invalid Field</v>
        <stp/>
        <stp>##V3_BDHV12</stp>
        <stp>31391HFQ2 Mtge</stp>
        <stp>MTG_GEN_CPR_12M</stp>
        <stp>20090331</stp>
        <stp>20090331</stp>
        <stp>[Copy of 02_cpr_main.xlsx]data!R236C7</stp>
        <stp>Dts=H</stp>
        <tr r="G236" s="2"/>
      </tp>
      <tp t="s">
        <v>#N/A Invalid Field</v>
        <stp/>
        <stp>##V3_BDHV12</stp>
        <stp>31371KNW7 Mtge</stp>
        <stp>MTG_GEN_CPR_12M</stp>
        <stp>20090331</stp>
        <stp>20090331</stp>
        <stp>[Copy of 02_cpr_main.xlsx]data!R172C7</stp>
        <stp>Dts=H</stp>
        <tr r="G172" s="2"/>
      </tp>
      <tp t="s">
        <v>#N/A Invalid Field</v>
        <stp/>
        <stp>##V3_BDHV12</stp>
        <stp>31294KJS5 Mtge</stp>
        <stp>MTG_GEN_CPR_12M</stp>
        <stp>20090331</stp>
        <stp>20090331</stp>
        <stp>[Copy of 02_cpr_main.xlsx]data!R130C7</stp>
        <stp>Dts=H</stp>
        <tr r="G130" s="2"/>
      </tp>
      <tp t="s">
        <v>#N/A Invalid Field</v>
        <stp/>
        <stp>##V3_BDHV12</stp>
        <stp>31294KM51 Mtge</stp>
        <stp>MTG_GEN_CPR_12M</stp>
        <stp>20090331</stp>
        <stp>20090331</stp>
        <stp>[Copy of 02_cpr_main.xlsx]data!R132C7</stp>
        <stp>Dts=H</stp>
        <tr r="G132" s="2"/>
      </tp>
      <tp t="s">
        <v>#N/A Invalid Field</v>
        <stp/>
        <stp>##V3_BDHV12</stp>
        <stp>31294KLK9 Mtge</stp>
        <stp>MTG_GEN_CPR_12M</stp>
        <stp>20090331</stp>
        <stp>20090331</stp>
        <stp>[Copy of 02_cpr_main.xlsx]data!R131C7</stp>
        <stp>Dts=H</stp>
        <tr r="G131" s="2"/>
      </tp>
      <tp t="s">
        <v>#N/A Invalid Field</v>
        <stp/>
        <stp>##V3_BDHV12</stp>
        <stp>31389HN79 Mtge</stp>
        <stp>MTG_GEN_CPR_12M</stp>
        <stp>20090331</stp>
        <stp>20090331</stp>
        <stp>[Copy of 02_cpr_main.xlsx]data!R230C7</stp>
        <stp>Dts=H</stp>
        <tr r="G230" s="2"/>
      </tp>
      <tp>
        <v>209.1</v>
        <stp/>
        <stp>##V3_BDPV12</stp>
        <stp>02R050648 Mtge</stp>
        <stp xml:space="preserve">MTG_PL_PSA_3M </stp>
        <stp>[Copy of 02_cpr_main.xlsx]data!R22C14</stp>
        <tr r="N22" s="2"/>
      </tp>
      <tp>
        <v>113.4</v>
        <stp/>
        <stp>##V3_BDPV12</stp>
        <stp>02R050648 Mtge</stp>
        <stp xml:space="preserve">MTG_PL_PSA_1M </stp>
        <stp>[Copy of 02_cpr_main.xlsx]data!R22C13</stp>
        <tr r="M22" s="2"/>
      </tp>
      <tp>
        <v>165.7</v>
        <stp/>
        <stp>##V3_BDPV12</stp>
        <stp>02R050648 Mtge</stp>
        <stp xml:space="preserve">MTG_PL_PSA_6M </stp>
        <stp>[Copy of 02_cpr_main.xlsx]data!R22C15</stp>
        <tr r="O22" s="2"/>
      </tp>
      <tp t="s">
        <v>#N/A Invalid Field</v>
        <stp/>
        <stp>##V3_BDHV12</stp>
        <stp>3128JLW39 Mtge</stp>
        <stp>MTG_GEN_CPR_12M</stp>
        <stp>20090610</stp>
        <stp>20090610</stp>
        <stp>[Copy of 02_cpr_main.xlsx]data!R67C10</stp>
        <stp>Dts=H</stp>
        <tr r="J67" s="2"/>
      </tp>
      <tp t="s">
        <v>#N/A Invalid Field</v>
        <stp/>
        <stp>##V3_BDHV12</stp>
        <stp>31294KSM8 Mtge</stp>
        <stp>MTG_GEN_CPR_12M</stp>
        <stp>20090331</stp>
        <stp>20090331</stp>
        <stp>[Copy of 02_cpr_main.xlsx]data!R134C7</stp>
        <stp>Dts=H</stp>
        <tr r="G134" s="2"/>
      </tp>
      <tp t="s">
        <v>#N/A Invalid Field</v>
        <stp/>
        <stp>##V3_BDHV12</stp>
        <stp>31371KWH0 Mtge</stp>
        <stp>MTG_GEN_CPR_12M</stp>
        <stp>20090331</stp>
        <stp>20090331</stp>
        <stp>[Copy of 02_cpr_main.xlsx]data!R173C7</stp>
        <stp>Dts=H</stp>
        <tr r="G173" s="2"/>
      </tp>
      <tp t="s">
        <v>#N/A Invalid Field</v>
        <stp/>
        <stp>##V3_BDHV12</stp>
        <stp>31294KRY3 Mtge</stp>
        <stp>MTG_GEN_CPR_12M</stp>
        <stp>20090331</stp>
        <stp>20090331</stp>
        <stp>[Copy of 02_cpr_main.xlsx]data!R133C7</stp>
        <stp>Dts=H</stp>
        <tr r="G133" s="2"/>
      </tp>
      <tp t="s">
        <v>#N/A Invalid Field</v>
        <stp/>
        <stp>##V3_BDHV12</stp>
        <stp>31382KR26 Mtge</stp>
        <stp>MTG_GEN_CPR_12M</stp>
        <stp>20090331</stp>
        <stp>20090331</stp>
        <stp>[Copy of 02_cpr_main.xlsx]data!R198C7</stp>
        <stp>Dts=H</stp>
        <tr r="G198" s="2"/>
      </tp>
      <tp t="s">
        <v>#N/A Invalid Field</v>
        <stp/>
        <stp>##V3_BDHV12</stp>
        <stp>31382KQ43 Mtge</stp>
        <stp>MTG_GEN_CPR_12M</stp>
        <stp>20090331</stp>
        <stp>20090331</stp>
        <stp>[Copy of 02_cpr_main.xlsx]data!R197C7</stp>
        <stp>Dts=H</stp>
        <tr r="G197" s="2"/>
      </tp>
      <tp t="s">
        <v>#N/A Invalid Field</v>
        <stp/>
        <stp>##V3_BDHV12</stp>
        <stp>31294KZL2 Mtge</stp>
        <stp>MTG_GEN_CPR_12M</stp>
        <stp>20090331</stp>
        <stp>20090331</stp>
        <stp>[Copy of 02_cpr_main.xlsx]data!R135C7</stp>
        <stp>Dts=H</stp>
        <tr r="G135" s="2"/>
      </tp>
      <tp t="s">
        <v>#N/A Invalid Field</v>
        <stp/>
        <stp>##V3_BDHV12</stp>
        <stp>3128MB3A3 Mtge</stp>
        <stp>MTG_GEN_CPR_12M</stp>
        <stp>20090610</stp>
        <stp>20090610</stp>
        <stp>[Copy of 02_cpr_main.xlsx]data!R92C10</stp>
        <stp>Dts=H</stp>
        <tr r="J92" s="2"/>
      </tp>
      <tp t="s">
        <v>#N/A Invalid Field</v>
        <stp/>
        <stp>##V3_BDHV12</stp>
        <stp>31405H4U9 Mtge</stp>
        <stp>MTG_GEN_CPR_12M</stp>
        <stp>20090331</stp>
        <stp>20090331</stp>
        <stp>[Copy of 02_cpr_main.xlsx]data!R325C7</stp>
        <stp>Dts=H</stp>
        <tr r="G325" s="2"/>
      </tp>
      <tp t="s">
        <v>#N/A Invalid Field</v>
        <stp/>
        <stp>##V3_BDHV12</stp>
        <stp>31294J3N6 Mtge</stp>
        <stp>MTG_GEN_CPR_12M</stp>
        <stp>20090331</stp>
        <stp>20090331</stp>
        <stp>[Copy of 02_cpr_main.xlsx]data!R126C7</stp>
        <stp>Dts=H</stp>
        <tr r="G126" s="2"/>
      </tp>
      <tp t="s">
        <v>#N/A Invalid Field</v>
        <stp/>
        <stp>##V3_BDHV12</stp>
        <stp>31406H3D7 Mtge</stp>
        <stp>MTG_GEN_CPR_12M</stp>
        <stp>20090331</stp>
        <stp>20090331</stp>
        <stp>[Copy of 02_cpr_main.xlsx]data!R337C7</stp>
        <stp>Dts=H</stp>
        <tr r="G337" s="2"/>
      </tp>
      <tp t="s">
        <v>#N/A Invalid Field</v>
        <stp/>
        <stp>##V3_BDHV12</stp>
        <stp>31294J5G9 Mtge</stp>
        <stp>MTG_GEN_CPR_12M</stp>
        <stp>20090331</stp>
        <stp>20090331</stp>
        <stp>[Copy of 02_cpr_main.xlsx]data!R127C7</stp>
        <stp>Dts=H</stp>
        <tr r="G127" s="2"/>
      </tp>
      <tp t="s">
        <v>#N/A Invalid Field</v>
        <stp/>
        <stp>##V3_BDHV12</stp>
        <stp>31292J5V8 Mtge</stp>
        <stp>MTG_GEN_CPR_12M</stp>
        <stp>20090331</stp>
        <stp>20090331</stp>
        <stp>[Copy of 02_cpr_main.xlsx]data!R120C7</stp>
        <stp>Dts=H</stp>
        <tr r="G120" s="2"/>
      </tp>
      <tp t="s">
        <v>#N/A Invalid Field</v>
        <stp/>
        <stp>##V3_BDHV12</stp>
        <stp>31292J5A4 Mtge</stp>
        <stp>MTG_GEN_CPR_12M</stp>
        <stp>20090331</stp>
        <stp>20090331</stp>
        <stp>[Copy of 02_cpr_main.xlsx]data!R119C7</stp>
        <stp>Dts=H</stp>
        <tr r="G119" s="2"/>
      </tp>
      <tp t="s">
        <v>#N/A Invalid Field</v>
        <stp/>
        <stp>##V3_BDHV12</stp>
        <stp>3128QJ4M5 Mtge</stp>
        <stp>MTG_GEN_CPR_12M</stp>
        <stp>20090331</stp>
        <stp>20090331</stp>
        <stp>[Copy of 02_cpr_main.xlsx]data!R109C7</stp>
        <stp>Dts=H</stp>
        <tr r="G109" s="2"/>
      </tp>
      <tp t="s">
        <v>#N/A Invalid Field</v>
        <stp/>
        <stp>##V3_BDHV12</stp>
        <stp>3128MB5P8 Mtge</stp>
        <stp>MTG_GEN_CPR_12M</stp>
        <stp>20090610</stp>
        <stp>20090610</stp>
        <stp>[Copy of 02_cpr_main.xlsx]data!R93C10</stp>
        <stp>Dts=H</stp>
        <tr r="J93" s="2"/>
      </tp>
      <tp t="s">
        <v>#N/A Invalid Field</v>
        <stp/>
        <stp>##V3_BDHV12</stp>
        <stp>31376J2J7 Mtge</stp>
        <stp>MTG_GEN_CPR_12M</stp>
        <stp>20090331</stp>
        <stp>20090331</stp>
        <stp>[Copy of 02_cpr_main.xlsx]data!R185C7</stp>
        <stp>Dts=H</stp>
        <tr r="G185" s="2"/>
      </tp>
      <tp t="s">
        <v>#N/A Invalid Field</v>
        <stp/>
        <stp>##V3_BDHV12</stp>
        <stp>31376J2W8 Mtge</stp>
        <stp>MTG_GEN_CPR_12M</stp>
        <stp>20090331</stp>
        <stp>20090331</stp>
        <stp>[Copy of 02_cpr_main.xlsx]data!R186C7</stp>
        <stp>Dts=H</stp>
        <tr r="G186" s="2"/>
      </tp>
      <tp>
        <v>1666.7</v>
        <stp/>
        <stp>##V3_BDPV12</stp>
        <stp>31287YVT8 Mtge</stp>
        <stp xml:space="preserve">MTG_PL_PSA_3M </stp>
        <stp>[Copy of 02_cpr_main.xlsx]data!R38C14</stp>
        <tr r="N38" s="2"/>
      </tp>
      <tp>
        <v>1666.7</v>
        <stp/>
        <stp>##V3_BDPV12</stp>
        <stp>31287YVT8 Mtge</stp>
        <stp xml:space="preserve">MTG_PL_PSA_6M </stp>
        <stp>[Copy of 02_cpr_main.xlsx]data!R38C15</stp>
        <tr r="O38" s="2"/>
      </tp>
      <tp>
        <v>1666.7</v>
        <stp/>
        <stp>##V3_BDPV12</stp>
        <stp>31287YVT8 Mtge</stp>
        <stp xml:space="preserve">MTG_PL_PSA_1M </stp>
        <stp>[Copy of 02_cpr_main.xlsx]data!R38C13</stp>
        <tr r="M38" s="2"/>
      </tp>
      <tp t="s">
        <v>#N/A Invalid Field</v>
        <stp/>
        <stp>##V3_BDHV12</stp>
        <stp>3128QT7C2 Mtge</stp>
        <stp>MTG_GEN_CPR_6M</stp>
        <stp>20090331</stp>
        <stp>20090331</stp>
        <stp>[Copy of 02_cpr_main.xlsx]data!R112C6</stp>
        <stp>Dts=H</stp>
        <tr r="F112" s="2"/>
      </tp>
      <tp t="s">
        <v>#N/A Invalid Field</v>
        <stp/>
        <stp>##V3_BDHV12</stp>
        <stp>31283HRL1 Mtge</stp>
        <stp>MTG_GEN_CPR_3M</stp>
        <stp>20090610</stp>
        <stp>20090610</stp>
        <stp>[Copy of 02_cpr_main.xlsx]data!R31C8</stp>
        <stp>Dts=H</stp>
        <tr r="H31" s="2"/>
      </tp>
      <tp t="s">
        <v>#N/A Invalid Field</v>
        <stp/>
        <stp>##V3_BDHV12</stp>
        <stp>3128QHVC1 Mtge</stp>
        <stp>MTG_GEN_CPR_3M</stp>
        <stp>20090331</stp>
        <stp>20090331</stp>
        <stp>[Copy of 02_cpr_main.xlsx]data!R108C5</stp>
        <stp>Dts=H</stp>
        <tr r="E108" s="2"/>
      </tp>
      <tp t="s">
        <v>#N/A Invalid Field</v>
        <stp/>
        <stp>##V3_BDHV12</stp>
        <stp>3128QGMM1 Mtge</stp>
        <stp>MTG_GEN_CPR_3M</stp>
        <stp>20090331</stp>
        <stp>20090331</stp>
        <stp>[Copy of 02_cpr_main.xlsx]data!R107C5</stp>
        <stp>Dts=H</stp>
        <tr r="E107" s="2"/>
      </tp>
      <tp t="s">
        <v>#N/A Invalid Field</v>
        <stp/>
        <stp>##V3_BDHV12</stp>
        <stp>3128GHCL3 Mtge</stp>
        <stp>MTG_GEN_CPR_3M</stp>
        <stp>20090610</stp>
        <stp>20090610</stp>
        <stp>[Copy of 02_cpr_main.xlsx]data!R57C8</stp>
        <stp>Dts=H</stp>
        <tr r="H57" s="2"/>
      </tp>
      <tp t="s">
        <v>#N/A Invalid Field</v>
        <stp/>
        <stp>##V3_BDHV12</stp>
        <stp>3128Q2GG2 Mtge</stp>
        <stp>MTG_GEN_CPR_6M</stp>
        <stp>20090331</stp>
        <stp>20090331</stp>
        <stp>[Copy of 02_cpr_main.xlsx]data!R106C6</stp>
        <stp>Dts=H</stp>
        <tr r="F106" s="2"/>
      </tp>
      <tp t="s">
        <v>#N/A Invalid Field</v>
        <stp/>
        <stp>##V3_BDHV12</stp>
        <stp>3128M5ED8 Mtge</stp>
        <stp>MTG_GEN_CPR_3M</stp>
        <stp>20090331</stp>
        <stp>20090331</stp>
        <stp>[Copy of 02_cpr_main.xlsx]data!R86C5</stp>
        <stp>Dts=H</stp>
        <tr r="E86" s="2"/>
      </tp>
      <tp t="s">
        <v>#N/A Invalid Field</v>
        <stp/>
        <stp>##V3_BDHV12</stp>
        <stp>3128LDPL2 Mtge</stp>
        <stp>MTG_GEN_CPR_3M</stp>
        <stp>20090610</stp>
        <stp>20090610</stp>
        <stp>[Copy of 02_cpr_main.xlsx]data!R79C8</stp>
        <stp>Dts=H</stp>
        <tr r="H79" s="2"/>
      </tp>
      <tp t="s">
        <v>#N/A Invalid Field</v>
        <stp/>
        <stp>##V3_BDHV12</stp>
        <stp>3128JMHG5 Mtge</stp>
        <stp>MTG_GEN_CPR_12M</stp>
        <stp>20090610</stp>
        <stp>20090610</stp>
        <stp>[Copy of 02_cpr_main.xlsx]data!R69C10</stp>
        <stp>Dts=H</stp>
        <tr r="J69" s="2"/>
      </tp>
      <tp t="s">
        <v>#N/A Invalid Field</v>
        <stp/>
        <stp>##V3_BDHV12</stp>
        <stp>31408HJ55 Mtge</stp>
        <stp>MTG_GEN_CPR_12M</stp>
        <stp>20090331</stp>
        <stp>20090331</stp>
        <stp>[Copy of 02_cpr_main.xlsx]data!R350C7</stp>
        <stp>Dts=H</stp>
        <tr r="G350" s="2"/>
      </tp>
      <tp t="s">
        <v>#N/A Invalid Field</v>
        <stp/>
        <stp>##V3_BDHV12</stp>
        <stp>31283HLG8 Mtge</stp>
        <stp>MTG_GEN_CPR_12M</stp>
        <stp>20090610</stp>
        <stp>20090610</stp>
        <stp>[Copy of 02_cpr_main.xlsx]data!R30C10</stp>
        <stp>Dts=H</stp>
        <tr r="J30" s="2"/>
      </tp>
      <tp t="s">
        <v>#N/A Invalid Field</v>
        <stp/>
        <stp>##V3_BDHV12</stp>
        <stp>3128MBH26 Mtge</stp>
        <stp>MTG_GEN_CPR_12M</stp>
        <stp>20090610</stp>
        <stp>20090610</stp>
        <stp>[Copy of 02_cpr_main.xlsx]data!R94C10</stp>
        <stp>Dts=H</stp>
        <tr r="J94" s="2"/>
      </tp>
      <tp t="s">
        <v>#N/A Invalid Field</v>
        <stp/>
        <stp>##V3_BDHV12</stp>
        <stp>3128MBJS7 Mtge</stp>
        <stp>MTG_GEN_CPR_12M</stp>
        <stp>20090610</stp>
        <stp>20090610</stp>
        <stp>[Copy of 02_cpr_main.xlsx]data!R95C10</stp>
        <stp>Dts=H</stp>
        <tr r="J95" s="2"/>
      </tp>
      <tp t="s">
        <v>#N/A Invalid Field</v>
        <stp/>
        <stp>##V3_BDHV12</stp>
        <stp>3128JMFN2 Mtge</stp>
        <stp>MTG_GEN_CPR_12M</stp>
        <stp>20090610</stp>
        <stp>20090610</stp>
        <stp>[Copy of 02_cpr_main.xlsx]data!R68C10</stp>
        <stp>Dts=H</stp>
        <tr r="J68" s="2"/>
      </tp>
      <tp t="s">
        <v>#N/A Invalid Field</v>
        <stp/>
        <stp>##V3_BDHV12</stp>
        <stp>31283HRL1 Mtge</stp>
        <stp>MTG_GEN_CPR_12M</stp>
        <stp>20090610</stp>
        <stp>20090610</stp>
        <stp>[Copy of 02_cpr_main.xlsx]data!R31C10</stp>
        <stp>Dts=H</stp>
        <tr r="J31" s="2"/>
      </tp>
      <tp>
        <v>372.3</v>
        <stp/>
        <stp>##V3_BDPV12</stp>
        <stp>21H060648 Mtge</stp>
        <stp xml:space="preserve">MTG_PL_PSA_3M </stp>
        <stp>[Copy of 02_cpr_main.xlsx]data!R27C14</stp>
        <tr r="N27" s="2"/>
      </tp>
      <tp>
        <v>358.5</v>
        <stp/>
        <stp>##V3_BDPV12</stp>
        <stp>21H060648 Mtge</stp>
        <stp xml:space="preserve">MTG_PL_PSA_1M </stp>
        <stp>[Copy of 02_cpr_main.xlsx]data!R27C13</stp>
        <tr r="M27" s="2"/>
      </tp>
      <tp>
        <v>370.4</v>
        <stp/>
        <stp>##V3_BDPV12</stp>
        <stp>21H060648 Mtge</stp>
        <stp xml:space="preserve">MTG_PL_PSA_6M </stp>
        <stp>[Copy of 02_cpr_main.xlsx]data!R27C15</stp>
        <tr r="O27" s="2"/>
      </tp>
      <tp t="s">
        <v>#N/A Invalid Field</v>
        <stp/>
        <stp>##V3_BDHV12</stp>
        <stp>31283HWN1 Mtge</stp>
        <stp>MTG_GEN_CPR_12M</stp>
        <stp>20090610</stp>
        <stp>20090610</stp>
        <stp>[Copy of 02_cpr_main.xlsx]data!R32C10</stp>
        <stp>Dts=H</stp>
        <tr r="J32" s="2"/>
      </tp>
      <tp t="s">
        <v>#N/A Invalid Field</v>
        <stp/>
        <stp>##V3_BDHV12</stp>
        <stp>31283HWZ4 Mtge</stp>
        <stp>MTG_GEN_CPR_12M</stp>
        <stp>20090610</stp>
        <stp>20090610</stp>
        <stp>[Copy of 02_cpr_main.xlsx]data!R33C10</stp>
        <stp>Dts=H</stp>
        <tr r="J33" s="2"/>
      </tp>
      <tp t="s">
        <v>#N/A Invalid Field</v>
        <stp/>
        <stp>##V3_BDHV12</stp>
        <stp>31381JRV6 Mtge</stp>
        <stp>MTG_GEN_CPR_12M</stp>
        <stp>20090331</stp>
        <stp>20090331</stp>
        <stp>[Copy of 02_cpr_main.xlsx]data!R194C7</stp>
        <stp>Dts=H</stp>
        <tr r="G194" s="2"/>
      </tp>
      <tp t="s">
        <v>#N/A Invalid Field</v>
        <stp/>
        <stp>##V3_BDHV12</stp>
        <stp>31408HXP5 Mtge</stp>
        <stp>MTG_GEN_CPR_12M</stp>
        <stp>20090331</stp>
        <stp>20090331</stp>
        <stp>[Copy of 02_cpr_main.xlsx]data!R351C7</stp>
        <stp>Dts=H</stp>
        <tr r="G351" s="2"/>
      </tp>
      <tp t="s">
        <v>#N/A Invalid Field</v>
        <stp/>
        <stp>##V3_BDHV12</stp>
        <stp>31294JYR3 Mtge</stp>
        <stp>MTG_GEN_CPR_12M</stp>
        <stp>20090331</stp>
        <stp>20090331</stp>
        <stp>[Copy of 02_cpr_main.xlsx]data!R128C7</stp>
        <stp>Dts=H</stp>
        <tr r="G128" s="2"/>
      </tp>
      <tp t="s">
        <v>#N/A Invalid Field</v>
        <stp/>
        <stp>##V3_BDHV12</stp>
        <stp>31294JYS1 Mtge</stp>
        <stp>MTG_GEN_CPR_12M</stp>
        <stp>20090331</stp>
        <stp>20090331</stp>
        <stp>[Copy of 02_cpr_main.xlsx]data!R129C7</stp>
        <stp>Dts=H</stp>
        <tr r="G129" s="2"/>
      </tp>
      <tp t="s">
        <v>#N/A Invalid Field</v>
        <stp/>
        <stp>##V3_BDHV12</stp>
        <stp>3128MBZR1 Mtge</stp>
        <stp>MTG_GEN_CPR_12M</stp>
        <stp>20090610</stp>
        <stp>20090610</stp>
        <stp>[Copy of 02_cpr_main.xlsx]data!R96C10</stp>
        <stp>Dts=H</stp>
        <tr r="J96" s="2"/>
      </tp>
      <tp t="s">
        <v>#N/A Invalid Field</v>
        <stp/>
        <stp>##V3_BDHV12</stp>
        <stp>31384V6K3 Mtge</stp>
        <stp>MTG_GEN_CPR_12M</stp>
        <stp>20090331</stp>
        <stp>20090331</stp>
        <stp>[Copy of 02_cpr_main.xlsx]data!R208C7</stp>
        <stp>Dts=H</stp>
        <tr r="G208" s="2"/>
      </tp>
      <tp t="s">
        <v>#N/A Invalid Field</v>
        <stp/>
        <stp>##V3_BDHV12</stp>
        <stp>36290W3Y6 Mtge</stp>
        <stp>MTG_GEN_CPR_12M</stp>
        <stp>20090331</stp>
        <stp>20090331</stp>
        <stp>[Copy of 02_cpr_main.xlsx]data!R498C7</stp>
        <stp>Dts=H</stp>
        <tr r="G498" s="2"/>
      </tp>
      <tp t="s">
        <v>#N/A N/A</v>
        <stp/>
        <stp>##V3_BDPV12</stp>
        <stp>31385JD39 Mtge</stp>
        <stp>MTG_PREPAY_SPEED</stp>
        <stp>[Copy of 02_cpr_main.xlsx]data!R214C12</stp>
        <tr r="L214" s="2"/>
      </tp>
      <tp t="s">
        <v>#N/A Invalid Field</v>
        <stp/>
        <stp>##V3_BDHV12</stp>
        <stp>02R042447 Mtge</stp>
        <stp>MTG_GEN_CPR_12M</stp>
        <stp>20090331</stp>
        <stp>20090331</stp>
        <stp>[Copy of 02_cpr_main.xlsx]data!R19C7</stp>
        <stp>Dts=H</stp>
        <tr r="G19" s="2"/>
      </tp>
      <tp t="s">
        <v>#N/A Invalid Field</v>
        <stp/>
        <stp>##V3_BDHV12</stp>
        <stp>02R052446 Mtge</stp>
        <stp>MTG_GEN_CPR_12M</stp>
        <stp>20090331</stp>
        <stp>20090331</stp>
        <stp>[Copy of 02_cpr_main.xlsx]data!R23C7</stp>
        <stp>Dts=H</stp>
        <tr r="G23" s="2"/>
      </tp>
      <tp t="s">
        <v>#N/A Invalid Field</v>
        <stp/>
        <stp>##V3_BDHV12</stp>
        <stp>01F062655 Mtge</stp>
        <stp>MTG_GEN_CPR_12M</stp>
        <stp>20090331</stp>
        <stp>20090331</stp>
        <stp>[Copy of 02_cpr_main.xlsx]data!R13C7</stp>
        <stp>Dts=H</stp>
        <tr r="G13" s="2"/>
      </tp>
      <tp>
        <v>170</v>
        <stp/>
        <stp>##V3_BDPV12</stp>
        <stp>31296NA23 Mtge</stp>
        <stp>MTG_PREPAY_SPEED</stp>
        <stp>[Copy of 02_cpr_main.xlsx]data!R144C12</stp>
        <tr r="L144" s="2"/>
      </tp>
      <tp>
        <v>160</v>
        <stp/>
        <stp>##V3_BDPV12</stp>
        <stp>36225BG93 Mtge</stp>
        <stp>MTG_PREPAY_SPEED</stp>
        <stp>[Copy of 02_cpr_main.xlsx]data!R492C12</stp>
        <tr r="L492" s="2"/>
      </tp>
      <tp t="s">
        <v>#N/A Invalid Field</v>
        <stp/>
        <stp>##V3_BDHV12</stp>
        <stp>31283H4W2 Mtge</stp>
        <stp>MTG_GEN_CPR_6M</stp>
        <stp>20090610</stp>
        <stp>20090610</stp>
        <stp>[Copy of 02_cpr_main.xlsx]data!R29C9</stp>
        <stp>Dts=H</stp>
        <tr r="I29" s="2"/>
      </tp>
      <tp t="s">
        <v>#N/A Invalid Field</v>
        <stp/>
        <stp>##V3_BDHV12</stp>
        <stp>3128M4VW0 Mtge</stp>
        <stp>MTG_GEN_CPR_6M</stp>
        <stp>20090610</stp>
        <stp>20090610</stp>
        <stp>[Copy of 02_cpr_main.xlsx]data!R85C9</stp>
        <stp>Dts=H</stp>
        <tr r="I85" s="2"/>
      </tp>
      <tp t="s">
        <v>#N/A Invalid Field</v>
        <stp/>
        <stp>##V3_BDHV12</stp>
        <stp>3128MBJS7 Mtge</stp>
        <stp>MTG_GEN_CPR_3M</stp>
        <stp>20090610</stp>
        <stp>20090610</stp>
        <stp>[Copy of 02_cpr_main.xlsx]data!R95C8</stp>
        <stp>Dts=H</stp>
        <tr r="H95" s="2"/>
      </tp>
      <tp t="s">
        <v>#N/A Invalid Field</v>
        <stp/>
        <stp>##V3_BDHV12</stp>
        <stp>3128LUSW7 Mtge</stp>
        <stp>MTG_GEN_CPR_6M</stp>
        <stp>20090610</stp>
        <stp>20090610</stp>
        <stp>[Copy of 02_cpr_main.xlsx]data!R80C9</stp>
        <stp>Dts=H</stp>
        <tr r="I80" s="2"/>
      </tp>
      <tp t="s">
        <v>#N/A Invalid Field</v>
        <stp/>
        <stp>##V3_BDHV12</stp>
        <stp>3128GDQW3 Mtge</stp>
        <stp>MTG_GEN_CPR_6M</stp>
        <stp>20090610</stp>
        <stp>20090610</stp>
        <stp>[Copy of 02_cpr_main.xlsx]data!R47C9</stp>
        <stp>Dts=H</stp>
        <tr r="I47" s="2"/>
      </tp>
      <tp t="s">
        <v>#N/A Invalid Field</v>
        <stp/>
        <stp>##V3_BDHV12</stp>
        <stp>3128M6RS9 Mtge</stp>
        <stp>MTG_GEN_CPR_3M</stp>
        <stp>20090610</stp>
        <stp>20090610</stp>
        <stp>[Copy of 02_cpr_main.xlsx]data!R90C8</stp>
        <stp>Dts=H</stp>
        <tr r="H90" s="2"/>
      </tp>
      <tp t="s">
        <v>#N/A Invalid Field</v>
        <stp/>
        <stp>##V3_BDHV12</stp>
        <stp>3128KWMW0 Mtge</stp>
        <stp>MTG_GEN_CPR_6M</stp>
        <stp>20090610</stp>
        <stp>20090610</stp>
        <stp>[Copy of 02_cpr_main.xlsx]data!R75C9</stp>
        <stp>Dts=H</stp>
        <tr r="I75" s="2"/>
      </tp>
      <tp t="s">
        <v>#N/A Invalid Field</v>
        <stp/>
        <stp>##V3_BDHV12</stp>
        <stp>3128L8QS7 Mtge</stp>
        <stp>MTG_GEN_CPR_3M</stp>
        <stp>20090610</stp>
        <stp>20090610</stp>
        <stp>[Copy of 02_cpr_main.xlsx]data!R77C8</stp>
        <stp>Dts=H</stp>
        <tr r="H77" s="2"/>
      </tp>
      <tp t="s">
        <v>#N/A Invalid Field</v>
        <stp/>
        <stp>##V3_BDHV12</stp>
        <stp>3128K7DW5 Mtge</stp>
        <stp>MTG_GEN_CPR_6M</stp>
        <stp>20090610</stp>
        <stp>20090610</stp>
        <stp>[Copy of 02_cpr_main.xlsx]data!R73C9</stp>
        <stp>Dts=H</stp>
        <tr r="I73" s="2"/>
      </tp>
      <tp t="s">
        <v>#N/A Invalid Field</v>
        <stp/>
        <stp>##V3_BDHV12</stp>
        <stp>31349UFK9 Mtge</stp>
        <stp>MTG_GEN_CPR_12M</stp>
        <stp>20090331</stp>
        <stp>20090331</stp>
        <stp>[Copy of 02_cpr_main.xlsx]data!R158C7</stp>
        <stp>Dts=H</stp>
        <tr r="G158" s="2"/>
      </tp>
      <tp t="s">
        <v>#N/A Invalid Field</v>
        <stp/>
        <stp>##V3_BDHV12</stp>
        <stp>31412PEV9 Mtge</stp>
        <stp>MTG_GEN_CPR_12M</stp>
        <stp>20090331</stp>
        <stp>20090331</stp>
        <stp>[Copy of 02_cpr_main.xlsx]data!R412C7</stp>
        <stp>Dts=H</stp>
        <tr r="G412" s="2"/>
      </tp>
      <tp t="s">
        <v>#N/A Invalid Field</v>
        <stp/>
        <stp>##V3_BDHV12</stp>
        <stp>31293UAS3 Mtge</stp>
        <stp>MTG_GEN_CPR_12M</stp>
        <stp>20090331</stp>
        <stp>20090331</stp>
        <stp>[Copy of 02_cpr_main.xlsx]data!R123C7</stp>
        <stp>Dts=H</stp>
        <tr r="G123" s="2"/>
      </tp>
      <tp t="s">
        <v>#N/A Invalid Field</v>
        <stp/>
        <stp>##V3_BDHV12</stp>
        <stp>36202WGD5 Mtge</stp>
        <stp>MTG_GEN_CPR_12M</stp>
        <stp>20090331</stp>
        <stp>20090331</stp>
        <stp>[Copy of 02_cpr_main.xlsx]data!R476C7</stp>
        <stp>Dts=H</stp>
        <tr r="G476" s="2"/>
      </tp>
      <tp t="s">
        <v>#N/A Invalid Field</v>
        <stp/>
        <stp>##V3_BDHV12</stp>
        <stp>31412PBG5 Mtge</stp>
        <stp>MTG_GEN_CPR_12M</stp>
        <stp>20090331</stp>
        <stp>20090331</stp>
        <stp>[Copy of 02_cpr_main.xlsx]data!R411C7</stp>
        <stp>Dts=H</stp>
        <tr r="G411" s="2"/>
      </tp>
      <tp t="s">
        <v>#N/A Invalid Field</v>
        <stp/>
        <stp>##V3_BDHV12</stp>
        <stp>31415PGB8 Mtge</stp>
        <stp>MTG_GEN_CPR_12M</stp>
        <stp>20090331</stp>
        <stp>20090331</stp>
        <stp>[Copy of 02_cpr_main.xlsx]data!R449C7</stp>
        <stp>Dts=H</stp>
        <tr r="G449" s="2"/>
      </tp>
      <tp t="s">
        <v>#N/A Invalid Field</v>
        <stp/>
        <stp>##V3_BDHV12</stp>
        <stp>31382VHM9 Mtge</stp>
        <stp>MTG_GEN_CPR_12M</stp>
        <stp>20090331</stp>
        <stp>20090331</stp>
        <stp>[Copy of 02_cpr_main.xlsx]data!R205C7</stp>
        <stp>Dts=H</stp>
        <tr r="G205" s="2"/>
      </tp>
      <tp t="s">
        <v>#N/A Invalid Field</v>
        <stp/>
        <stp>##V3_BDHV12</stp>
        <stp>31411WA49 Mtge</stp>
        <stp>MTG_GEN_CPR_12M</stp>
        <stp>20090331</stp>
        <stp>20090331</stp>
        <stp>[Copy of 02_cpr_main.xlsx]data!R397C7</stp>
        <stp>Dts=H</stp>
        <tr r="G397" s="2"/>
      </tp>
      <tp t="s">
        <v>#N/A Invalid Field</v>
        <stp/>
        <stp>##V3_BDHV12</stp>
        <stp>31415PMH8 Mtge</stp>
        <stp>MTG_GEN_CPR_12M</stp>
        <stp>20090331</stp>
        <stp>20090331</stp>
        <stp>[Copy of 02_cpr_main.xlsx]data!R450C7</stp>
        <stp>Dts=H</stp>
        <tr r="G450" s="2"/>
      </tp>
      <tp t="s">
        <v>#N/A Invalid Field</v>
        <stp/>
        <stp>##V3_BDHV12</stp>
        <stp>36202WH69 Mtge</stp>
        <stp>MTG_GEN_CPR_12M</stp>
        <stp>20090331</stp>
        <stp>20090331</stp>
        <stp>[Copy of 02_cpr_main.xlsx]data!R477C7</stp>
        <stp>Dts=H</stp>
        <tr r="G477" s="2"/>
      </tp>
      <tp t="s">
        <v>#N/A Invalid Field</v>
        <stp/>
        <stp>##V3_BDHV12</stp>
        <stp>36200WJE2 Mtge</stp>
        <stp>MTG_GEN_CPR_12M</stp>
        <stp>20090331</stp>
        <stp>20090331</stp>
        <stp>[Copy of 02_cpr_main.xlsx]data!R470C7</stp>
        <stp>Dts=H</stp>
        <tr r="G470" s="2"/>
      </tp>
      <tp t="s">
        <v>#N/A Invalid Field</v>
        <stp/>
        <stp>##V3_BDHV12</stp>
        <stp>31384VR53 Mtge</stp>
        <stp>MTG_GEN_CPR_12M</stp>
        <stp>20090331</stp>
        <stp>20090331</stp>
        <stp>[Copy of 02_cpr_main.xlsx]data!R210C7</stp>
        <stp>Dts=H</stp>
        <tr r="G210" s="2"/>
      </tp>
      <tp t="s">
        <v>#N/A Invalid Field</v>
        <stp/>
        <stp>##V3_BDHV12</stp>
        <stp>31384VRC8 Mtge</stp>
        <stp>MTG_GEN_CPR_12M</stp>
        <stp>20090331</stp>
        <stp>20090331</stp>
        <stp>[Copy of 02_cpr_main.xlsx]data!R211C7</stp>
        <stp>Dts=H</stp>
        <tr r="G211" s="2"/>
      </tp>
      <tp t="s">
        <v>#N/A Invalid Field</v>
        <stp/>
        <stp>##V3_BDHV12</stp>
        <stp>31404WTM8 Mtge</stp>
        <stp>MTG_GEN_CPR_12M</stp>
        <stp>20090331</stp>
        <stp>20090331</stp>
        <stp>[Copy of 02_cpr_main.xlsx]data!R320C7</stp>
        <stp>Dts=H</stp>
        <tr r="G320" s="2"/>
      </tp>
      <tp t="s">
        <v>#N/A Invalid Field</v>
        <stp/>
        <stp>##V3_BDHV12</stp>
        <stp>31384VQR6 Mtge</stp>
        <stp>MTG_GEN_CPR_12M</stp>
        <stp>20090331</stp>
        <stp>20090331</stp>
        <stp>[Copy of 02_cpr_main.xlsx]data!R209C7</stp>
        <stp>Dts=H</stp>
        <tr r="G209" s="2"/>
      </tp>
      <tp t="s">
        <v>#N/A Invalid Field</v>
        <stp/>
        <stp>##V3_BDHV12</stp>
        <stp>31407WSP9 Mtge</stp>
        <stp>MTG_GEN_CPR_12M</stp>
        <stp>20090331</stp>
        <stp>20090331</stp>
        <stp>[Copy of 02_cpr_main.xlsx]data!R347C7</stp>
        <stp>Dts=H</stp>
        <tr r="G347" s="2"/>
      </tp>
      <tp t="s">
        <v>#N/A Invalid Field</v>
        <stp/>
        <stp>##V3_BDHV12</stp>
        <stp>31410WX37 Mtge</stp>
        <stp>MTG_GEN_CPR_12M</stp>
        <stp>20090331</stp>
        <stp>20090331</stp>
        <stp>[Copy of 02_cpr_main.xlsx]data!R387C7</stp>
        <stp>Dts=H</stp>
        <tr r="G387" s="2"/>
      </tp>
      <tp t="s">
        <v>#N/A Invalid Field</v>
        <stp/>
        <stp>##V3_BDHV12</stp>
        <stp>31414PTH2 Mtge</stp>
        <stp>MTG_GEN_CPR_12M</stp>
        <stp>20090331</stp>
        <stp>20090331</stp>
        <stp>[Copy of 02_cpr_main.xlsx]data!R442C7</stp>
        <stp>Dts=H</stp>
        <tr r="G442" s="2"/>
      </tp>
      <tp t="s">
        <v>#N/A Invalid Field</v>
        <stp/>
        <stp>##V3_BDHV12</stp>
        <stp>36209WQL9 Mtge</stp>
        <stp>MTG_GEN_CPR_12M</stp>
        <stp>20090331</stp>
        <stp>20090331</stp>
        <stp>[Copy of 02_cpr_main.xlsx]data!R482C7</stp>
        <stp>Dts=H</stp>
        <tr r="G482" s="2"/>
      </tp>
      <tp t="s">
        <v>#N/A Invalid Field</v>
        <stp/>
        <stp>##V3_BDHV12</stp>
        <stp>31391W6L0 Mtge</stp>
        <stp>MTG_GEN_CPR_12M</stp>
        <stp>20090331</stp>
        <stp>20090331</stp>
        <stp>[Copy of 02_cpr_main.xlsx]data!R242C7</stp>
        <stp>Dts=H</stp>
        <tr r="G242" s="2"/>
      </tp>
      <tp t="s">
        <v>#N/A Invalid Field</v>
        <stp/>
        <stp>##V3_BDHV12</stp>
        <stp>3128QT7C2 Mtge</stp>
        <stp>MTG_GEN_CPR_12M</stp>
        <stp>20090331</stp>
        <stp>20090331</stp>
        <stp>[Copy of 02_cpr_main.xlsx]data!R112C7</stp>
        <stp>Dts=H</stp>
        <tr r="G112" s="2"/>
      </tp>
      <tp t="s">
        <v>#N/A Invalid Field</v>
        <stp/>
        <stp>##V3_BDHV12</stp>
        <stp>31385W6V6 Mtge</stp>
        <stp>MTG_GEN_CPR_12M</stp>
        <stp>20090331</stp>
        <stp>20090331</stp>
        <stp>[Copy of 02_cpr_main.xlsx]data!R216C7</stp>
        <stp>Dts=H</stp>
        <tr r="G216" s="2"/>
      </tp>
      <tp t="s">
        <v>#N/A Invalid Field</v>
        <stp/>
        <stp>##V3_BDHV12</stp>
        <stp>31385W7B9 Mtge</stp>
        <stp>MTG_GEN_CPR_12M</stp>
        <stp>20090331</stp>
        <stp>20090331</stp>
        <stp>[Copy of 02_cpr_main.xlsx]data!R217C7</stp>
        <stp>Dts=H</stp>
        <tr r="G217" s="2"/>
      </tp>
      <tp t="s">
        <v>#N/A Invalid Field</v>
        <stp/>
        <stp>##V3_BDHV12</stp>
        <stp>36290V5G5 Mtge</stp>
        <stp>MTG_GEN_CPR_12M</stp>
        <stp>20090331</stp>
        <stp>20090331</stp>
        <stp>[Copy of 02_cpr_main.xlsx]data!R497C7</stp>
        <stp>Dts=H</stp>
        <tr r="G497" s="2"/>
      </tp>
      <tp t="s">
        <v>#N/A Invalid Field</v>
        <stp/>
        <stp>##V3_BDHV12</stp>
        <stp>31410V2L3 Mtge</stp>
        <stp>MTG_GEN_CPR_12M</stp>
        <stp>20090331</stp>
        <stp>20090331</stp>
        <stp>[Copy of 02_cpr_main.xlsx]data!R386C7</stp>
        <stp>Dts=H</stp>
        <tr r="G386" s="2"/>
      </tp>
      <tp t="s">
        <v>#N/A Invalid Field</v>
        <stp/>
        <stp>##V3_BDHV12</stp>
        <stp>21H052645 Mtge</stp>
        <stp>MTG_GEN_CPR_12M</stp>
        <stp>20090331</stp>
        <stp>20090331</stp>
        <stp>[Copy of 02_cpr_main.xlsx]data!R26C7</stp>
        <stp>Dts=H</stp>
        <tr r="G26" s="2"/>
      </tp>
      <tp>
        <v>186</v>
        <stp/>
        <stp>##V3_BDPV12</stp>
        <stp>31292GY34 Mtge</stp>
        <stp>MTG_PREPAY_SPEED</stp>
        <stp>[Copy of 02_cpr_main.xlsx]data!R116C12</stp>
        <tr r="L116" s="2"/>
      </tp>
      <tp t="s">
        <v>#N/A Invalid Field</v>
        <stp/>
        <stp>##V3_BDHV12</stp>
        <stp>01F060444 Mtge</stp>
        <stp>MTG_GEN_CPR_12M</stp>
        <stp>20090331</stp>
        <stp>20090331</stp>
        <stp>[Copy of 02_cpr_main.xlsx]data!R10C7</stp>
        <stp>Dts=H</stp>
        <tr r="G10" s="2"/>
      </tp>
      <tp t="s">
        <v>#N/A N/A</v>
        <stp/>
        <stp>##V3_BDPV12</stp>
        <stp>31382KR26 Mtge</stp>
        <stp>MTG_PREPAY_SPEED</stp>
        <stp>[Copy of 02_cpr_main.xlsx]data!R198C12</stp>
        <tr r="L198" s="2"/>
      </tp>
      <tp t="s">
        <v>#N/A Invalid Field</v>
        <stp/>
        <stp>##V3_BDHV12</stp>
        <stp>01F050445 Mtge</stp>
        <stp>MTG_GEN_CPR_12M</stp>
        <stp>20090610</stp>
        <stp>20090610</stp>
        <stp>[Copy of 02_cpr_main.xlsx]data!R4C10</stp>
        <stp>Dts=H</stp>
        <tr r="J4" s="2"/>
      </tp>
      <tp t="s">
        <v>#N/A Invalid Field</v>
        <stp/>
        <stp>##V3_BDHV12</stp>
        <stp>01N052657 Mtge</stp>
        <stp>MTG_GEN_CPR_12M</stp>
        <stp>20090331</stp>
        <stp>20090331</stp>
        <stp>[Copy of 02_cpr_main.xlsx]data!R15C7</stp>
        <stp>Dts=H</stp>
        <tr r="G15" s="2"/>
      </tp>
      <tp t="s">
        <v>#N/A Invalid Field</v>
        <stp/>
        <stp>##V3_BDHV12</stp>
        <stp>31283HWZ4 Mtge</stp>
        <stp>MTG_GEN_CPR_3M</stp>
        <stp>20090331</stp>
        <stp>20090331</stp>
        <stp>[Copy of 02_cpr_main.xlsx]data!R33C5</stp>
        <stp>Dts=H</stp>
        <tr r="E33" s="2"/>
      </tp>
      <tp t="s">
        <v>#N/A Invalid Field</v>
        <stp/>
        <stp>##V3_BDHV12</stp>
        <stp>3128NHUD3 Mtge</stp>
        <stp>MTG_GEN_CPR_6M</stp>
        <stp>20090331</stp>
        <stp>20090331</stp>
        <stp>[Copy of 02_cpr_main.xlsx]data!R101C6</stp>
        <stp>Dts=H</stp>
        <tr r="F101" s="2"/>
      </tp>
      <tp t="s">
        <v>#N/A Invalid Field</v>
        <stp/>
        <stp>##V3_BDHV12</stp>
        <stp>31287R2R9 Mtge</stp>
        <stp>MTG_GEN_CPR_3M</stp>
        <stp>20090610</stp>
        <stp>20090610</stp>
        <stp>[Copy of 02_cpr_main.xlsx]data!R37C8</stp>
        <stp>Dts=H</stp>
        <tr r="H37" s="2"/>
      </tp>
      <tp t="s">
        <v>#N/A Invalid Field</v>
        <stp/>
        <stp>##V3_BDHV12</stp>
        <stp>3128GDAZ3 Mtge</stp>
        <stp>MTG_GEN_CPR_3M</stp>
        <stp>20090331</stp>
        <stp>20090331</stp>
        <stp>[Copy of 02_cpr_main.xlsx]data!R44C5</stp>
        <stp>Dts=H</stp>
        <tr r="E44" s="2"/>
      </tp>
      <tp t="s">
        <v>#N/A Invalid Field</v>
        <stp/>
        <stp>##V3_BDHV12</stp>
        <stp>3128MBZR1 Mtge</stp>
        <stp>MTG_GEN_CPR_3M</stp>
        <stp>20090610</stp>
        <stp>20090610</stp>
        <stp>[Copy of 02_cpr_main.xlsx]data!R96C8</stp>
        <stp>Dts=H</stp>
        <tr r="H96" s="2"/>
      </tp>
      <tp t="s">
        <v>#N/A Invalid Field</v>
        <stp/>
        <stp>##V3_BDHV12</stp>
        <stp>3128GGEV1 Mtge</stp>
        <stp>MTG_GEN_CPR_6M</stp>
        <stp>20090610</stp>
        <stp>20090610</stp>
        <stp>[Copy of 02_cpr_main.xlsx]data!R55C9</stp>
        <stp>Dts=H</stp>
        <tr r="I55" s="2"/>
      </tp>
      <tp t="s">
        <v>#N/A Invalid Field</v>
        <stp/>
        <stp>##V3_BDHV12</stp>
        <stp>3128H33R0 Mtge</stp>
        <stp>MTG_GEN_CPR_3M</stp>
        <stp>20090610</stp>
        <stp>20090610</stp>
        <stp>[Copy of 02_cpr_main.xlsx]data!R65C8</stp>
        <stp>Dts=H</stp>
        <tr r="H65" s="2"/>
      </tp>
      <tp t="s">
        <v>#N/A Invalid Field</v>
        <stp/>
        <stp>##V3_BDHV12</stp>
        <stp>3128M6LZ9 Mtge</stp>
        <stp>MTG_GEN_CPR_3M</stp>
        <stp>20090331</stp>
        <stp>20090331</stp>
        <stp>[Copy of 02_cpr_main.xlsx]data!R88C5</stp>
        <stp>Dts=H</stp>
        <tr r="E88" s="2"/>
      </tp>
      <tp t="s">
        <v>#N/A N/A</v>
        <stp/>
        <stp>##V3_BDPV12</stp>
        <stp>3128PLP22 Mtge</stp>
        <stp>MTG_PREPAY_SPEED</stp>
        <stp>[Copy of 02_cpr_main.xlsx]data!R103C12</stp>
        <tr r="L103" s="2"/>
      </tp>
      <tp t="s">
        <v>#N/A Invalid Field</v>
        <stp/>
        <stp>##V3_BDHV12</stp>
        <stp>31283H4W2 Mtge</stp>
        <stp>MTG_GEN_CPR_12M</stp>
        <stp>20090331</stp>
        <stp>20090331</stp>
        <stp>[Copy of 02_cpr_main.xlsx]data!R29C7</stp>
        <stp>Dts=H</stp>
        <tr r="G29" s="2"/>
      </tp>
      <tp t="s">
        <v>#N/A Invalid Field</v>
        <stp/>
        <stp>##V3_BDHV12</stp>
        <stp>31402WMC9 Mtge</stp>
        <stp>MTG_GEN_CPR_12M</stp>
        <stp>20090331</stp>
        <stp>20090331</stp>
        <stp>[Copy of 02_cpr_main.xlsx]data!R290C7</stp>
        <stp>Dts=H</stp>
        <tr r="G290" s="2"/>
      </tp>
      <tp t="s">
        <v>#N/A Invalid Field</v>
        <stp/>
        <stp>##V3_BDHV12</stp>
        <stp>31405VG76 Mtge</stp>
        <stp>MTG_GEN_CPR_12M</stp>
        <stp>20090331</stp>
        <stp>20090331</stp>
        <stp>[Copy of 02_cpr_main.xlsx]data!R329C7</stp>
        <stp>Dts=H</stp>
        <tr r="G329" s="2"/>
      </tp>
      <tp t="s">
        <v>#N/A Invalid Field</v>
        <stp/>
        <stp>##V3_BDHV12</stp>
        <stp>31414QAE7 Mtge</stp>
        <stp>MTG_GEN_CPR_12M</stp>
        <stp>20090331</stp>
        <stp>20090331</stp>
        <stp>[Copy of 02_cpr_main.xlsx]data!R443C7</stp>
        <stp>Dts=H</stp>
        <tr r="G443" s="2"/>
      </tp>
      <tp t="s">
        <v>#N/A Invalid Field</v>
        <stp/>
        <stp>##V3_BDHV12</stp>
        <stp>31415QGG5 Mtge</stp>
        <stp>MTG_GEN_CPR_12M</stp>
        <stp>20090331</stp>
        <stp>20090331</stp>
        <stp>[Copy of 02_cpr_main.xlsx]data!R451C7</stp>
        <stp>Dts=H</stp>
        <tr r="G451" s="2"/>
      </tp>
      <tp t="s">
        <v>#N/A Invalid Field</v>
        <stp/>
        <stp>##V3_BDHV12</stp>
        <stp>31293TFD4 Mtge</stp>
        <stp>MTG_GEN_CPR_12M</stp>
        <stp>20090331</stp>
        <stp>20090331</stp>
        <stp>[Copy of 02_cpr_main.xlsx]data!R122C7</stp>
        <stp>Dts=H</stp>
        <tr r="G122" s="2"/>
      </tp>
      <tp t="s">
        <v>#N/A Invalid Field</v>
        <stp/>
        <stp>##V3_BDHV12</stp>
        <stp>31401WKE8 Mtge</stp>
        <stp>MTG_GEN_CPR_12M</stp>
        <stp>20090331</stp>
        <stp>20090331</stp>
        <stp>[Copy of 02_cpr_main.xlsx]data!R259C7</stp>
        <stp>Dts=H</stp>
        <tr r="G259" s="2"/>
      </tp>
      <tp t="s">
        <v>#N/A Invalid Field</v>
        <stp/>
        <stp>##V3_BDHV12</stp>
        <stp>3128JRPE0 Mtge</stp>
        <stp>MTG_GEN_CPR_12M</stp>
        <stp>20090610</stp>
        <stp>20090610</stp>
        <stp>[Copy of 02_cpr_main.xlsx]data!R71C10</stp>
        <stp>Dts=H</stp>
        <tr r="J71" s="2"/>
      </tp>
      <tp t="s">
        <v>#N/A Invalid Field</v>
        <stp/>
        <stp>##V3_BDHV12</stp>
        <stp>31406VQ74 Mtge</stp>
        <stp>MTG_GEN_CPR_12M</stp>
        <stp>20090331</stp>
        <stp>20090331</stp>
        <stp>[Copy of 02_cpr_main.xlsx]data!R340C7</stp>
        <stp>Dts=H</stp>
        <tr r="G340" s="2"/>
      </tp>
      <tp t="s">
        <v>#N/A Invalid Field</v>
        <stp/>
        <stp>##V3_BDHV12</stp>
        <stp>31413QS90 Mtge</stp>
        <stp>MTG_GEN_CPR_12M</stp>
        <stp>20090331</stp>
        <stp>20090331</stp>
        <stp>[Copy of 02_cpr_main.xlsx]data!R431C7</stp>
        <stp>Dts=H</stp>
        <tr r="G431" s="2"/>
      </tp>
      <tp t="s">
        <v>#N/A Invalid Field</v>
        <stp/>
        <stp>##V3_BDHV12</stp>
        <stp>36210VRS2 Mtge</stp>
        <stp>MTG_GEN_CPR_12M</stp>
        <stp>20090331</stp>
        <stp>20090331</stp>
        <stp>[Copy of 02_cpr_main.xlsx]data!R485C7</stp>
        <stp>Dts=H</stp>
        <tr r="G485" s="2"/>
      </tp>
      <tp t="s">
        <v>#N/A Invalid Field</v>
        <stp/>
        <stp>##V3_BDHV12</stp>
        <stp>31385WZX0 Mtge</stp>
        <stp>MTG_GEN_CPR_12M</stp>
        <stp>20090331</stp>
        <stp>20090331</stp>
        <stp>[Copy of 02_cpr_main.xlsx]data!R219C7</stp>
        <stp>Dts=H</stp>
        <tr r="G219" s="2"/>
      </tp>
      <tp t="s">
        <v>#N/A Invalid Field</v>
        <stp/>
        <stp>##V3_BDHV12</stp>
        <stp>31385WYC7 Mtge</stp>
        <stp>MTG_GEN_CPR_12M</stp>
        <stp>20090331</stp>
        <stp>20090331</stp>
        <stp>[Copy of 02_cpr_main.xlsx]data!R218C7</stp>
        <stp>Dts=H</stp>
        <tr r="G218" s="2"/>
      </tp>
      <tp t="s">
        <v>#N/A Invalid Field</v>
        <stp/>
        <stp>##V3_BDHV12</stp>
        <stp>01F052656 Mtge</stp>
        <stp>MTG_GEN_CPR_12M</stp>
        <stp>20090610</stp>
        <stp>20090610</stp>
        <stp>[Copy of 02_cpr_main.xlsx]data!R9C10</stp>
        <stp>Dts=H</stp>
        <tr r="J9" s="2"/>
      </tp>
      <tp>
        <v>115</v>
        <stp/>
        <stp>##V3_BDPV12</stp>
        <stp>31414CV88 Mtge</stp>
        <stp>MTG_PREPAY_SPEED</stp>
        <stp>[Copy of 02_cpr_main.xlsx]data!R435C12</stp>
        <tr r="L435" s="2"/>
      </tp>
      <tp>
        <v>169</v>
        <stp/>
        <stp>##V3_BDPV12</stp>
        <stp>31410XF84 Mtge</stp>
        <stp>MTG_PREPAY_SPEED</stp>
        <stp>[Copy of 02_cpr_main.xlsx]data!R388C12</stp>
        <tr r="L388" s="2"/>
      </tp>
      <tp t="s">
        <v>#N/A Invalid Field</v>
        <stp/>
        <stp>##V3_BDHV12</stp>
        <stp>02R060647 Mtge</stp>
        <stp>MTG_GEN_CPR_12M</stp>
        <stp>20090331</stp>
        <stp>20090331</stp>
        <stp>[Copy of 02_cpr_main.xlsx]data!R25C7</stp>
        <stp>Dts=H</stp>
        <tr r="G25" s="2"/>
      </tp>
      <tp t="s">
        <v>#N/A Invalid Field</v>
        <stp/>
        <stp>##V3_BDHV12</stp>
        <stp>21H060655 Mtge</stp>
        <stp>MTG_GEN_CPR_12M</stp>
        <stp>20090331</stp>
        <stp>20090331</stp>
        <stp>[Copy of 02_cpr_main.xlsx]data!R28C7</stp>
        <stp>Dts=H</stp>
        <tr r="G28" s="2"/>
      </tp>
      <tp t="s">
        <v>#N/A N/A</v>
        <stp/>
        <stp>##V3_BDPV12</stp>
        <stp>31401XU96 Mtge</stp>
        <stp>MTG_PREPAY_SPEED</stp>
        <stp>[Copy of 02_cpr_main.xlsx]data!R261C12</stp>
        <tr r="L261" s="2"/>
      </tp>
      <tp t="s">
        <v>#N/A Invalid Field</v>
        <stp/>
        <stp>##V3_BDHV12</stp>
        <stp>02R042645 Mtge</stp>
        <stp>MTG_GEN_CPR_12M</stp>
        <stp>20090331</stp>
        <stp>20090331</stp>
        <stp>[Copy of 02_cpr_main.xlsx]data!R20C7</stp>
        <stp>Dts=H</stp>
        <tr r="G20" s="2"/>
      </tp>
      <tp t="s">
        <v>#N/A Invalid Field</v>
        <stp/>
        <stp>##V3_BDHV12</stp>
        <stp>02R052644 Mtge</stp>
        <stp>MTG_GEN_CPR_12M</stp>
        <stp>20090331</stp>
        <stp>20090331</stp>
        <stp>[Copy of 02_cpr_main.xlsx]data!R24C7</stp>
        <stp>Dts=H</stp>
        <tr r="G24" s="2"/>
      </tp>
      <tp>
        <v>161</v>
        <stp/>
        <stp>##V3_BDPV12</stp>
        <stp>31414CZ84 Mtge</stp>
        <stp>MTG_PREPAY_SPEED</stp>
        <stp>[Copy of 02_cpr_main.xlsx]data!R436C12</stp>
        <tr r="L436" s="2"/>
      </tp>
      <tp t="s">
        <v>#N/A N/A</v>
        <stp/>
        <stp>##V3_BDPV12</stp>
        <stp>36206JJ96 Mtge</stp>
        <stp>MTG_PREPAY_SPEED</stp>
        <stp>[Copy of 02_cpr_main.xlsx]data!R479C12</stp>
        <tr r="L479" s="2"/>
      </tp>
      <tp>
        <v>123</v>
        <stp/>
        <stp>##V3_BDPV12</stp>
        <stp>36201YC95 Mtge</stp>
        <stp>MTG_PREPAY_SPEED</stp>
        <stp>[Copy of 02_cpr_main.xlsx]data!R474C12</stp>
        <tr r="L474" s="2"/>
      </tp>
      <tp>
        <v>161</v>
        <stp/>
        <stp>##V3_BDPV12</stp>
        <stp>31404ML97 Mtge</stp>
        <stp>MTG_PREPAY_SPEED</stp>
        <stp>[Copy of 02_cpr_main.xlsx]data!R317C12</stp>
        <tr r="L317" s="2"/>
      </tp>
      <tp t="s">
        <v>#N/A Invalid Field</v>
        <stp/>
        <stp>##V3_BDHV12</stp>
        <stp>3128NHP98 Mtge</stp>
        <stp>MTG_GEN_CPR_6M</stp>
        <stp>20090610</stp>
        <stp>20090610</stp>
        <stp>[Copy of 02_cpr_main.xlsx]data!R100C9</stp>
        <stp>Dts=H</stp>
        <tr r="I100" s="2"/>
      </tp>
      <tp t="s">
        <v>#N/A Invalid Field</v>
        <stp/>
        <stp>##V3_BDHV12</stp>
        <stp>3128NHUD3 Mtge</stp>
        <stp>MTG_GEN_CPR_3M</stp>
        <stp>20090331</stp>
        <stp>20090331</stp>
        <stp>[Copy of 02_cpr_main.xlsx]data!R101C5</stp>
        <stp>Dts=H</stp>
        <tr r="E101" s="2"/>
      </tp>
      <tp t="s">
        <v>#N/A Invalid Field</v>
        <stp/>
        <stp>##V3_BDHV12</stp>
        <stp>31283KNU8 Mtge</stp>
        <stp>MTG_GEN_CPR_6M</stp>
        <stp>20090610</stp>
        <stp>20090610</stp>
        <stp>[Copy of 02_cpr_main.xlsx]data!R35C9</stp>
        <stp>Dts=H</stp>
        <tr r="I35" s="2"/>
      </tp>
      <tp t="s">
        <v>#N/A Invalid Field</v>
        <stp/>
        <stp>##V3_BDHV12</stp>
        <stp>3128M6UU0 Mtge</stp>
        <stp>MTG_GEN_CPR_6M</stp>
        <stp>20090610</stp>
        <stp>20090610</stp>
        <stp>[Copy of 02_cpr_main.xlsx]data!R91C9</stp>
        <stp>Dts=H</stp>
        <tr r="I91" s="2"/>
      </tp>
      <tp t="s">
        <v>#N/A Invalid Field</v>
        <stp/>
        <stp>##V3_BDHV12</stp>
        <stp>3128L7UY1 Mtge</stp>
        <stp>MTG_GEN_CPR_3M</stp>
        <stp>20090331</stp>
        <stp>20090331</stp>
        <stp>[Copy of 02_cpr_main.xlsx]data!R76C5</stp>
        <stp>Dts=H</stp>
        <tr r="E76" s="2"/>
      </tp>
      <tp t="s">
        <v>#N/A Invalid Field</v>
        <stp/>
        <stp>##V3_BDHV12</stp>
        <stp>3128GDPU8 Mtge</stp>
        <stp>MTG_GEN_CPR_6M</stp>
        <stp>20090610</stp>
        <stp>20090610</stp>
        <stp>[Copy of 02_cpr_main.xlsx]data!R45C9</stp>
        <stp>Dts=H</stp>
        <tr r="I45" s="2"/>
      </tp>
      <tp t="s">
        <v>#N/A Invalid Field</v>
        <stp/>
        <stp>##V3_BDHV12</stp>
        <stp>3128KDAY1 Mtge</stp>
        <stp>MTG_GEN_CPR_3M</stp>
        <stp>20090331</stp>
        <stp>20090331</stp>
        <stp>[Copy of 02_cpr_main.xlsx]data!R74C5</stp>
        <stp>Dts=H</stp>
        <tr r="E74" s="2"/>
      </tp>
      <tp t="s">
        <v>#N/A Invalid Field</v>
        <stp/>
        <stp>##V3_BDHV12</stp>
        <stp>31283HWN1 Mtge</stp>
        <stp>MTG_GEN_CPR_12M</stp>
        <stp>20090331</stp>
        <stp>20090331</stp>
        <stp>[Copy of 02_cpr_main.xlsx]data!R32C7</stp>
        <stp>Dts=H</stp>
        <tr r="G32" s="2"/>
      </tp>
      <tp t="s">
        <v>#N/A Invalid Field</v>
        <stp/>
        <stp>##V3_BDHV12</stp>
        <stp>31283HRL1 Mtge</stp>
        <stp>MTG_GEN_CPR_12M</stp>
        <stp>20090331</stp>
        <stp>20090331</stp>
        <stp>[Copy of 02_cpr_main.xlsx]data!R31C7</stp>
        <stp>Dts=H</stp>
        <tr r="G31" s="2"/>
      </tp>
      <tp t="s">
        <v>#N/A Invalid Field</v>
        <stp/>
        <stp>##V3_BDHV12</stp>
        <stp>31404UE63 Mtge</stp>
        <stp>MTG_GEN_CPR_12M</stp>
        <stp>20090331</stp>
        <stp>20090331</stp>
        <stp>[Copy of 02_cpr_main.xlsx]data!R319C7</stp>
        <stp>Dts=H</stp>
        <tr r="G319" s="2"/>
      </tp>
      <tp t="s">
        <v>#N/A Invalid Field</v>
        <stp/>
        <stp>##V3_BDHV12</stp>
        <stp>31293WAR1 Mtge</stp>
        <stp>MTG_GEN_CPR_12M</stp>
        <stp>20090331</stp>
        <stp>20090331</stp>
        <stp>[Copy of 02_cpr_main.xlsx]data!R125C7</stp>
        <stp>Dts=H</stp>
        <tr r="G125" s="2"/>
      </tp>
      <tp t="s">
        <v>#N/A Invalid Field</v>
        <stp/>
        <stp>##V3_BDHV12</stp>
        <stp>31388TC68 Mtge</stp>
        <stp>MTG_GEN_CPR_12M</stp>
        <stp>20090331</stp>
        <stp>20090331</stp>
        <stp>[Copy of 02_cpr_main.xlsx]data!R229C7</stp>
        <stp>Dts=H</stp>
        <tr r="G229" s="2"/>
      </tp>
      <tp t="s">
        <v>#N/A Invalid Field</v>
        <stp/>
        <stp>##V3_BDHV12</stp>
        <stp>31415RFH2 Mtge</stp>
        <stp>MTG_GEN_CPR_12M</stp>
        <stp>20090331</stp>
        <stp>20090331</stp>
        <stp>[Copy of 02_cpr_main.xlsx]data!R452C7</stp>
        <stp>Dts=H</stp>
        <tr r="G452" s="2"/>
      </tp>
      <tp t="s">
        <v>#N/A Invalid Field</v>
        <stp/>
        <stp>##V3_BDHV12</stp>
        <stp>31411UDL2 Mtge</stp>
        <stp>MTG_GEN_CPR_12M</stp>
        <stp>20090331</stp>
        <stp>20090331</stp>
        <stp>[Copy of 02_cpr_main.xlsx]data!R395C7</stp>
        <stp>Dts=H</stp>
        <tr r="G395" s="2"/>
      </tp>
      <tp t="s">
        <v>#N/A Invalid Field</v>
        <stp/>
        <stp>##V3_BDHV12</stp>
        <stp>31406UL48 Mtge</stp>
        <stp>MTG_GEN_CPR_12M</stp>
        <stp>20090331</stp>
        <stp>20090331</stp>
        <stp>[Copy of 02_cpr_main.xlsx]data!R339C7</stp>
        <stp>Dts=H</stp>
        <tr r="G339" s="2"/>
      </tp>
      <tp t="s">
        <v>#N/A Invalid Field</v>
        <stp/>
        <stp>##V3_BDHV12</stp>
        <stp>31405UVD8 Mtge</stp>
        <stp>MTG_GEN_CPR_12M</stp>
        <stp>20090331</stp>
        <stp>20090331</stp>
        <stp>[Copy of 02_cpr_main.xlsx]data!R328C7</stp>
        <stp>Dts=H</stp>
        <tr r="G328" s="2"/>
      </tp>
      <tp t="s">
        <v>#N/A Invalid Field</v>
        <stp/>
        <stp>##V3_BDHV12</stp>
        <stp>31415RR30 Mtge</stp>
        <stp>MTG_GEN_CPR_12M</stp>
        <stp>20090331</stp>
        <stp>20090331</stp>
        <stp>[Copy of 02_cpr_main.xlsx]data!R453C7</stp>
        <stp>Dts=H</stp>
        <tr r="G453" s="2"/>
      </tp>
      <tp t="s">
        <v>#N/A Invalid Field</v>
        <stp/>
        <stp>##V3_BDHV12</stp>
        <stp>31382TUC1 Mtge</stp>
        <stp>MTG_GEN_CPR_12M</stp>
        <stp>20090331</stp>
        <stp>20090331</stp>
        <stp>[Copy of 02_cpr_main.xlsx]data!R204C7</stp>
        <stp>Dts=H</stp>
        <tr r="G204" s="2"/>
      </tp>
      <tp t="s">
        <v>#N/A Invalid Field</v>
        <stp/>
        <stp>##V3_BDHV12</stp>
        <stp>31382TTG4 Mtge</stp>
        <stp>MTG_GEN_CPR_12M</stp>
        <stp>20090331</stp>
        <stp>20090331</stp>
        <stp>[Copy of 02_cpr_main.xlsx]data!R203C7</stp>
        <stp>Dts=H</stp>
        <tr r="G203" s="2"/>
      </tp>
      <tp t="s">
        <v>#N/A Invalid Field</v>
        <stp/>
        <stp>##V3_BDHV12</stp>
        <stp>31402TVS1 Mtge</stp>
        <stp>MTG_GEN_CPR_12M</stp>
        <stp>20090331</stp>
        <stp>20090331</stp>
        <stp>[Copy of 02_cpr_main.xlsx]data!R288C7</stp>
        <stp>Dts=H</stp>
        <tr r="G288" s="2"/>
      </tp>
      <tp t="s">
        <v>#N/A Invalid Field</v>
        <stp/>
        <stp>##V3_BDHV12</stp>
        <stp>31411UPM7 Mtge</stp>
        <stp>MTG_GEN_CPR_12M</stp>
        <stp>20090331</stp>
        <stp>20090331</stp>
        <stp>[Copy of 02_cpr_main.xlsx]data!R396C7</stp>
        <stp>Dts=H</stp>
        <tr r="G396" s="2"/>
      </tp>
      <tp t="s">
        <v>#N/A Invalid Field</v>
        <stp/>
        <stp>##V3_BDHV12</stp>
        <stp>31410UQW5 Mtge</stp>
        <stp>MTG_GEN_CPR_12M</stp>
        <stp>20090331</stp>
        <stp>20090331</stp>
        <stp>[Copy of 02_cpr_main.xlsx]data!R385C7</stp>
        <stp>Dts=H</stp>
        <tr r="G385" s="2"/>
      </tp>
      <tp t="s">
        <v>#N/A Invalid Field</v>
        <stp/>
        <stp>##V3_BDHV12</stp>
        <stp>31380V6X9 Mtge</stp>
        <stp>MTG_GEN_CPR_12M</stp>
        <stp>20090331</stp>
        <stp>20090331</stp>
        <stp>[Copy of 02_cpr_main.xlsx]data!R193C7</stp>
        <stp>Dts=H</stp>
        <tr r="G193" s="2"/>
      </tp>
      <tp>
        <v>182</v>
        <stp/>
        <stp>##V3_BDPV12</stp>
        <stp>31409EW80 Mtge</stp>
        <stp>MTG_PREPAY_SPEED</stp>
        <stp>[Copy of 02_cpr_main.xlsx]data!R353C12</stp>
        <tr r="L353" s="2"/>
      </tp>
      <tp>
        <v>203</v>
        <stp/>
        <stp>##V3_BDPV12</stp>
        <stp>31408EN81 Mtge</stp>
        <stp>MTG_PREPAY_SPEED</stp>
        <stp>[Copy of 02_cpr_main.xlsx]data!R349C12</stp>
        <tr r="L349" s="2"/>
      </tp>
      <tp t="s">
        <v>#N/A N/A</v>
        <stp/>
        <stp>##V3_BDPV12</stp>
        <stp>36204RN87 Mtge</stp>
        <stp>MTG_PREPAY_SPEED</stp>
        <stp>[Copy of 02_cpr_main.xlsx]data!R478C12</stp>
        <tr r="L478" s="2"/>
      </tp>
      <tp>
        <v>182</v>
        <stp/>
        <stp>##V3_BDPV12</stp>
        <stp>31413QS90 Mtge</stp>
        <stp>MTG_PREPAY_SPEED</stp>
        <stp>[Copy of 02_cpr_main.xlsx]data!R431C12</stp>
        <tr r="L431" s="2"/>
      </tp>
      <tp t="s">
        <v>#N/A N/A</v>
        <stp/>
        <stp>##V3_BDPV12</stp>
        <stp>31402RR84 Mtge</stp>
        <stp>MTG_PREPAY_SPEED</stp>
        <stp>[Copy of 02_cpr_main.xlsx]data!R287C12</stp>
        <tr r="L287" s="2"/>
      </tp>
      <tp t="s">
        <v>#N/A N/A</v>
        <stp/>
        <stp>##V3_BDPV12</stp>
        <stp>31410GH97 Mtge</stp>
        <stp>MTG_PREPAY_SPEED</stp>
        <stp>[Copy of 02_cpr_main.xlsx]data!R367C12</stp>
        <tr r="L367" s="2"/>
      </tp>
      <tp t="s">
        <v>#N/A N/A</v>
        <stp/>
        <stp>##V3_BDPV12</stp>
        <stp>31405CQ85 Mtge</stp>
        <stp>MTG_PREPAY_SPEED</stp>
        <stp>[Copy of 02_cpr_main.xlsx]data!R324C12</stp>
        <tr r="L324" s="2"/>
      </tp>
      <tp t="s">
        <v>#N/A Invalid Field</v>
        <stp/>
        <stp>##V3_BDHV12</stp>
        <stp>01F040446 Mtge</stp>
        <stp>MTG_GEN_CPR_12M</stp>
        <stp>20090610</stp>
        <stp>20090610</stp>
        <stp>[Copy of 02_cpr_main.xlsx]data!R2C10</stp>
        <stp>Dts=H</stp>
        <tr r="J2" s="2"/>
      </tp>
      <tp>
        <v>182</v>
        <stp/>
        <stp>##V3_BDPV12</stp>
        <stp>31413JJ96 Mtge</stp>
        <stp>MTG_PREPAY_SPEED</stp>
        <stp>[Copy of 02_cpr_main.xlsx]data!R421C12</stp>
        <tr r="L421" s="2"/>
      </tp>
      <tp t="s">
        <v>#N/A Invalid Field</v>
        <stp/>
        <stp>##V3_BDHV12</stp>
        <stp>3128NHP98 Mtge</stp>
        <stp>MTG_GEN_CPR_3M</stp>
        <stp>20090610</stp>
        <stp>20090610</stp>
        <stp>[Copy of 02_cpr_main.xlsx]data!R100C8</stp>
        <stp>Dts=H</stp>
        <tr r="H100" s="2"/>
      </tp>
      <tp t="s">
        <v>#N/A Invalid Field</v>
        <stp/>
        <stp>##V3_BDHV12</stp>
        <stp>31287YVT8 Mtge</stp>
        <stp>MTG_GEN_CPR_6M</stp>
        <stp>20090610</stp>
        <stp>20090610</stp>
        <stp>[Copy of 02_cpr_main.xlsx]data!R38C9</stp>
        <stp>Dts=H</stp>
        <tr r="I38" s="2"/>
      </tp>
      <tp t="s">
        <v>#N/A Invalid Field</v>
        <stp/>
        <stp>##V3_BDHV12</stp>
        <stp>3128GCVT6 Mtge</stp>
        <stp>MTG_GEN_CPR_6M</stp>
        <stp>20090610</stp>
        <stp>20090610</stp>
        <stp>[Copy of 02_cpr_main.xlsx]data!R43C9</stp>
        <stp>Dts=H</stp>
        <tr r="I43" s="2"/>
      </tp>
      <tp t="s">
        <v>#N/A Invalid Field</v>
        <stp/>
        <stp>##V3_BDHV12</stp>
        <stp>3128GJFP7 Mtge</stp>
        <stp>MTG_GEN_CPR_3M</stp>
        <stp>20090610</stp>
        <stp>20090610</stp>
        <stp>[Copy of 02_cpr_main.xlsx]data!R59C8</stp>
        <stp>Dts=H</stp>
        <tr r="H59" s="2"/>
      </tp>
      <tp t="s">
        <v>#N/A Invalid Field</v>
        <stp/>
        <stp>##V3_BDHV12</stp>
        <stp>3128GDZX1 Mtge</stp>
        <stp>MTG_GEN_CPR_3M</stp>
        <stp>20090331</stp>
        <stp>20090331</stp>
        <stp>[Copy of 02_cpr_main.xlsx]data!R50C5</stp>
        <stp>Dts=H</stp>
        <tr r="E50" s="2"/>
      </tp>
      <tp t="s">
        <v>#N/A Invalid Field</v>
        <stp/>
        <stp>##V3_BDHV12</stp>
        <stp>3128M6AX6 Mtge</stp>
        <stp>MTG_GEN_CPR_3M</stp>
        <stp>20090331</stp>
        <stp>20090331</stp>
        <stp>[Copy of 02_cpr_main.xlsx]data!R87C5</stp>
        <stp>Dts=H</stp>
        <tr r="E87" s="2"/>
      </tp>
      <tp t="s">
        <v>#N/A Invalid Field</v>
        <stp/>
        <stp>##V3_BDHV12</stp>
        <stp>3128GGGX5 Mtge</stp>
        <stp>MTG_GEN_CPR_3M</stp>
        <stp>20090331</stp>
        <stp>20090331</stp>
        <stp>[Copy of 02_cpr_main.xlsx]data!R56C5</stp>
        <stp>Dts=H</stp>
        <tr r="E56" s="2"/>
      </tp>
      <tp t="s">
        <v>#N/A Invalid Field</v>
        <stp/>
        <stp>##V3_BDHV12</stp>
        <stp>3128MB5P8 Mtge</stp>
        <stp>MTG_GEN_CPR_3M</stp>
        <stp>20090610</stp>
        <stp>20090610</stp>
        <stp>[Copy of 02_cpr_main.xlsx]data!R93C8</stp>
        <stp>Dts=H</stp>
        <tr r="H93" s="2"/>
      </tp>
      <tp t="s">
        <v>#N/A Invalid Field</v>
        <stp/>
        <stp>##V3_BDHV12</stp>
        <stp>31283K3C0 Mtge</stp>
        <stp>MTG_GEN_CPR_12M</stp>
        <stp>20090331</stp>
        <stp>20090331</stp>
        <stp>[Copy of 02_cpr_main.xlsx]data!R34C7</stp>
        <stp>Dts=H</stp>
        <tr r="G34" s="2"/>
      </tp>
      <tp t="s">
        <v>#N/A Invalid Field</v>
        <stp/>
        <stp>##V3_BDHV12</stp>
        <stp>31297VFX1 Mtge</stp>
        <stp>MTG_GEN_CPR_12M</stp>
        <stp>20090331</stp>
        <stp>20090331</stp>
        <stp>[Copy of 02_cpr_main.xlsx]data!R149C7</stp>
        <stp>Dts=H</stp>
        <tr r="G149" s="2"/>
      </tp>
      <tp t="s">
        <v>#N/A Invalid Field</v>
        <stp/>
        <stp>##V3_BDHV12</stp>
        <stp>31415SCE0 Mtge</stp>
        <stp>MTG_GEN_CPR_12M</stp>
        <stp>20090331</stp>
        <stp>20090331</stp>
        <stp>[Copy of 02_cpr_main.xlsx]data!R454C7</stp>
        <stp>Dts=H</stp>
        <tr r="G454" s="2"/>
      </tp>
      <tp t="s">
        <v>#N/A Invalid Field</v>
        <stp/>
        <stp>##V3_BDHV12</stp>
        <stp>31293VCT7 Mtge</stp>
        <stp>MTG_GEN_CPR_12M</stp>
        <stp>20090331</stp>
        <stp>20090331</stp>
        <stp>[Copy of 02_cpr_main.xlsx]data!R124C7</stp>
        <stp>Dts=H</stp>
        <tr r="G124" s="2"/>
      </tp>
      <tp t="s">
        <v>#N/A Invalid Field</v>
        <stp/>
        <stp>##V3_BDHV12</stp>
        <stp>31413SCS1 Mtge</stp>
        <stp>MTG_GEN_CPR_12M</stp>
        <stp>20090331</stp>
        <stp>20090331</stp>
        <stp>[Copy of 02_cpr_main.xlsx]data!R432C7</stp>
        <stp>Dts=H</stp>
        <tr r="G432" s="2"/>
      </tp>
      <tp t="s">
        <v>#N/A Invalid Field</v>
        <stp/>
        <stp>##V3_BDHV12</stp>
        <stp>31402UHZ8 Mtge</stp>
        <stp>MTG_GEN_CPR_12M</stp>
        <stp>20090331</stp>
        <stp>20090331</stp>
        <stp>[Copy of 02_cpr_main.xlsx]data!R289C7</stp>
        <stp>Dts=H</stp>
        <tr r="G289" s="2"/>
      </tp>
      <tp t="s">
        <v>#N/A Invalid Field</v>
        <stp/>
        <stp>##V3_BDHV12</stp>
        <stp>31297VKP2 Mtge</stp>
        <stp>MTG_GEN_CPR_12M</stp>
        <stp>20090331</stp>
        <stp>20090331</stp>
        <stp>[Copy of 02_cpr_main.xlsx]data!R150C7</stp>
        <stp>Dts=H</stp>
        <tr r="G150" s="2"/>
      </tp>
      <tp t="s">
        <v>#N/A Invalid Field</v>
        <stp/>
        <stp>##V3_BDHV12</stp>
        <stp>31413SHF4 Mtge</stp>
        <stp>MTG_GEN_CPR_12M</stp>
        <stp>20090331</stp>
        <stp>20090331</stp>
        <stp>[Copy of 02_cpr_main.xlsx]data!R433C7</stp>
        <stp>Dts=H</stp>
        <tr r="G433" s="2"/>
      </tp>
      <tp t="s">
        <v>#N/A Invalid Field</v>
        <stp/>
        <stp>##V3_BDHV12</stp>
        <stp>31409TRU4 Mtge</stp>
        <stp>MTG_GEN_CPR_12M</stp>
        <stp>20090331</stp>
        <stp>20090331</stp>
        <stp>[Copy of 02_cpr_main.xlsx]data!R354C7</stp>
        <stp>Dts=H</stp>
        <tr r="G354" s="2"/>
      </tp>
      <tp t="s">
        <v>#N/A Invalid Field</v>
        <stp/>
        <stp>##V3_BDHV12</stp>
        <stp>31409TUG1 Mtge</stp>
        <stp>MTG_GEN_CPR_12M</stp>
        <stp>20090331</stp>
        <stp>20090331</stp>
        <stp>[Copy of 02_cpr_main.xlsx]data!R355C7</stp>
        <stp>Dts=H</stp>
        <tr r="G355" s="2"/>
      </tp>
      <tp t="s">
        <v>#N/A Invalid Field</v>
        <stp/>
        <stp>##V3_BDHV12</stp>
        <stp>31297VQA9 Mtge</stp>
        <stp>MTG_GEN_CPR_12M</stp>
        <stp>20090331</stp>
        <stp>20090331</stp>
        <stp>[Copy of 02_cpr_main.xlsx]data!R151C7</stp>
        <stp>Dts=H</stp>
        <tr r="G151" s="2"/>
      </tp>
      <tp t="s">
        <v>#N/A Invalid Field</v>
        <stp/>
        <stp>##V3_BDHV12</stp>
        <stp>31410TVY8 Mtge</stp>
        <stp>MTG_GEN_CPR_12M</stp>
        <stp>20090331</stp>
        <stp>20090331</stp>
        <stp>[Copy of 02_cpr_main.xlsx]data!R384C7</stp>
        <stp>Dts=H</stp>
        <tr r="G384" s="2"/>
      </tp>
      <tp t="s">
        <v>#N/A Invalid Field</v>
        <stp/>
        <stp>##V3_BDHV12</stp>
        <stp>31412T5U3 Mtge</stp>
        <stp>MTG_GEN_CPR_12M</stp>
        <stp>20090331</stp>
        <stp>20090331</stp>
        <stp>[Copy of 02_cpr_main.xlsx]data!R413C7</stp>
        <stp>Dts=H</stp>
        <tr r="G413" s="2"/>
      </tp>
      <tp t="s">
        <v>#N/A Invalid Field</v>
        <stp/>
        <stp>##V3_BDHV12</stp>
        <stp>31410S5Y9 Mtge</stp>
        <stp>MTG_GEN_CPR_12M</stp>
        <stp>20090331</stp>
        <stp>20090331</stp>
        <stp>[Copy of 02_cpr_main.xlsx]data!R383C7</stp>
        <stp>Dts=H</stp>
        <tr r="G383" s="2"/>
      </tp>
      <tp t="s">
        <v>#N/A Invalid Field</v>
        <stp/>
        <stp>##V3_BDHV12</stp>
        <stp>31379Q6J4 Mtge</stp>
        <stp>MTG_GEN_CPR_12M</stp>
        <stp>20090331</stp>
        <stp>20090331</stp>
        <stp>[Copy of 02_cpr_main.xlsx]data!R189C7</stp>
        <stp>Dts=H</stp>
        <tr r="G189" s="2"/>
      </tp>
      <tp t="s">
        <v>#N/A Invalid Field</v>
        <stp/>
        <stp>##V3_BDHV12</stp>
        <stp>01F050650 Mtge</stp>
        <stp>MTG_GEN_CPR_12M</stp>
        <stp>20090610</stp>
        <stp>20090610</stp>
        <stp>[Copy of 02_cpr_main.xlsx]data!R7C10</stp>
        <stp>Dts=H</stp>
        <tr r="J7" s="2"/>
      </tp>
      <tp>
        <v>140</v>
        <stp/>
        <stp>##V3_BDPV12</stp>
        <stp>31296MC64 Mtge</stp>
        <stp>MTG_PREPAY_SPEED</stp>
        <stp>[Copy of 02_cpr_main.xlsx]data!R143C12</stp>
        <tr r="L143" s="2"/>
      </tp>
      <tp t="s">
        <v>#N/A N/A</v>
        <stp/>
        <stp>##V3_BDPV12</stp>
        <stp>31389HN79 Mtge</stp>
        <stp>MTG_PREPAY_SPEED</stp>
        <stp>[Copy of 02_cpr_main.xlsx]data!R230C12</stp>
        <tr r="L230" s="2"/>
      </tp>
      <tp t="s">
        <v>#N/A Invalid Field</v>
        <stp/>
        <stp>##V3_BDHV12</stp>
        <stp>31283H4W2 Mtge</stp>
        <stp>MTG_GEN_CPR_3M</stp>
        <stp>20090610</stp>
        <stp>20090610</stp>
        <stp>[Copy of 02_cpr_main.xlsx]data!R29C8</stp>
        <stp>Dts=H</stp>
        <tr r="H29" s="2"/>
      </tp>
      <tp t="s">
        <v>#N/A Invalid Field</v>
        <stp/>
        <stp>##V3_BDHV12</stp>
        <stp>3128M4VW0 Mtge</stp>
        <stp>MTG_GEN_CPR_3M</stp>
        <stp>20090610</stp>
        <stp>20090610</stp>
        <stp>[Copy of 02_cpr_main.xlsx]data!R85C8</stp>
        <stp>Dts=H</stp>
        <tr r="H85" s="2"/>
      </tp>
      <tp t="s">
        <v>#N/A Invalid Field</v>
        <stp/>
        <stp>##V3_BDHV12</stp>
        <stp>3128MBJS7 Mtge</stp>
        <stp>MTG_GEN_CPR_6M</stp>
        <stp>20090610</stp>
        <stp>20090610</stp>
        <stp>[Copy of 02_cpr_main.xlsx]data!R95C9</stp>
        <stp>Dts=H</stp>
        <tr r="I95" s="2"/>
      </tp>
      <tp t="s">
        <v>#N/A Invalid Field</v>
        <stp/>
        <stp>##V3_BDHV12</stp>
        <stp>3128LUSW7 Mtge</stp>
        <stp>MTG_GEN_CPR_3M</stp>
        <stp>20090610</stp>
        <stp>20090610</stp>
        <stp>[Copy of 02_cpr_main.xlsx]data!R80C8</stp>
        <stp>Dts=H</stp>
        <tr r="H80" s="2"/>
      </tp>
      <tp t="s">
        <v>#N/A Invalid Field</v>
        <stp/>
        <stp>##V3_BDHV12</stp>
        <stp>3128GDQW3 Mtge</stp>
        <stp>MTG_GEN_CPR_3M</stp>
        <stp>20090610</stp>
        <stp>20090610</stp>
        <stp>[Copy of 02_cpr_main.xlsx]data!R47C8</stp>
        <stp>Dts=H</stp>
        <tr r="H47" s="2"/>
      </tp>
      <tp t="s">
        <v>#N/A Invalid Field</v>
        <stp/>
        <stp>##V3_BDHV12</stp>
        <stp>3128L7UY1 Mtge</stp>
        <stp>MTG_GEN_CPR_6M</stp>
        <stp>20090331</stp>
        <stp>20090331</stp>
        <stp>[Copy of 02_cpr_main.xlsx]data!R76C6</stp>
        <stp>Dts=H</stp>
        <tr r="F76" s="2"/>
      </tp>
      <tp t="s">
        <v>#N/A Invalid Field</v>
        <stp/>
        <stp>##V3_BDHV12</stp>
        <stp>3128M6RS9 Mtge</stp>
        <stp>MTG_GEN_CPR_6M</stp>
        <stp>20090610</stp>
        <stp>20090610</stp>
        <stp>[Copy of 02_cpr_main.xlsx]data!R90C9</stp>
        <stp>Dts=H</stp>
        <tr r="I90" s="2"/>
      </tp>
      <tp t="s">
        <v>#N/A Invalid Field</v>
        <stp/>
        <stp>##V3_BDHV12</stp>
        <stp>3128KWMW0 Mtge</stp>
        <stp>MTG_GEN_CPR_3M</stp>
        <stp>20090610</stp>
        <stp>20090610</stp>
        <stp>[Copy of 02_cpr_main.xlsx]data!R75C8</stp>
        <stp>Dts=H</stp>
        <tr r="H75" s="2"/>
      </tp>
      <tp t="s">
        <v>#N/A Invalid Field</v>
        <stp/>
        <stp>##V3_BDHV12</stp>
        <stp>3128L8QS7 Mtge</stp>
        <stp>MTG_GEN_CPR_6M</stp>
        <stp>20090610</stp>
        <stp>20090610</stp>
        <stp>[Copy of 02_cpr_main.xlsx]data!R77C9</stp>
        <stp>Dts=H</stp>
        <tr r="I77" s="2"/>
      </tp>
      <tp t="s">
        <v>#N/A Invalid Field</v>
        <stp/>
        <stp>##V3_BDHV12</stp>
        <stp>3128KDAY1 Mtge</stp>
        <stp>MTG_GEN_CPR_6M</stp>
        <stp>20090331</stp>
        <stp>20090331</stp>
        <stp>[Copy of 02_cpr_main.xlsx]data!R74C6</stp>
        <stp>Dts=H</stp>
        <tr r="F74" s="2"/>
      </tp>
      <tp t="s">
        <v>#N/A Invalid Field</v>
        <stp/>
        <stp>##V3_BDHV12</stp>
        <stp>3128K7DW5 Mtge</stp>
        <stp>MTG_GEN_CPR_3M</stp>
        <stp>20090610</stp>
        <stp>20090610</stp>
        <stp>[Copy of 02_cpr_main.xlsx]data!R73C8</stp>
        <stp>Dts=H</stp>
        <tr r="H73" s="2"/>
      </tp>
      <tp t="s">
        <v>#N/A Invalid Field</v>
        <stp/>
        <stp>##V3_BDHV12</stp>
        <stp>31402RLV9 Mtge</stp>
        <stp>MTG_GEN_CPR_12M</stp>
        <stp>20090331</stp>
        <stp>20090331</stp>
        <stp>[Copy of 02_cpr_main.xlsx]data!R286C7</stp>
        <stp>Dts=H</stp>
        <tr r="G286" s="2"/>
      </tp>
      <tp t="s">
        <v>#N/A Invalid Field</v>
        <stp/>
        <stp>##V3_BDHV12</stp>
        <stp>31402RBX6 Mtge</stp>
        <stp>MTG_GEN_CPR_12M</stp>
        <stp>20090331</stp>
        <stp>20090331</stp>
        <stp>[Copy of 02_cpr_main.xlsx]data!R279C7</stp>
        <stp>Dts=H</stp>
        <tr r="G279" s="2"/>
      </tp>
      <tp t="s">
        <v>#N/A Invalid Field</v>
        <stp/>
        <stp>##V3_BDHV12</stp>
        <stp>31391REW8 Mtge</stp>
        <stp>MTG_GEN_CPR_12M</stp>
        <stp>20090331</stp>
        <stp>20090331</stp>
        <stp>[Copy of 02_cpr_main.xlsx]data!R241C7</stp>
        <stp>Dts=H</stp>
        <tr r="G241" s="2"/>
      </tp>
      <tp t="s">
        <v>#N/A Invalid Field</v>
        <stp/>
        <stp>##V3_BDHV12</stp>
        <stp>31411SNF9 Mtge</stp>
        <stp>MTG_GEN_CPR_12M</stp>
        <stp>20090331</stp>
        <stp>20090331</stp>
        <stp>[Copy of 02_cpr_main.xlsx]data!R394C7</stp>
        <stp>Dts=H</stp>
        <tr r="G394" s="2"/>
      </tp>
      <tp t="s">
        <v>#N/A Invalid Field</v>
        <stp/>
        <stp>##V3_BDHV12</stp>
        <stp>31402RH28 Mtge</stp>
        <stp>MTG_GEN_CPR_12M</stp>
        <stp>20090331</stp>
        <stp>20090331</stp>
        <stp>[Copy of 02_cpr_main.xlsx]data!R284C7</stp>
        <stp>Dts=H</stp>
        <tr r="G284" s="2"/>
      </tp>
      <tp t="s">
        <v>#N/A Invalid Field</v>
        <stp/>
        <stp>##V3_BDHV12</stp>
        <stp>3128LXDE7 Mtge</stp>
        <stp>MTG_GEN_CPR_12M</stp>
        <stp>20090610</stp>
        <stp>20090610</stp>
        <stp>[Copy of 02_cpr_main.xlsx]data!R81C10</stp>
        <stp>Dts=H</stp>
        <tr r="J81" s="2"/>
      </tp>
      <tp t="s">
        <v>#N/A Invalid Field</v>
        <stp/>
        <stp>##V3_BDHV12</stp>
        <stp>3128GVEA4 Mtge</stp>
        <stp>MTG_GEN_CPR_12M</stp>
        <stp>20090610</stp>
        <stp>20090610</stp>
        <stp>[Copy of 02_cpr_main.xlsx]data!R61C10</stp>
        <stp>Dts=H</stp>
        <tr r="J61" s="2"/>
      </tp>
      <tp t="s">
        <v>#N/A Invalid Field</v>
        <stp/>
        <stp>##V3_BDHV12</stp>
        <stp>31402RJL4 Mtge</stp>
        <stp>MTG_GEN_CPR_12M</stp>
        <stp>20090331</stp>
        <stp>20090331</stp>
        <stp>[Copy of 02_cpr_main.xlsx]data!R285C7</stp>
        <stp>Dts=H</stp>
        <tr r="G285" s="2"/>
      </tp>
      <tp t="s">
        <v>#N/A Invalid Field</v>
        <stp/>
        <stp>##V3_BDHV12</stp>
        <stp>31415TF70 Mtge</stp>
        <stp>MTG_GEN_CPR_12M</stp>
        <stp>20090331</stp>
        <stp>20090331</stp>
        <stp>[Copy of 02_cpr_main.xlsx]data!R455C7</stp>
        <stp>Dts=H</stp>
        <tr r="G455" s="2"/>
      </tp>
      <tp t="s">
        <v>#N/A Invalid Field</v>
        <stp/>
        <stp>##V3_BDHV12</stp>
        <stp>36202SBN7 Mtge</stp>
        <stp>MTG_GEN_CPR_12M</stp>
        <stp>20090331</stp>
        <stp>20090331</stp>
        <stp>[Copy of 02_cpr_main.xlsx]data!R475C7</stp>
        <stp>Dts=H</stp>
        <tr r="G475" s="2"/>
      </tp>
      <tp t="s">
        <v>#N/A Invalid Field</v>
        <stp/>
        <stp>##V3_BDHV12</stp>
        <stp>31402RD30 Mtge</stp>
        <stp>MTG_GEN_CPR_12M</stp>
        <stp>20090331</stp>
        <stp>20090331</stp>
        <stp>[Copy of 02_cpr_main.xlsx]data!R281C7</stp>
        <stp>Dts=H</stp>
        <tr r="G281" s="2"/>
      </tp>
      <tp t="s">
        <v>#N/A Invalid Field</v>
        <stp/>
        <stp>##V3_BDHV12</stp>
        <stp>3128KWMW0 Mtge</stp>
        <stp>MTG_GEN_CPR_12M</stp>
        <stp>20090610</stp>
        <stp>20090610</stp>
        <stp>[Copy of 02_cpr_main.xlsx]data!R75C10</stp>
        <stp>Dts=H</stp>
        <tr r="J75" s="2"/>
      </tp>
      <tp t="s">
        <v>#N/A Invalid Field</v>
        <stp/>
        <stp>##V3_BDHV12</stp>
        <stp>31402REL9 Mtge</stp>
        <stp>MTG_GEN_CPR_12M</stp>
        <stp>20090331</stp>
        <stp>20090331</stp>
        <stp>[Copy of 02_cpr_main.xlsx]data!R282C7</stp>
        <stp>Dts=H</stp>
        <tr r="G282" s="2"/>
      </tp>
      <tp t="s">
        <v>#N/A Invalid Field</v>
        <stp/>
        <stp>##V3_BDHV12</stp>
        <stp>31379QA67 Mtge</stp>
        <stp>MTG_GEN_CPR_12M</stp>
        <stp>20090331</stp>
        <stp>20090331</stp>
        <stp>[Copy of 02_cpr_main.xlsx]data!R190C7</stp>
        <stp>Dts=H</stp>
        <tr r="G190" s="2"/>
      </tp>
      <tp t="s">
        <v>#N/A Invalid Field</v>
        <stp/>
        <stp>##V3_BDHV12</stp>
        <stp>31402RGU7 Mtge</stp>
        <stp>MTG_GEN_CPR_12M</stp>
        <stp>20090331</stp>
        <stp>20090331</stp>
        <stp>[Copy of 02_cpr_main.xlsx]data!R283C7</stp>
        <stp>Dts=H</stp>
        <tr r="G283" s="2"/>
      </tp>
      <tp t="s">
        <v>#N/A Invalid Field</v>
        <stp/>
        <stp>##V3_BDHV12</stp>
        <stp>31415TLM0 Mtge</stp>
        <stp>MTG_GEN_CPR_12M</stp>
        <stp>20090331</stp>
        <stp>20090331</stp>
        <stp>[Copy of 02_cpr_main.xlsx]data!R456C7</stp>
        <stp>Dts=H</stp>
        <tr r="G456" s="2"/>
      </tp>
      <tp t="s">
        <v>#N/A Invalid Field</v>
        <stp/>
        <stp>##V3_BDHV12</stp>
        <stp>31414TNR8 Mtge</stp>
        <stp>MTG_GEN_CPR_12M</stp>
        <stp>20090331</stp>
        <stp>20090331</stp>
        <stp>[Copy of 02_cpr_main.xlsx]data!R444C7</stp>
        <stp>Dts=H</stp>
        <tr r="G444" s="2"/>
      </tp>
      <tp t="s">
        <v>#N/A Invalid Field</v>
        <stp/>
        <stp>##V3_BDHV12</stp>
        <stp>31400RNS6 Mtge</stp>
        <stp>MTG_GEN_CPR_12M</stp>
        <stp>20090331</stp>
        <stp>20090331</stp>
        <stp>[Copy of 02_cpr_main.xlsx]data!R249C7</stp>
        <stp>Dts=H</stp>
        <tr r="G249" s="2"/>
      </tp>
      <tp t="s">
        <v>#N/A Invalid Field</v>
        <stp/>
        <stp>##V3_BDHV12</stp>
        <stp>31402RCV9 Mtge</stp>
        <stp>MTG_GEN_CPR_12M</stp>
        <stp>20090331</stp>
        <stp>20090331</stp>
        <stp>[Copy of 02_cpr_main.xlsx]data!R280C7</stp>
        <stp>Dts=H</stp>
        <tr r="G280" s="2"/>
      </tp>
      <tp t="s">
        <v>#N/A Invalid Field</v>
        <stp/>
        <stp>##V3_BDHV12</stp>
        <stp>31382RRH8 Mtge</stp>
        <stp>MTG_GEN_CPR_12M</stp>
        <stp>20090331</stp>
        <stp>20090331</stp>
        <stp>[Copy of 02_cpr_main.xlsx]data!R202C7</stp>
        <stp>Dts=H</stp>
        <tr r="G202" s="2"/>
      </tp>
      <tp t="s">
        <v>#N/A Invalid Field</v>
        <stp/>
        <stp>##V3_BDHV12</stp>
        <stp>31414TSB8 Mtge</stp>
        <stp>MTG_GEN_CPR_12M</stp>
        <stp>20090331</stp>
        <stp>20090331</stp>
        <stp>[Copy of 02_cpr_main.xlsx]data!R445C7</stp>
        <stp>Dts=H</stp>
        <tr r="G445" s="2"/>
      </tp>
      <tp t="s">
        <v>#N/A Invalid Field</v>
        <stp/>
        <stp>##V3_BDHV12</stp>
        <stp>31400RV24 Mtge</stp>
        <stp>MTG_GEN_CPR_12M</stp>
        <stp>20090331</stp>
        <stp>20090331</stp>
        <stp>[Copy of 02_cpr_main.xlsx]data!R250C7</stp>
        <stp>Dts=H</stp>
        <tr r="G250" s="2"/>
      </tp>
      <tp t="s">
        <v>#N/A Invalid Field</v>
        <stp/>
        <stp>##V3_BDHV12</stp>
        <stp>36201SRB7 Mtge</stp>
        <stp>MTG_GEN_CPR_12M</stp>
        <stp>20090331</stp>
        <stp>20090331</stp>
        <stp>[Copy of 02_cpr_main.xlsx]data!R473C7</stp>
        <stp>Dts=H</stp>
        <tr r="G473" s="2"/>
      </tp>
      <tp t="s">
        <v>#N/A Invalid Field</v>
        <stp/>
        <stp>##V3_BDHV12</stp>
        <stp>31400RXM8 Mtge</stp>
        <stp>MTG_GEN_CPR_12M</stp>
        <stp>20090331</stp>
        <stp>20090331</stp>
        <stp>[Copy of 02_cpr_main.xlsx]data!R251C7</stp>
        <stp>Dts=H</stp>
        <tr r="G251" s="2"/>
      </tp>
      <tp t="s">
        <v>#N/A Invalid Field</v>
        <stp/>
        <stp>##V3_BDHV12</stp>
        <stp>31402RR84 Mtge</stp>
        <stp>MTG_GEN_CPR_12M</stp>
        <stp>20090331</stp>
        <stp>20090331</stp>
        <stp>[Copy of 02_cpr_main.xlsx]data!R287C7</stp>
        <stp>Dts=H</stp>
        <tr r="G287" s="2"/>
      </tp>
      <tp t="s">
        <v>#N/A Invalid Field</v>
        <stp/>
        <stp>##V3_BDHV12</stp>
        <stp>31403R4H8 Mtge</stp>
        <stp>MTG_GEN_CPR_12M</stp>
        <stp>20090331</stp>
        <stp>20090331</stp>
        <stp>[Copy of 02_cpr_main.xlsx]data!R311C7</stp>
        <stp>Dts=H</stp>
        <tr r="G311" s="2"/>
      </tp>
      <tp t="s">
        <v>#N/A Invalid Field</v>
        <stp/>
        <stp>##V3_BDHV12</stp>
        <stp>36200R6U1 Mtge</stp>
        <stp>MTG_GEN_CPR_12M</stp>
        <stp>20090331</stp>
        <stp>20090331</stp>
        <stp>[Copy of 02_cpr_main.xlsx]data!R469C7</stp>
        <stp>Dts=H</stp>
        <tr r="G469" s="2"/>
      </tp>
      <tp t="s">
        <v>#N/A Invalid Field</v>
        <stp/>
        <stp>##V3_BDHV12</stp>
        <stp>31287R2R9 Mtge</stp>
        <stp>MTG_GEN_CPR_12M</stp>
        <stp>20090610</stp>
        <stp>20090610</stp>
        <stp>[Copy of 02_cpr_main.xlsx]data!R37C10</stp>
        <stp>Dts=H</stp>
        <tr r="J37" s="2"/>
      </tp>
      <tp t="s">
        <v>#N/A Invalid Field</v>
        <stp/>
        <stp>##V3_BDHV12</stp>
        <stp>31403R3B2 Mtge</stp>
        <stp>MTG_GEN_CPR_12M</stp>
        <stp>20090331</stp>
        <stp>20090331</stp>
        <stp>[Copy of 02_cpr_main.xlsx]data!R310C7</stp>
        <stp>Dts=H</stp>
        <tr r="G310" s="2"/>
      </tp>
      <tp t="s">
        <v>#N/A Invalid Field</v>
        <stp/>
        <stp>##V3_BDHV12</stp>
        <stp>31403R2E7 Mtge</stp>
        <stp>MTG_GEN_CPR_12M</stp>
        <stp>20090331</stp>
        <stp>20090331</stp>
        <stp>[Copy of 02_cpr_main.xlsx]data!R309C7</stp>
        <stp>Dts=H</stp>
        <tr r="G309" s="2"/>
      </tp>
      <tp t="s">
        <v>#N/A Invalid Field</v>
        <stp/>
        <stp>##V3_BDHV12</stp>
        <stp>01F052441 Mtge</stp>
        <stp>MTG_GEN_CPR_12M</stp>
        <stp>20090610</stp>
        <stp>20090610</stp>
        <stp>[Copy of 02_cpr_main.xlsx]data!R8C10</stp>
        <stp>Dts=H</stp>
        <tr r="J8" s="2"/>
      </tp>
      <tp t="s">
        <v>#N/A N/A</v>
        <stp/>
        <stp>##V3_BDPV12</stp>
        <stp>31371MB97 Mtge</stp>
        <stp>MTG_PREPAY_SPEED</stp>
        <stp>[Copy of 02_cpr_main.xlsx]data!R177C12</stp>
        <tr r="L177" s="2"/>
      </tp>
      <tp t="s">
        <v>#N/A Invalid Field</v>
        <stp/>
        <stp>##V3_BDHV12</stp>
        <stp>01N060650 Mtge</stp>
        <stp>MTG_GEN_CPR_12M</stp>
        <stp>20090331</stp>
        <stp>20090331</stp>
        <stp>[Copy of 02_cpr_main.xlsx]data!R17C7</stp>
        <stp>Dts=H</stp>
        <tr r="G17" s="2"/>
      </tp>
      <tp t="s">
        <v>#N/A N/A</v>
        <stp/>
        <stp>##V3_BDPV12</stp>
        <stp>31388TC68 Mtge</stp>
        <stp>MTG_PREPAY_SPEED</stp>
        <stp>[Copy of 02_cpr_main.xlsx]data!R229C12</stp>
        <tr r="L229" s="2"/>
      </tp>
      <tp t="s">
        <v>#N/A Invalid Field</v>
        <stp/>
        <stp>##V3_BDHV12</stp>
        <stp>01F042640 Mtge</stp>
        <stp>MTG_GEN_CPR_12M</stp>
        <stp>20090610</stp>
        <stp>20090610</stp>
        <stp>[Copy of 02_cpr_main.xlsx]data!R3C10</stp>
        <stp>Dts=H</stp>
        <tr r="J3" s="2"/>
      </tp>
      <tp t="s">
        <v>#N/A Invalid Field</v>
        <stp/>
        <stp>##V3_BDHV12</stp>
        <stp>31287R2R9 Mtge</stp>
        <stp>MTG_GEN_CPR_6M</stp>
        <stp>20090610</stp>
        <stp>20090610</stp>
        <stp>[Copy of 02_cpr_main.xlsx]data!R37C9</stp>
        <stp>Dts=H</stp>
        <tr r="I37" s="2"/>
      </tp>
      <tp t="s">
        <v>#N/A Invalid Field</v>
        <stp/>
        <stp>##V3_BDHV12</stp>
        <stp>3128MBZR1 Mtge</stp>
        <stp>MTG_GEN_CPR_6M</stp>
        <stp>20090610</stp>
        <stp>20090610</stp>
        <stp>[Copy of 02_cpr_main.xlsx]data!R96C9</stp>
        <stp>Dts=H</stp>
        <tr r="I96" s="2"/>
      </tp>
      <tp t="s">
        <v>#N/A Invalid Field</v>
        <stp/>
        <stp>##V3_BDHV12</stp>
        <stp>3128GDZX1 Mtge</stp>
        <stp>MTG_GEN_CPR_6M</stp>
        <stp>20090331</stp>
        <stp>20090331</stp>
        <stp>[Copy of 02_cpr_main.xlsx]data!R50C6</stp>
        <stp>Dts=H</stp>
        <tr r="F50" s="2"/>
      </tp>
      <tp t="s">
        <v>#N/A Invalid Field</v>
        <stp/>
        <stp>##V3_BDHV12</stp>
        <stp>3128M6AX6 Mtge</stp>
        <stp>MTG_GEN_CPR_6M</stp>
        <stp>20090331</stp>
        <stp>20090331</stp>
        <stp>[Copy of 02_cpr_main.xlsx]data!R87C6</stp>
        <stp>Dts=H</stp>
        <tr r="F87" s="2"/>
      </tp>
      <tp t="s">
        <v>#N/A Invalid Field</v>
        <stp/>
        <stp>##V3_BDHV12</stp>
        <stp>3128GGEV1 Mtge</stp>
        <stp>MTG_GEN_CPR_3M</stp>
        <stp>20090610</stp>
        <stp>20090610</stp>
        <stp>[Copy of 02_cpr_main.xlsx]data!R55C8</stp>
        <stp>Dts=H</stp>
        <tr r="H55" s="2"/>
      </tp>
      <tp t="s">
        <v>#N/A Invalid Field</v>
        <stp/>
        <stp>##V3_BDHV12</stp>
        <stp>3128GGGX5 Mtge</stp>
        <stp>MTG_GEN_CPR_6M</stp>
        <stp>20090331</stp>
        <stp>20090331</stp>
        <stp>[Copy of 02_cpr_main.xlsx]data!R56C6</stp>
        <stp>Dts=H</stp>
        <tr r="F56" s="2"/>
      </tp>
      <tp t="s">
        <v>#N/A Invalid Field</v>
        <stp/>
        <stp>##V3_BDHV12</stp>
        <stp>3128H33R0 Mtge</stp>
        <stp>MTG_GEN_CPR_6M</stp>
        <stp>20090610</stp>
        <stp>20090610</stp>
        <stp>[Copy of 02_cpr_main.xlsx]data!R65C9</stp>
        <stp>Dts=H</stp>
        <tr r="I65" s="2"/>
      </tp>
      <tp t="s">
        <v>#N/A Invalid Field</v>
        <stp/>
        <stp>##V3_BDHV12</stp>
        <stp>3128PPAS2 Mtge</stp>
        <stp>MTG_GEN_CPR_12M</stp>
        <stp>20090331</stp>
        <stp>20090331</stp>
        <stp>[Copy of 02_cpr_main.xlsx]data!R105C7</stp>
        <stp>Dts=H</stp>
        <tr r="G105" s="2"/>
      </tp>
      <tp t="s">
        <v>#N/A Invalid Field</v>
        <stp/>
        <stp>##V3_BDHV12</stp>
        <stp>3128PPAR4 Mtge</stp>
        <stp>MTG_GEN_CPR_12M</stp>
        <stp>20090331</stp>
        <stp>20090331</stp>
        <stp>[Copy of 02_cpr_main.xlsx]data!R104C7</stp>
        <stp>Dts=H</stp>
        <tr r="G104" s="2"/>
      </tp>
      <tp t="s">
        <v>#N/A Invalid Field</v>
        <stp/>
        <stp>##V3_BDHV12</stp>
        <stp>3128GWF37 Mtge</stp>
        <stp>MTG_GEN_CPR_12M</stp>
        <stp>20090610</stp>
        <stp>20090610</stp>
        <stp>[Copy of 02_cpr_main.xlsx]data!R63C10</stp>
        <stp>Dts=H</stp>
        <tr r="J63" s="2"/>
      </tp>
      <tp t="s">
        <v>#N/A Invalid Field</v>
        <stp/>
        <stp>##V3_BDHV12</stp>
        <stp>3128GWD39 Mtge</stp>
        <stp>MTG_GEN_CPR_12M</stp>
        <stp>20090610</stp>
        <stp>20090610</stp>
        <stp>[Copy of 02_cpr_main.xlsx]data!R62C10</stp>
        <stp>Dts=H</stp>
        <tr r="J62" s="2"/>
      </tp>
      <tp t="s">
        <v>#N/A Invalid Field</v>
        <stp/>
        <stp>##V3_BDHV12</stp>
        <stp>3128CUHK5 Mtge</stp>
        <stp>MTG_GEN_CPR_12M</stp>
        <stp>20090610</stp>
        <stp>20090610</stp>
        <stp>[Copy of 02_cpr_main.xlsx]data!R41C10</stp>
        <stp>Dts=H</stp>
        <tr r="J41" s="2"/>
      </tp>
      <tp t="s">
        <v>#N/A Invalid Field</v>
        <stp/>
        <stp>##V3_BDHV12</stp>
        <stp>31390SJ85 Mtge</stp>
        <stp>MTG_GEN_CPR_12M</stp>
        <stp>20090331</stp>
        <stp>20090331</stp>
        <stp>[Copy of 02_cpr_main.xlsx]data!R235C7</stp>
        <stp>Dts=H</stp>
        <tr r="G235" s="2"/>
      </tp>
      <tp t="s">
        <v>#N/A Invalid Field</v>
        <stp/>
        <stp>##V3_BDHV12</stp>
        <stp>36204RN87 Mtge</stp>
        <stp>MTG_GEN_CPR_12M</stp>
        <stp>20090331</stp>
        <stp>20090331</stp>
        <stp>[Copy of 02_cpr_main.xlsx]data!R478C7</stp>
        <stp>Dts=H</stp>
        <tr r="G478" s="2"/>
      </tp>
      <tp t="s">
        <v>#N/A Invalid Field</v>
        <stp/>
        <stp>##V3_BDHV12</stp>
        <stp>31411RCQ9 Mtge</stp>
        <stp>MTG_GEN_CPR_12M</stp>
        <stp>20090331</stp>
        <stp>20090331</stp>
        <stp>[Copy of 02_cpr_main.xlsx]data!R393C7</stp>
        <stp>Dts=H</stp>
        <tr r="G393" s="2"/>
      </tp>
      <tp t="s">
        <v>#N/A Invalid Field</v>
        <stp/>
        <stp>##V3_BDHV12</stp>
        <stp>31413UWD7 Mtge</stp>
        <stp>MTG_GEN_CPR_12M</stp>
        <stp>20090331</stp>
        <stp>20090331</stp>
        <stp>[Copy of 02_cpr_main.xlsx]data!R434C7</stp>
        <stp>Dts=H</stp>
        <tr r="G434" s="2"/>
      </tp>
      <tp t="s">
        <v>#N/A Invalid Field</v>
        <stp/>
        <stp>##V3_BDHV12</stp>
        <stp>31407RVA9 Mtge</stp>
        <stp>MTG_GEN_CPR_12M</stp>
        <stp>20090331</stp>
        <stp>20090331</stp>
        <stp>[Copy of 02_cpr_main.xlsx]data!R346C7</stp>
        <stp>Dts=H</stp>
        <tr r="G346" s="2"/>
      </tp>
      <tp t="s">
        <v>#N/A Invalid Field</v>
        <stp/>
        <stp>##V3_BDHV12</stp>
        <stp>31410RP29 Mtge</stp>
        <stp>MTG_GEN_CPR_12M</stp>
        <stp>20090331</stp>
        <stp>20090331</stp>
        <stp>[Copy of 02_cpr_main.xlsx]data!R382C7</stp>
        <stp>Dts=H</stp>
        <tr r="G382" s="2"/>
      </tp>
      <tp t="s">
        <v>#N/A Invalid Field</v>
        <stp/>
        <stp>##V3_BDHV12</stp>
        <stp>3128GWX78 Mtge</stp>
        <stp>MTG_GEN_CPR_12M</stp>
        <stp>20090610</stp>
        <stp>20090610</stp>
        <stp>[Copy of 02_cpr_main.xlsx]data!R64C10</stp>
        <stp>Dts=H</stp>
        <tr r="J64" s="2"/>
      </tp>
      <tp t="s">
        <v>#N/A Invalid Field</v>
        <stp/>
        <stp>##V3_BDHV12</stp>
        <stp>3128QS6G6 Mtge</stp>
        <stp>MTG_GEN_CPR_12M</stp>
        <stp>20090331</stp>
        <stp>20090331</stp>
        <stp>[Copy of 02_cpr_main.xlsx]data!R110C7</stp>
        <stp>Dts=H</stp>
        <tr r="G110" s="2"/>
      </tp>
      <tp t="s">
        <v>#N/A Invalid Field</v>
        <stp/>
        <stp>##V3_BDHV12</stp>
        <stp>31390P7C5 Mtge</stp>
        <stp>MTG_GEN_CPR_12M</stp>
        <stp>20090331</stp>
        <stp>20090331</stp>
        <stp>[Copy of 02_cpr_main.xlsx]data!R233C7</stp>
        <stp>Dts=H</stp>
        <tr r="G233" s="2"/>
      </tp>
      <tp>
        <v>123</v>
        <stp/>
        <stp>##V3_BDPV12</stp>
        <stp>36291AM48 Mtge</stp>
        <stp>MTG_PREPAY_SPEED</stp>
        <stp>[Copy of 02_cpr_main.xlsx]data!R500C12</stp>
        <tr r="L500" s="2"/>
      </tp>
      <tp t="s">
        <v>#N/A Invalid Field</v>
        <stp/>
        <stp>##V3_BDHV12</stp>
        <stp>02R050440 Mtge</stp>
        <stp>MTG_GEN_CPR_12M</stp>
        <stp>20090331</stp>
        <stp>20090331</stp>
        <stp>[Copy of 02_cpr_main.xlsx]data!R21C7</stp>
        <stp>Dts=H</stp>
        <tr r="G21" s="2"/>
      </tp>
      <tp t="s">
        <v>#N/A Invalid Field</v>
        <stp/>
        <stp>##V3_BDHV12</stp>
        <stp>01N060643 Mtge</stp>
        <stp>MTG_GEN_CPR_12M</stp>
        <stp>20090331</stp>
        <stp>20090331</stp>
        <stp>[Copy of 02_cpr_main.xlsx]data!R16C7</stp>
        <stp>Dts=H</stp>
        <tr r="G16" s="2"/>
      </tp>
      <tp t="s">
        <v>#N/A Invalid Field</v>
        <stp/>
        <stp>##V3_BDHV12</stp>
        <stp>01F050452 Mtge</stp>
        <stp>MTG_GEN_CPR_12M</stp>
        <stp>20090610</stp>
        <stp>20090610</stp>
        <stp>[Copy of 02_cpr_main.xlsx]data!R5C10</stp>
        <stp>Dts=H</stp>
        <tr r="J5" s="2"/>
      </tp>
      <tp t="s">
        <v>#N/A N/A</v>
        <stp/>
        <stp>##V3_BDPV12</stp>
        <stp>31384VR53 Mtge</stp>
        <stp>MTG_PREPAY_SPEED</stp>
        <stp>[Copy of 02_cpr_main.xlsx]data!R210C12</stp>
        <tr r="L210" s="2"/>
      </tp>
      <tp t="s">
        <v>#N/A Invalid Field</v>
        <stp/>
        <stp>##V3_BDHV12</stp>
        <stp>01N042641 Mtge</stp>
        <stp>MTG_GEN_CPR_12M</stp>
        <stp>20090331</stp>
        <stp>20090331</stp>
        <stp>[Copy of 02_cpr_main.xlsx]data!R14C7</stp>
        <stp>Dts=H</stp>
        <tr r="G14" s="2"/>
      </tp>
      <tp>
        <v>123</v>
        <stp/>
        <stp>##V3_BDPV12</stp>
        <stp>36291NM40 Mtge</stp>
        <stp>MTG_PREPAY_SPEED</stp>
        <stp>[Copy of 02_cpr_main.xlsx]data!R503C12</stp>
        <tr r="L503" s="2"/>
      </tp>
      <tp t="s">
        <v>#N/A Invalid Field</v>
        <stp/>
        <stp>##V3_BDHV12</stp>
        <stp>31283KNU8 Mtge</stp>
        <stp>MTG_GEN_CPR_3M</stp>
        <stp>20090610</stp>
        <stp>20090610</stp>
        <stp>[Copy of 02_cpr_main.xlsx]data!R35C8</stp>
        <stp>Dts=H</stp>
        <tr r="H35" s="2"/>
      </tp>
      <tp t="s">
        <v>#N/A Invalid Field</v>
        <stp/>
        <stp>##V3_BDHV12</stp>
        <stp>3128M6UU0 Mtge</stp>
        <stp>MTG_GEN_CPR_3M</stp>
        <stp>20090610</stp>
        <stp>20090610</stp>
        <stp>[Copy of 02_cpr_main.xlsx]data!R91C8</stp>
        <stp>Dts=H</stp>
        <tr r="H91" s="2"/>
      </tp>
      <tp t="s">
        <v>#N/A Invalid Field</v>
        <stp/>
        <stp>##V3_BDHV12</stp>
        <stp>3128GDPU8 Mtge</stp>
        <stp>MTG_GEN_CPR_3M</stp>
        <stp>20090610</stp>
        <stp>20090610</stp>
        <stp>[Copy of 02_cpr_main.xlsx]data!R45C8</stp>
        <stp>Dts=H</stp>
        <tr r="H45" s="2"/>
      </tp>
      <tp t="s">
        <v>#N/A Invalid Field</v>
        <stp/>
        <stp>##V3_BDHV12</stp>
        <stp>31349SF40 Mtge</stp>
        <stp>MTG_GEN_CPR_12M</stp>
        <stp>20090331</stp>
        <stp>20090331</stp>
        <stp>[Copy of 02_cpr_main.xlsx]data!R157C7</stp>
        <stp>Dts=H</stp>
        <tr r="G157" s="2"/>
      </tp>
      <tp t="s">
        <v>#N/A Invalid Field</v>
        <stp/>
        <stp>##V3_BDHV12</stp>
        <stp>31406QGE1 Mtge</stp>
        <stp>MTG_GEN_CPR_12M</stp>
        <stp>20090331</stp>
        <stp>20090331</stp>
        <stp>[Copy of 02_cpr_main.xlsx]data!R338C7</stp>
        <stp>Dts=H</stp>
        <tr r="G338" s="2"/>
      </tp>
      <tp t="s">
        <v>#N/A Invalid Field</v>
        <stp/>
        <stp>##V3_BDHV12</stp>
        <stp>31388PCR0 Mtge</stp>
        <stp>MTG_GEN_CPR_12M</stp>
        <stp>20090331</stp>
        <stp>20090331</stp>
        <stp>[Copy of 02_cpr_main.xlsx]data!R228C7</stp>
        <stp>Dts=H</stp>
        <tr r="G228" s="2"/>
      </tp>
      <tp t="s">
        <v>#N/A Invalid Field</v>
        <stp/>
        <stp>##V3_BDHV12</stp>
        <stp>31404QA74 Mtge</stp>
        <stp>MTG_GEN_CPR_12M</stp>
        <stp>20090331</stp>
        <stp>20090331</stp>
        <stp>[Copy of 02_cpr_main.xlsx]data!R318C7</stp>
        <stp>Dts=H</stp>
        <tr r="G318" s="2"/>
      </tp>
      <tp t="s">
        <v>#N/A Invalid Field</v>
        <stp/>
        <stp>##V3_BDHV12</stp>
        <stp>3128QSKM7 Mtge</stp>
        <stp>MTG_GEN_CPR_12M</stp>
        <stp>20090331</stp>
        <stp>20090331</stp>
        <stp>[Copy of 02_cpr_main.xlsx]data!R111C7</stp>
        <stp>Dts=H</stp>
        <tr r="G111" s="2"/>
      </tp>
      <tp t="s">
        <v>#N/A Invalid Field</v>
        <stp/>
        <stp>##V3_BDHV12</stp>
        <stp>31298SM84 Mtge</stp>
        <stp>MTG_GEN_CPR_12M</stp>
        <stp>20090331</stp>
        <stp>20090331</stp>
        <stp>[Copy of 02_cpr_main.xlsx]data!R153C7</stp>
        <stp>Dts=H</stp>
        <tr r="G153" s="2"/>
      </tp>
      <tp t="s">
        <v>#N/A Invalid Field</v>
        <stp/>
        <stp>##V3_BDHV12</stp>
        <stp>31296SLS3 Mtge</stp>
        <stp>MTG_GEN_CPR_12M</stp>
        <stp>20090331</stp>
        <stp>20090331</stp>
        <stp>[Copy of 02_cpr_main.xlsx]data!R146C7</stp>
        <stp>Dts=H</stp>
        <tr r="G146" s="2"/>
      </tp>
      <tp t="s">
        <v>#N/A Invalid Field</v>
        <stp/>
        <stp>##V3_BDHV12</stp>
        <stp>36200QJD7 Mtge</stp>
        <stp>MTG_GEN_CPR_12M</stp>
        <stp>20090331</stp>
        <stp>20090331</stp>
        <stp>[Copy of 02_cpr_main.xlsx]data!R467C7</stp>
        <stp>Dts=H</stp>
        <tr r="G467" s="2"/>
      </tp>
      <tp t="s">
        <v>#N/A Invalid Field</v>
        <stp/>
        <stp>##V3_BDHV12</stp>
        <stp>36291PSB3 Mtge</stp>
        <stp>MTG_GEN_CPR_12M</stp>
        <stp>20090331</stp>
        <stp>20090331</stp>
        <stp>[Copy of 02_cpr_main.xlsx]data!R504C7</stp>
        <stp>Dts=H</stp>
        <tr r="G504" s="2"/>
      </tp>
      <tp t="s">
        <v>#N/A Invalid Field</v>
        <stp/>
        <stp>##V3_BDHV12</stp>
        <stp>31382PPC5 Mtge</stp>
        <stp>MTG_GEN_CPR_12M</stp>
        <stp>20090331</stp>
        <stp>20090331</stp>
        <stp>[Copy of 02_cpr_main.xlsx]data!R201C7</stp>
        <stp>Dts=H</stp>
        <tr r="G201" s="2"/>
      </tp>
      <tp t="s">
        <v>#N/A Invalid Field</v>
        <stp/>
        <stp>##V3_BDHV12</stp>
        <stp>31391PUV6 Mtge</stp>
        <stp>MTG_GEN_CPR_12M</stp>
        <stp>20090331</stp>
        <stp>20090331</stp>
        <stp>[Copy of 02_cpr_main.xlsx]data!R239C7</stp>
        <stp>Dts=H</stp>
        <tr r="G239" s="2"/>
      </tp>
      <tp t="s">
        <v>#N/A Invalid Field</v>
        <stp/>
        <stp>##V3_BDHV12</stp>
        <stp>36200QSL9 Mtge</stp>
        <stp>MTG_GEN_CPR_12M</stp>
        <stp>20090331</stp>
        <stp>20090331</stp>
        <stp>[Copy of 02_cpr_main.xlsx]data!R468C7</stp>
        <stp>Dts=H</stp>
        <tr r="G468" s="2"/>
      </tp>
      <tp t="s">
        <v>#N/A Invalid Field</v>
        <stp/>
        <stp>##V3_BDHV12</stp>
        <stp>31410QPT2 Mtge</stp>
        <stp>MTG_GEN_CPR_12M</stp>
        <stp>20090331</stp>
        <stp>20090331</stp>
        <stp>[Copy of 02_cpr_main.xlsx]data!R381C7</stp>
        <stp>Dts=H</stp>
        <tr r="G381" s="2"/>
      </tp>
      <tp t="s">
        <v>#N/A Invalid Field</v>
        <stp/>
        <stp>##V3_BDHV12</stp>
        <stp>31402Q2X8 Mtge</stp>
        <stp>MTG_GEN_CPR_12M</stp>
        <stp>20090331</stp>
        <stp>20090331</stp>
        <stp>[Copy of 02_cpr_main.xlsx]data!R273C7</stp>
        <stp>Dts=H</stp>
        <tr r="G273" s="2"/>
      </tp>
      <tp t="s">
        <v>#N/A Invalid Field</v>
        <stp/>
        <stp>##V3_BDHV12</stp>
        <stp>31402Q4R9 Mtge</stp>
        <stp>MTG_GEN_CPR_12M</stp>
        <stp>20090331</stp>
        <stp>20090331</stp>
        <stp>[Copy of 02_cpr_main.xlsx]data!R274C7</stp>
        <stp>Dts=H</stp>
        <tr r="G274" s="2"/>
      </tp>
      <tp t="s">
        <v>#N/A Invalid Field</v>
        <stp/>
        <stp>##V3_BDHV12</stp>
        <stp>01F050643 Mtge</stp>
        <stp>MTG_GEN_CPR_12M</stp>
        <stp>20090610</stp>
        <stp>20090610</stp>
        <stp>[Copy of 02_cpr_main.xlsx]data!R6C10</stp>
        <stp>Dts=H</stp>
        <tr r="J6" s="2"/>
      </tp>
      <tp t="s">
        <v>#N/A Invalid Field</v>
        <stp/>
        <stp>##V3_BDHV12</stp>
        <stp>01F060642 Mtge</stp>
        <stp>MTG_GEN_CPR_12M</stp>
        <stp>20090331</stp>
        <stp>20090331</stp>
        <stp>[Copy of 02_cpr_main.xlsx]data!R11C7</stp>
        <stp>Dts=H</stp>
        <tr r="G11" s="2"/>
      </tp>
      <tp t="s">
        <v>#N/A N/A</v>
        <stp/>
        <stp>##V3_BDPV12</stp>
        <stp>36294NV54 Mtge</stp>
        <stp>MTG_PREPAY_SPEED</stp>
        <stp>[Copy of 02_cpr_main.xlsx]data!R505C12</stp>
        <tr r="L505" s="2"/>
      </tp>
      <tp t="s">
        <v>#N/A N/A</v>
        <stp/>
        <stp>##V3_BDPV12</stp>
        <stp>31294KM51 Mtge</stp>
        <stp>MTG_PREPAY_SPEED</stp>
        <stp>[Copy of 02_cpr_main.xlsx]data!R132C12</stp>
        <tr r="L132" s="2"/>
      </tp>
      <tp t="s">
        <v>#N/A N/A</v>
        <stp/>
        <stp>##V3_BDPV12</stp>
        <stp>31382KQ43 Mtge</stp>
        <stp>MTG_PREPAY_SPEED</stp>
        <stp>[Copy of 02_cpr_main.xlsx]data!R197C12</stp>
        <tr r="L197" s="2"/>
      </tp>
      <tp t="s">
        <v>#N/A Invalid Field</v>
        <stp/>
        <stp>##V3_BDHV12</stp>
        <stp>31283HWZ4 Mtge</stp>
        <stp>MTG_GEN_CPR_6M</stp>
        <stp>20090331</stp>
        <stp>20090331</stp>
        <stp>[Copy of 02_cpr_main.xlsx]data!R33C6</stp>
        <stp>Dts=H</stp>
        <tr r="F33" s="2"/>
      </tp>
      <tp t="s">
        <v>#N/A Invalid Field</v>
        <stp/>
        <stp>##V3_BDHV12</stp>
        <stp>31287YVT8 Mtge</stp>
        <stp>MTG_GEN_CPR_3M</stp>
        <stp>20090610</stp>
        <stp>20090610</stp>
        <stp>[Copy of 02_cpr_main.xlsx]data!R38C8</stp>
        <stp>Dts=H</stp>
        <tr r="H38" s="2"/>
      </tp>
      <tp t="s">
        <v>#N/A Invalid Field</v>
        <stp/>
        <stp>##V3_BDHV12</stp>
        <stp>3128GDAZ3 Mtge</stp>
        <stp>MTG_GEN_CPR_6M</stp>
        <stp>20090331</stp>
        <stp>20090331</stp>
        <stp>[Copy of 02_cpr_main.xlsx]data!R44C6</stp>
        <stp>Dts=H</stp>
        <tr r="F44" s="2"/>
      </tp>
      <tp t="s">
        <v>#N/A Invalid Field</v>
        <stp/>
        <stp>##V3_BDHV12</stp>
        <stp>3128GCVT6 Mtge</stp>
        <stp>MTG_GEN_CPR_3M</stp>
        <stp>20090610</stp>
        <stp>20090610</stp>
        <stp>[Copy of 02_cpr_main.xlsx]data!R43C8</stp>
        <stp>Dts=H</stp>
        <tr r="H43" s="2"/>
      </tp>
      <tp t="s">
        <v>#N/A Invalid Field</v>
        <stp/>
        <stp>##V3_BDHV12</stp>
        <stp>3128GJFP7 Mtge</stp>
        <stp>MTG_GEN_CPR_6M</stp>
        <stp>20090610</stp>
        <stp>20090610</stp>
        <stp>[Copy of 02_cpr_main.xlsx]data!R59C9</stp>
        <stp>Dts=H</stp>
        <tr r="I59" s="2"/>
      </tp>
      <tp t="s">
        <v>#N/A Invalid Field</v>
        <stp/>
        <stp>##V3_BDHV12</stp>
        <stp>3128MB5P8 Mtge</stp>
        <stp>MTG_GEN_CPR_6M</stp>
        <stp>20090610</stp>
        <stp>20090610</stp>
        <stp>[Copy of 02_cpr_main.xlsx]data!R93C9</stp>
        <stp>Dts=H</stp>
        <tr r="I93" s="2"/>
      </tp>
      <tp t="s">
        <v>#N/A Invalid Field</v>
        <stp/>
        <stp>##V3_BDHV12</stp>
        <stp>3128M6LZ9 Mtge</stp>
        <stp>MTG_GEN_CPR_6M</stp>
        <stp>20090331</stp>
        <stp>20090331</stp>
        <stp>[Copy of 02_cpr_main.xlsx]data!R88C6</stp>
        <stp>Dts=H</stp>
        <tr r="F88" s="2"/>
      </tp>
      <tp t="s">
        <v>#N/A Invalid Field</v>
        <stp/>
        <stp>##V3_BDHV12</stp>
        <stp>31283KR34 Mtge</stp>
        <stp>MTG_GEN_CPR_12M</stp>
        <stp>20090331</stp>
        <stp>20090331</stp>
        <stp>[Copy of 02_cpr_main.xlsx]data!R36C7</stp>
        <stp>Dts=H</stp>
        <tr r="G36" s="2"/>
      </tp>
      <tp t="s">
        <v>#N/A Invalid Field</v>
        <stp/>
        <stp>##V3_BDHV12</stp>
        <stp>31283HWZ4 Mtge</stp>
        <stp>MTG_GEN_CPR_12M</stp>
        <stp>20090331</stp>
        <stp>20090331</stp>
        <stp>[Copy of 02_cpr_main.xlsx]data!R33C7</stp>
        <stp>Dts=H</stp>
        <tr r="G33" s="2"/>
      </tp>
      <tp t="s">
        <v>#N/A Invalid Field</v>
        <stp/>
        <stp>##V3_BDHV12</stp>
        <stp>31380RMS1 Mtge</stp>
        <stp>MTG_GEN_CPR_12M</stp>
        <stp>20090331</stp>
        <stp>20090331</stp>
        <stp>[Copy of 02_cpr_main.xlsx]data!R192C7</stp>
        <stp>Dts=H</stp>
        <tr r="G192" s="2"/>
      </tp>
      <tp t="s">
        <v>#N/A Invalid Field</v>
        <stp/>
        <stp>##V3_BDHV12</stp>
        <stp>31402QHS3 Mtge</stp>
        <stp>MTG_GEN_CPR_12M</stp>
        <stp>20090331</stp>
        <stp>20090331</stp>
        <stp>[Copy of 02_cpr_main.xlsx]data!R275C7</stp>
        <stp>Dts=H</stp>
        <tr r="G275" s="2"/>
      </tp>
      <tp t="s">
        <v>#N/A Invalid Field</v>
        <stp/>
        <stp>##V3_BDHV12</stp>
        <stp>31415WQC0 Mtge</stp>
        <stp>MTG_GEN_CPR_12M</stp>
        <stp>20090331</stp>
        <stp>20090331</stp>
        <stp>[Copy of 02_cpr_main.xlsx]data!R457C7</stp>
        <stp>Dts=H</stp>
        <tr r="G457" s="2"/>
      </tp>
      <tp t="s">
        <v>#N/A Invalid Field</v>
        <stp/>
        <stp>##V3_BDHV12</stp>
        <stp>31402QSL6 Mtge</stp>
        <stp>MTG_GEN_CPR_12M</stp>
        <stp>20090331</stp>
        <stp>20090331</stp>
        <stp>[Copy of 02_cpr_main.xlsx]data!R276C7</stp>
        <stp>Dts=H</stp>
        <tr r="G276" s="2"/>
      </tp>
      <tp t="s">
        <v>#N/A Invalid Field</v>
        <stp/>
        <stp>##V3_BDHV12</stp>
        <stp>31391QTJ3 Mtge</stp>
        <stp>MTG_GEN_CPR_12M</stp>
        <stp>20090331</stp>
        <stp>20090331</stp>
        <stp>[Copy of 02_cpr_main.xlsx]data!R240C7</stp>
        <stp>Dts=H</stp>
        <tr r="G240" s="2"/>
      </tp>
      <tp t="s">
        <v>#N/A Invalid Field</v>
        <stp/>
        <stp>##V3_BDHV12</stp>
        <stp>31402QWA5 Mtge</stp>
        <stp>MTG_GEN_CPR_12M</stp>
        <stp>20090331</stp>
        <stp>20090331</stp>
        <stp>[Copy of 02_cpr_main.xlsx]data!R277C7</stp>
        <stp>Dts=H</stp>
        <tr r="G277" s="2"/>
      </tp>
      <tp t="s">
        <v>#N/A Invalid Field</v>
        <stp/>
        <stp>##V3_BDHV12</stp>
        <stp>31390QTD7 Mtge</stp>
        <stp>MTG_GEN_CPR_12M</stp>
        <stp>20090331</stp>
        <stp>20090331</stp>
        <stp>[Copy of 02_cpr_main.xlsx]data!R234C7</stp>
        <stp>Dts=H</stp>
        <tr r="G234" s="2"/>
      </tp>
      <tp t="s">
        <v>#N/A Invalid Field</v>
        <stp/>
        <stp>##V3_BDHV12</stp>
        <stp>31296RSK5 Mtge</stp>
        <stp>MTG_GEN_CPR_12M</stp>
        <stp>20090331</stp>
        <stp>20090331</stp>
        <stp>[Copy of 02_cpr_main.xlsx]data!R145C7</stp>
        <stp>Dts=H</stp>
        <tr r="G145" s="2"/>
      </tp>
      <tp t="s">
        <v>#N/A Invalid Field</v>
        <stp/>
        <stp>##V3_BDHV12</stp>
        <stp>31410PYM9 Mtge</stp>
        <stp>MTG_GEN_CPR_12M</stp>
        <stp>20090331</stp>
        <stp>20090331</stp>
        <stp>[Copy of 02_cpr_main.xlsx]data!R380C7</stp>
        <stp>Dts=H</stp>
        <tr r="G380" s="2"/>
      </tp>
      <tp t="s">
        <v>#N/A Invalid Field</v>
        <stp/>
        <stp>##V3_BDHV12</stp>
        <stp>31400QVB6 Mtge</stp>
        <stp>MTG_GEN_CPR_12M</stp>
        <stp>20090331</stp>
        <stp>20090331</stp>
        <stp>[Copy of 02_cpr_main.xlsx]data!R248C7</stp>
        <stp>Dts=H</stp>
        <tr r="G248" s="2"/>
      </tp>
      <tp t="s">
        <v>#N/A Invalid Field</v>
        <stp/>
        <stp>##V3_BDHV12</stp>
        <stp>31402QYZ8 Mtge</stp>
        <stp>MTG_GEN_CPR_12M</stp>
        <stp>20090331</stp>
        <stp>20090331</stp>
        <stp>[Copy of 02_cpr_main.xlsx]data!R278C7</stp>
        <stp>Dts=H</stp>
        <tr r="G278" s="2"/>
      </tp>
      <tp>
        <v>0.02</v>
        <stp/>
        <stp>##V3_BDPV12</stp>
        <stp>31410RP29 Mtge</stp>
        <stp>MTG_PREPAY_SPEED</stp>
        <stp>[Copy of 02_cpr_main.xlsx]data!R382C12</stp>
        <tr r="L382" s="2"/>
      </tp>
      <tp t="s">
        <v>#N/A N/A</v>
        <stp/>
        <stp>##V3_BDPV12</stp>
        <stp>31410KR22 Mtge</stp>
        <stp>MTG_PREPAY_SPEED</stp>
        <stp>[Copy of 02_cpr_main.xlsx]data!R374C12</stp>
        <tr r="L374" s="2"/>
      </tp>
      <tp t="s">
        <v>#N/A N/A</v>
        <stp/>
        <stp>##V3_BDPV12</stp>
        <stp>31402RD30 Mtge</stp>
        <stp>MTG_PREPAY_SPEED</stp>
        <stp>[Copy of 02_cpr_main.xlsx]data!R281C12</stp>
        <tr r="L281" s="2"/>
      </tp>
      <tp t="s">
        <v>#N/A Invalid Field</v>
        <stp/>
        <stp>##V3_BDHV12</stp>
        <stp>3128NHUD3 Mtge</stp>
        <stp>MTG_GEN_CPR_3M</stp>
        <stp>20090610</stp>
        <stp>20090610</stp>
        <stp>[Copy of 02_cpr_main.xlsx]data!R101C8</stp>
        <stp>Dts=H</stp>
        <tr r="H101" s="2"/>
      </tp>
      <tp t="s">
        <v>#N/A Invalid Field</v>
        <stp/>
        <stp>##V3_BDHV12</stp>
        <stp>31283KNU8 Mtge</stp>
        <stp>MTG_GEN_CPR_6M</stp>
        <stp>20090331</stp>
        <stp>20090331</stp>
        <stp>[Copy of 02_cpr_main.xlsx]data!R35C6</stp>
        <stp>Dts=H</stp>
        <tr r="F35" s="2"/>
      </tp>
      <tp t="s">
        <v>#N/A Invalid Field</v>
        <stp/>
        <stp>##V3_BDHV12</stp>
        <stp>3128MBJS7 Mtge</stp>
        <stp>MTG_GEN_CPR_3M</stp>
        <stp>20090331</stp>
        <stp>20090331</stp>
        <stp>[Copy of 02_cpr_main.xlsx]data!R95C5</stp>
        <stp>Dts=H</stp>
        <tr r="E95" s="2"/>
      </tp>
      <tp t="s">
        <v>#N/A Invalid Field</v>
        <stp/>
        <stp>##V3_BDHV12</stp>
        <stp>3128M6UU0 Mtge</stp>
        <stp>MTG_GEN_CPR_6M</stp>
        <stp>20090331</stp>
        <stp>20090331</stp>
        <stp>[Copy of 02_cpr_main.xlsx]data!R91C6</stp>
        <stp>Dts=H</stp>
        <tr r="F91" s="2"/>
      </tp>
      <tp t="s">
        <v>#N/A Invalid Field</v>
        <stp/>
        <stp>##V3_BDHV12</stp>
        <stp>3128GDPU8 Mtge</stp>
        <stp>MTG_GEN_CPR_6M</stp>
        <stp>20090331</stp>
        <stp>20090331</stp>
        <stp>[Copy of 02_cpr_main.xlsx]data!R45C6</stp>
        <stp>Dts=H</stp>
        <tr r="F45" s="2"/>
      </tp>
      <tp t="s">
        <v>#N/A Invalid Field</v>
        <stp/>
        <stp>##V3_BDHV12</stp>
        <stp>3128L8QS7 Mtge</stp>
        <stp>MTG_GEN_CPR_3M</stp>
        <stp>20090331</stp>
        <stp>20090331</stp>
        <stp>[Copy of 02_cpr_main.xlsx]data!R77C5</stp>
        <stp>Dts=H</stp>
        <tr r="E77" s="2"/>
      </tp>
      <tp t="s">
        <v>#N/A Invalid Field</v>
        <stp/>
        <stp>##V3_BDHV12</stp>
        <stp>3128M6RS9 Mtge</stp>
        <stp>MTG_GEN_CPR_3M</stp>
        <stp>20090331</stp>
        <stp>20090331</stp>
        <stp>[Copy of 02_cpr_main.xlsx]data!R90C5</stp>
        <stp>Dts=H</stp>
        <tr r="E90" s="2"/>
      </tp>
      <tp t="s">
        <v>#N/A Invalid Field</v>
        <stp/>
        <stp>##V3_BDHV12</stp>
        <stp>31415XJE2 Mtge</stp>
        <stp>MTG_GEN_CPR_12M</stp>
        <stp>20090331</stp>
        <stp>20090331</stp>
        <stp>[Copy of 02_cpr_main.xlsx]data!R458C7</stp>
        <stp>Dts=H</stp>
        <tr r="G458" s="2"/>
      </tp>
      <tp t="s">
        <v>#N/A Invalid Field</v>
        <stp/>
        <stp>##V3_BDHV12</stp>
        <stp>31415XSZ5 Mtge</stp>
        <stp>MTG_GEN_CPR_12M</stp>
        <stp>20090331</stp>
        <stp>20090331</stp>
        <stp>[Copy of 02_cpr_main.xlsx]data!R459C7</stp>
        <stp>Dts=H</stp>
        <tr r="G459" s="2"/>
      </tp>
      <tp t="s">
        <v>#N/A Invalid Field</v>
        <stp/>
        <stp>##V3_BDHV12</stp>
        <stp>31412XSV7 Mtge</stp>
        <stp>MTG_GEN_CPR_12M</stp>
        <stp>20090331</stp>
        <stp>20090331</stp>
        <stp>[Copy of 02_cpr_main.xlsx]data!R414C7</stp>
        <stp>Dts=H</stp>
        <tr r="G414" s="2"/>
      </tp>
      <tp>
        <v>169</v>
        <stp/>
        <stp>##V3_BDPV12</stp>
        <stp>31402RH28 Mtge</stp>
        <stp>MTG_PREPAY_SPEED</stp>
        <stp>[Copy of 02_cpr_main.xlsx]data!R284C12</stp>
        <tr r="L284" s="2"/>
      </tp>
      <tp>
        <v>169</v>
        <stp/>
        <stp>##V3_BDPV12</stp>
        <stp>31400JA25 Mtge</stp>
        <stp>MTG_PREPAY_SPEED</stp>
        <stp>[Copy of 02_cpr_main.xlsx]data!R245C12</stp>
        <tr r="L245" s="2"/>
      </tp>
      <tp>
        <v>227</v>
        <stp/>
        <stp>##V3_BDPV12</stp>
        <stp>31400RV24 Mtge</stp>
        <stp>MTG_PREPAY_SPEED</stp>
        <stp>[Copy of 02_cpr_main.xlsx]data!R250C12</stp>
        <tr r="L250" s="2"/>
      </tp>
      <tp>
        <v>0</v>
        <stp/>
        <stp>##V3_BDPV12</stp>
        <stp>31405KZ20 Mtge</stp>
        <stp>MTG_PREPAY_SPEED</stp>
        <stp>[Copy of 02_cpr_main.xlsx]data!R327C12</stp>
        <tr r="L327" s="2"/>
      </tp>
      <tp>
        <v>182</v>
        <stp/>
        <stp>##V3_BDPV12</stp>
        <stp>31410WX37 Mtge</stp>
        <stp>MTG_PREPAY_SPEED</stp>
        <stp>[Copy of 02_cpr_main.xlsx]data!R387C12</stp>
        <tr r="L387" s="2"/>
      </tp>
      <tp t="s">
        <v>#N/A N/A</v>
        <stp/>
        <stp>##V3_BDPV12</stp>
        <stp>31413KL33 Mtge</stp>
        <stp>MTG_PREPAY_SPEED</stp>
        <stp>[Copy of 02_cpr_main.xlsx]data!R426C12</stp>
        <tr r="L426" s="2"/>
      </tp>
      <tp>
        <v>169</v>
        <stp/>
        <stp>##V3_BDPV12</stp>
        <stp>31403DV22 Mtge</stp>
        <stp>MTG_PREPAY_SPEED</stp>
        <stp>[Copy of 02_cpr_main.xlsx]data!R303C12</stp>
        <tr r="L303" s="2"/>
      </tp>
      <tp t="s">
        <v>#N/A N/A</v>
        <stp/>
        <stp>##V3_BDPV12</stp>
        <stp>31411GP30 Mtge</stp>
        <stp>MTG_PREPAY_SPEED</stp>
        <stp>[Copy of 02_cpr_main.xlsx]data!R392C12</stp>
        <tr r="L392" s="2"/>
      </tp>
      <tp>
        <v>169</v>
        <stp/>
        <stp>##V3_BDPV12</stp>
        <stp>31415RR30 Mtge</stp>
        <stp>MTG_PREPAY_SPEED</stp>
        <stp>[Copy of 02_cpr_main.xlsx]data!R453C12</stp>
        <tr r="L453" s="2"/>
      </tp>
      <tp t="s">
        <v>#N/A Invalid Field</v>
        <stp/>
        <stp>##V3_BDHV12</stp>
        <stp>31283HWZ4 Mtge</stp>
        <stp>MTG_GEN_CPR_3M</stp>
        <stp>20090610</stp>
        <stp>20090610</stp>
        <stp>[Copy of 02_cpr_main.xlsx]data!R33C8</stp>
        <stp>Dts=H</stp>
        <tr r="H33" s="2"/>
      </tp>
      <tp t="s">
        <v>#N/A Invalid Field</v>
        <stp/>
        <stp>##V3_BDHV12</stp>
        <stp>3128NHUD3 Mtge</stp>
        <stp>MTG_GEN_CPR_6M</stp>
        <stp>20090610</stp>
        <stp>20090610</stp>
        <stp>[Copy of 02_cpr_main.xlsx]data!R101C9</stp>
        <stp>Dts=H</stp>
        <tr r="I101" s="2"/>
      </tp>
      <tp t="s">
        <v>#N/A Invalid Field</v>
        <stp/>
        <stp>##V3_BDHV12</stp>
        <stp>3128NHP98 Mtge</stp>
        <stp>MTG_GEN_CPR_3M</stp>
        <stp>20090331</stp>
        <stp>20090331</stp>
        <stp>[Copy of 02_cpr_main.xlsx]data!R100C5</stp>
        <stp>Dts=H</stp>
        <tr r="E100" s="2"/>
      </tp>
      <tp t="s">
        <v>#N/A Invalid Field</v>
        <stp/>
        <stp>##V3_BDHV12</stp>
        <stp>31287YVT8 Mtge</stp>
        <stp>MTG_GEN_CPR_6M</stp>
        <stp>20090331</stp>
        <stp>20090331</stp>
        <stp>[Copy of 02_cpr_main.xlsx]data!R38C6</stp>
        <stp>Dts=H</stp>
        <tr r="F38" s="2"/>
      </tp>
      <tp t="s">
        <v>#N/A Invalid Field</v>
        <stp/>
        <stp>##V3_BDHV12</stp>
        <stp>31287R2R9 Mtge</stp>
        <stp>MTG_GEN_CPR_3M</stp>
        <stp>20090331</stp>
        <stp>20090331</stp>
        <stp>[Copy of 02_cpr_main.xlsx]data!R37C5</stp>
        <stp>Dts=H</stp>
        <tr r="E37" s="2"/>
      </tp>
      <tp t="s">
        <v>#N/A Invalid Field</v>
        <stp/>
        <stp>##V3_BDHV12</stp>
        <stp>3128GCVT6 Mtge</stp>
        <stp>MTG_GEN_CPR_6M</stp>
        <stp>20090331</stp>
        <stp>20090331</stp>
        <stp>[Copy of 02_cpr_main.xlsx]data!R43C6</stp>
        <stp>Dts=H</stp>
        <tr r="F43" s="2"/>
      </tp>
      <tp t="s">
        <v>#N/A Invalid Field</v>
        <stp/>
        <stp>##V3_BDHV12</stp>
        <stp>3128MBZR1 Mtge</stp>
        <stp>MTG_GEN_CPR_3M</stp>
        <stp>20090331</stp>
        <stp>20090331</stp>
        <stp>[Copy of 02_cpr_main.xlsx]data!R96C5</stp>
        <stp>Dts=H</stp>
        <tr r="E96" s="2"/>
      </tp>
      <tp t="s">
        <v>#N/A Invalid Field</v>
        <stp/>
        <stp>##V3_BDHV12</stp>
        <stp>3128GDAZ3 Mtge</stp>
        <stp>MTG_GEN_CPR_3M</stp>
        <stp>20090610</stp>
        <stp>20090610</stp>
        <stp>[Copy of 02_cpr_main.xlsx]data!R44C8</stp>
        <stp>Dts=H</stp>
        <tr r="H44" s="2"/>
      </tp>
      <tp t="s">
        <v>#N/A Invalid Field</v>
        <stp/>
        <stp>##V3_BDHV12</stp>
        <stp>3128M6LZ9 Mtge</stp>
        <stp>MTG_GEN_CPR_3M</stp>
        <stp>20090610</stp>
        <stp>20090610</stp>
        <stp>[Copy of 02_cpr_main.xlsx]data!R88C8</stp>
        <stp>Dts=H</stp>
        <tr r="H88" s="2"/>
      </tp>
      <tp t="s">
        <v>#N/A Invalid Field</v>
        <stp/>
        <stp>##V3_BDHV12</stp>
        <stp>3128H33R0 Mtge</stp>
        <stp>MTG_GEN_CPR_3M</stp>
        <stp>20090331</stp>
        <stp>20090331</stp>
        <stp>[Copy of 02_cpr_main.xlsx]data!R65C5</stp>
        <stp>Dts=H</stp>
        <tr r="E65" s="2"/>
      </tp>
      <tp t="s">
        <v>#N/A Invalid Field</v>
        <stp/>
        <stp>##V3_BDHV12</stp>
        <stp>31288MC31 Mtge</stp>
        <stp>MTG_GEN_CPR_12M</stp>
        <stp>20090331</stp>
        <stp>20090331</stp>
        <stp>[Copy of 02_cpr_main.xlsx]data!R40C7</stp>
        <stp>Dts=H</stp>
        <tr r="G40" s="2"/>
      </tp>
      <tp t="s">
        <v>#N/A Invalid Field</v>
        <stp/>
        <stp>##V3_BDHV12</stp>
        <stp>31411YGA5 Mtge</stp>
        <stp>MTG_GEN_CPR_12M</stp>
        <stp>20090331</stp>
        <stp>20090331</stp>
        <stp>[Copy of 02_cpr_main.xlsx]data!R400C7</stp>
        <stp>Dts=H</stp>
        <tr r="G400" s="2"/>
      </tp>
      <tp t="s">
        <v>#N/A Invalid Field</v>
        <stp/>
        <stp>##V3_BDHV12</stp>
        <stp>31412YFJ6 Mtge</stp>
        <stp>MTG_GEN_CPR_12M</stp>
        <stp>20090331</stp>
        <stp>20090331</stp>
        <stp>[Copy of 02_cpr_main.xlsx]data!R415C7</stp>
        <stp>Dts=H</stp>
        <tr r="G415" s="2"/>
      </tp>
      <tp t="s">
        <v>#N/A Invalid Field</v>
        <stp/>
        <stp>##V3_BDHV12</stp>
        <stp>31417YAY3 Mtge</stp>
        <stp>MTG_GEN_CPR_12M</stp>
        <stp>20090331</stp>
        <stp>20090331</stp>
        <stp>[Copy of 02_cpr_main.xlsx]data!R462C7</stp>
        <stp>Dts=H</stp>
        <tr r="G462" s="2"/>
      </tp>
      <tp t="s">
        <v>#N/A Invalid Field</v>
        <stp/>
        <stp>##V3_BDHV12</stp>
        <stp>3128LUSW7 Mtge</stp>
        <stp>MTG_GEN_CPR_12M</stp>
        <stp>20090610</stp>
        <stp>20090610</stp>
        <stp>[Copy of 02_cpr_main.xlsx]data!R80C10</stp>
        <stp>Dts=H</stp>
        <tr r="J80" s="2"/>
      </tp>
      <tp t="s">
        <v>#N/A N/A</v>
        <stp/>
        <stp>##V3_BDPV12</stp>
        <stp>31379QA67 Mtge</stp>
        <stp>MTG_PREPAY_SPEED</stp>
        <stp>[Copy of 02_cpr_main.xlsx]data!R190C12</stp>
        <tr r="L190" s="2"/>
      </tp>
      <tp>
        <v>213</v>
        <stp/>
        <stp>##V3_BDPV12</stp>
        <stp>31298SM84 Mtge</stp>
        <stp>MTG_PREPAY_SPEED</stp>
        <stp>[Copy of 02_cpr_main.xlsx]data!R153C12</stp>
        <tr r="L153" s="2"/>
      </tp>
      <tp t="s">
        <v>#N/A N/A</v>
        <stp/>
        <stp>##V3_BDPV12</stp>
        <stp>31382DQ98 Mtge</stp>
        <stp>MTG_PREPAY_SPEED</stp>
        <stp>[Copy of 02_cpr_main.xlsx]data!R195C12</stp>
        <tr r="L195" s="2"/>
      </tp>
      <tp>
        <v>182</v>
        <stp/>
        <stp>##V3_BDPV12</stp>
        <stp>31390SJ85 Mtge</stp>
        <stp>MTG_PREPAY_SPEED</stp>
        <stp>[Copy of 02_cpr_main.xlsx]data!R235C12</stp>
        <tr r="L235" s="2"/>
      </tp>
      <tp t="s">
        <v>#N/A N/A</v>
        <stp/>
        <stp>##V3_BDPV12</stp>
        <stp>312965L87 Mtge</stp>
        <stp>MTG_PREPAY_SPEED</stp>
        <stp>[Copy of 02_cpr_main.xlsx]data!R139C12</stp>
        <tr r="L139" s="2"/>
      </tp>
      <tp>
        <v>139</v>
        <stp/>
        <stp>##V3_BDPV12</stp>
        <stp>36225BB31 Mtge</stp>
        <stp>MTG_PREPAY_SPEED</stp>
        <stp>[Copy of 02_cpr_main.xlsx]data!R491C12</stp>
        <tr r="L491" s="2"/>
      </tp>
      <tp t="s">
        <v>#N/A Invalid Field</v>
        <stp/>
        <stp>##V3_BDHV12</stp>
        <stp>31283H4W2 Mtge</stp>
        <stp>MTG_GEN_CPR_6M</stp>
        <stp>20090331</stp>
        <stp>20090331</stp>
        <stp>[Copy of 02_cpr_main.xlsx]data!R29C6</stp>
        <stp>Dts=H</stp>
        <tr r="F29" s="2"/>
      </tp>
      <tp t="s">
        <v>#N/A Invalid Field</v>
        <stp/>
        <stp>##V3_BDHV12</stp>
        <stp>3128NHP98 Mtge</stp>
        <stp>MTG_GEN_CPR_6M</stp>
        <stp>20090331</stp>
        <stp>20090331</stp>
        <stp>[Copy of 02_cpr_main.xlsx]data!R100C6</stp>
        <stp>Dts=H</stp>
        <tr r="F100" s="2"/>
      </tp>
      <tp t="s">
        <v>#N/A Invalid Field</v>
        <stp/>
        <stp>##V3_BDHV12</stp>
        <stp>3128GDQW3 Mtge</stp>
        <stp>MTG_GEN_CPR_6M</stp>
        <stp>20090331</stp>
        <stp>20090331</stp>
        <stp>[Copy of 02_cpr_main.xlsx]data!R47C6</stp>
        <stp>Dts=H</stp>
        <tr r="F47" s="2"/>
      </tp>
      <tp t="s">
        <v>#N/A Invalid Field</v>
        <stp/>
        <stp>##V3_BDHV12</stp>
        <stp>3128LUSW7 Mtge</stp>
        <stp>MTG_GEN_CPR_6M</stp>
        <stp>20090331</stp>
        <stp>20090331</stp>
        <stp>[Copy of 02_cpr_main.xlsx]data!R80C6</stp>
        <stp>Dts=H</stp>
        <tr r="F80" s="2"/>
      </tp>
      <tp t="s">
        <v>#N/A Invalid Field</v>
        <stp/>
        <stp>##V3_BDHV12</stp>
        <stp>3128M4VW0 Mtge</stp>
        <stp>MTG_GEN_CPR_6M</stp>
        <stp>20090331</stp>
        <stp>20090331</stp>
        <stp>[Copy of 02_cpr_main.xlsx]data!R85C6</stp>
        <stp>Dts=H</stp>
        <tr r="F85" s="2"/>
      </tp>
      <tp t="s">
        <v>#N/A Invalid Field</v>
        <stp/>
        <stp>##V3_BDHV12</stp>
        <stp>3128K7DW5 Mtge</stp>
        <stp>MTG_GEN_CPR_6M</stp>
        <stp>20090331</stp>
        <stp>20090331</stp>
        <stp>[Copy of 02_cpr_main.xlsx]data!R73C6</stp>
        <stp>Dts=H</stp>
        <tr r="F73" s="2"/>
      </tp>
      <tp t="s">
        <v>#N/A Invalid Field</v>
        <stp/>
        <stp>##V3_BDHV12</stp>
        <stp>3128KDAY1 Mtge</stp>
        <stp>MTG_GEN_CPR_3M</stp>
        <stp>20090610</stp>
        <stp>20090610</stp>
        <stp>[Copy of 02_cpr_main.xlsx]data!R74C8</stp>
        <stp>Dts=H</stp>
        <tr r="H74" s="2"/>
      </tp>
      <tp t="s">
        <v>#N/A Invalid Field</v>
        <stp/>
        <stp>##V3_BDHV12</stp>
        <stp>3128KWMW0 Mtge</stp>
        <stp>MTG_GEN_CPR_6M</stp>
        <stp>20090331</stp>
        <stp>20090331</stp>
        <stp>[Copy of 02_cpr_main.xlsx]data!R75C6</stp>
        <stp>Dts=H</stp>
        <tr r="F75" s="2"/>
      </tp>
      <tp t="s">
        <v>#N/A Invalid Field</v>
        <stp/>
        <stp>##V3_BDHV12</stp>
        <stp>3128L7UY1 Mtge</stp>
        <stp>MTG_GEN_CPR_3M</stp>
        <stp>20090610</stp>
        <stp>20090610</stp>
        <stp>[Copy of 02_cpr_main.xlsx]data!R76C8</stp>
        <stp>Dts=H</stp>
        <tr r="H76" s="2"/>
      </tp>
      <tp>
        <v>2.23</v>
        <stp/>
        <stp>##V3_BDPV12</stp>
        <stp>3128NHP98 Mtge</stp>
        <stp>MTG_PREPAY_SPEED</stp>
        <stp>[Copy of 02_cpr_main.xlsx]data!R100C12</stp>
        <tr r="L100" s="2"/>
      </tp>
      <tp>
        <v>0.4</v>
        <stp/>
        <stp>##V3_BDPV12</stp>
        <stp>31349SF40 Mtge</stp>
        <stp>MTG_PREPAY_SPEED</stp>
        <stp>[Copy of 02_cpr_main.xlsx]data!R157C12</stp>
        <tr r="L157" s="2"/>
      </tp>
      <tp t="s">
        <v>#N/A Invalid Field</v>
        <stp/>
        <stp>##V3_BDHV12</stp>
        <stp>3128GGGX5 Mtge</stp>
        <stp>MTG_GEN_CPR_3M</stp>
        <stp>20090610</stp>
        <stp>20090610</stp>
        <stp>[Copy of 02_cpr_main.xlsx]data!R56C8</stp>
        <stp>Dts=H</stp>
        <tr r="H56" s="2"/>
      </tp>
      <tp t="s">
        <v>#N/A Invalid Field</v>
        <stp/>
        <stp>##V3_BDHV12</stp>
        <stp>3128GGEV1 Mtge</stp>
        <stp>MTG_GEN_CPR_6M</stp>
        <stp>20090331</stp>
        <stp>20090331</stp>
        <stp>[Copy of 02_cpr_main.xlsx]data!R55C6</stp>
        <stp>Dts=H</stp>
        <tr r="F55" s="2"/>
      </tp>
      <tp t="s">
        <v>#N/A Invalid Field</v>
        <stp/>
        <stp>##V3_BDHV12</stp>
        <stp>3128GDZX1 Mtge</stp>
        <stp>MTG_GEN_CPR_3M</stp>
        <stp>20090610</stp>
        <stp>20090610</stp>
        <stp>[Copy of 02_cpr_main.xlsx]data!R50C8</stp>
        <stp>Dts=H</stp>
        <tr r="H50" s="2"/>
      </tp>
      <tp t="s">
        <v>#N/A Invalid Field</v>
        <stp/>
        <stp>##V3_BDHV12</stp>
        <stp>3128M6AX6 Mtge</stp>
        <stp>MTG_GEN_CPR_3M</stp>
        <stp>20090610</stp>
        <stp>20090610</stp>
        <stp>[Copy of 02_cpr_main.xlsx]data!R87C8</stp>
        <stp>Dts=H</stp>
        <tr r="H87" s="2"/>
      </tp>
      <tp t="s">
        <v>#N/A Invalid Field</v>
        <stp/>
        <stp>##V3_BDHV12</stp>
        <stp>3128GJFP7 Mtge</stp>
        <stp>MTG_GEN_CPR_3M</stp>
        <stp>20090331</stp>
        <stp>20090331</stp>
        <stp>[Copy of 02_cpr_main.xlsx]data!R59C5</stp>
        <stp>Dts=H</stp>
        <tr r="E59" s="2"/>
      </tp>
      <tp t="s">
        <v>#N/A Invalid Field</v>
        <stp/>
        <stp>##V3_BDHV12</stp>
        <stp>3128MB5P8 Mtge</stp>
        <stp>MTG_GEN_CPR_3M</stp>
        <stp>20090331</stp>
        <stp>20090331</stp>
        <stp>[Copy of 02_cpr_main.xlsx]data!R93C5</stp>
        <stp>Dts=H</stp>
        <tr r="E93" s="2"/>
      </tp>
      <tp t="s">
        <v>#N/A Invalid Field</v>
        <stp/>
        <stp>##V3_BDHV12</stp>
        <stp>31283KNU8 Mtge</stp>
        <stp>MTG_GEN_CPR_12M</stp>
        <stp>20090331</stp>
        <stp>20090331</stp>
        <stp>[Copy of 02_cpr_main.xlsx]data!R35C7</stp>
        <stp>Dts=H</stp>
        <tr r="G35" s="2"/>
      </tp>
      <tp t="s">
        <v>#N/A Invalid Field</v>
        <stp/>
        <stp>##V3_BDHV12</stp>
        <stp>31283HLG8 Mtge</stp>
        <stp>MTG_GEN_CPR_12M</stp>
        <stp>20090331</stp>
        <stp>20090331</stp>
        <stp>[Copy of 02_cpr_main.xlsx]data!R30C7</stp>
        <stp>Dts=H</stp>
        <tr r="G30" s="2"/>
      </tp>
      <tp t="s">
        <v>#N/A Invalid Field</v>
        <stp/>
        <stp>##V3_BDHV12</stp>
        <stp>31288MC23 Mtge</stp>
        <stp>MTG_GEN_CPR_12M</stp>
        <stp>20090331</stp>
        <stp>20090331</stp>
        <stp>[Copy of 02_cpr_main.xlsx]data!R39C7</stp>
        <stp>Dts=H</stp>
        <tr r="G39" s="2"/>
      </tp>
      <tp t="s">
        <v>#N/A N/A</v>
        <stp/>
        <stp>##V3_BDPV12</stp>
        <stp>31416BZ68 Mtge</stp>
        <stp>MTG_PREPAY_SPEED</stp>
        <stp>[Copy of 02_cpr_main.xlsx]data!R461C12</stp>
        <tr r="L461" s="2"/>
      </tp>
      <tp>
        <v>161</v>
        <stp/>
        <stp>##V3_BDPV12</stp>
        <stp>31402DP79 Mtge</stp>
        <stp>MTG_PREPAY_SPEED</stp>
        <stp>[Copy of 02_cpr_main.xlsx]data!R270C12</stp>
        <tr r="L270" s="2"/>
      </tp>
      <tp t="s">
        <v>#N/A N/A</v>
        <stp/>
        <stp>##V3_BDPV12</stp>
        <stp>31402NY77 Mtge</stp>
        <stp>MTG_PREPAY_SPEED</stp>
        <stp>[Copy of 02_cpr_main.xlsx]data!R272C12</stp>
        <tr r="L272" s="2"/>
      </tp>
      <tp t="s">
        <v>#N/A N/A</v>
        <stp/>
        <stp>##V3_BDPV12</stp>
        <stp>31410GE66 Mtge</stp>
        <stp>MTG_PREPAY_SPEED</stp>
        <stp>[Copy of 02_cpr_main.xlsx]data!R365C12</stp>
        <tr r="L365" s="2"/>
      </tp>
      <tp t="s">
        <v>#N/A Invalid Field</v>
        <stp/>
        <stp>##V3_BDHV12</stp>
        <stp>01N062649 Mtge</stp>
        <stp>MTG_GEN_CPR_12M</stp>
        <stp>20090331</stp>
        <stp>20090331</stp>
        <stp>[Copy of 02_cpr_main.xlsx]data!R18C7</stp>
        <stp>Dts=H</stp>
        <tr r="G18" s="2"/>
      </tp>
      <tp>
        <v>2.6</v>
        <stp/>
        <stp>##V3_BDPV12</stp>
        <stp>31404QA74 Mtge</stp>
        <stp>MTG_PREPAY_SPEED</stp>
        <stp>[Copy of 02_cpr_main.xlsx]data!R318C12</stp>
        <tr r="L318" s="2"/>
      </tp>
      <tp>
        <v>69.77</v>
        <stp/>
        <stp>##V3_BDPV12</stp>
        <stp>31406VQ74 Mtge</stp>
        <stp>MTG_PREPAY_SPEED</stp>
        <stp>[Copy of 02_cpr_main.xlsx]data!R340C12</stp>
        <tr r="L340" s="2"/>
      </tp>
      <tp>
        <v>0.25</v>
        <stp/>
        <stp>##V3_BDPV12</stp>
        <stp>31405VG76 Mtge</stp>
        <stp>MTG_PREPAY_SPEED</stp>
        <stp>[Copy of 02_cpr_main.xlsx]data!R329C12</stp>
        <tr r="L329" s="2"/>
      </tp>
      <tp t="s">
        <v>#N/A Invalid Field</v>
        <stp/>
        <stp>##V3_BDHV12</stp>
        <stp>31283H4W2 Mtge</stp>
        <stp>MTG_GEN_CPR_3M</stp>
        <stp>20090331</stp>
        <stp>20090331</stp>
        <stp>[Copy of 02_cpr_main.xlsx]data!R29C5</stp>
        <stp>Dts=H</stp>
        <tr r="E29" s="2"/>
      </tp>
      <tp t="s">
        <v>#N/A Invalid Field</v>
        <stp/>
        <stp>##V3_BDHV12</stp>
        <stp>3128GDQW3 Mtge</stp>
        <stp>MTG_GEN_CPR_3M</stp>
        <stp>20090331</stp>
        <stp>20090331</stp>
        <stp>[Copy of 02_cpr_main.xlsx]data!R47C5</stp>
        <stp>Dts=H</stp>
        <tr r="E47" s="2"/>
      </tp>
      <tp t="s">
        <v>#N/A Invalid Field</v>
        <stp/>
        <stp>##V3_BDHV12</stp>
        <stp>3128LUSW7 Mtge</stp>
        <stp>MTG_GEN_CPR_3M</stp>
        <stp>20090331</stp>
        <stp>20090331</stp>
        <stp>[Copy of 02_cpr_main.xlsx]data!R80C5</stp>
        <stp>Dts=H</stp>
        <tr r="E80" s="2"/>
      </tp>
      <tp t="s">
        <v>#N/A Invalid Field</v>
        <stp/>
        <stp>##V3_BDHV12</stp>
        <stp>3128M4VW0 Mtge</stp>
        <stp>MTG_GEN_CPR_3M</stp>
        <stp>20090331</stp>
        <stp>20090331</stp>
        <stp>[Copy of 02_cpr_main.xlsx]data!R85C5</stp>
        <stp>Dts=H</stp>
        <tr r="E85" s="2"/>
      </tp>
      <tp t="s">
        <v>#N/A Invalid Field</v>
        <stp/>
        <stp>##V3_BDHV12</stp>
        <stp>3128K7DW5 Mtge</stp>
        <stp>MTG_GEN_CPR_3M</stp>
        <stp>20090331</stp>
        <stp>20090331</stp>
        <stp>[Copy of 02_cpr_main.xlsx]data!R73C5</stp>
        <stp>Dts=H</stp>
        <tr r="E73" s="2"/>
      </tp>
      <tp t="s">
        <v>#N/A Invalid Field</v>
        <stp/>
        <stp>##V3_BDHV12</stp>
        <stp>3128KWMW0 Mtge</stp>
        <stp>MTG_GEN_CPR_3M</stp>
        <stp>20090331</stp>
        <stp>20090331</stp>
        <stp>[Copy of 02_cpr_main.xlsx]data!R75C5</stp>
        <stp>Dts=H</stp>
        <tr r="E75" s="2"/>
      </tp>
      <tp>
        <v>160</v>
        <stp/>
        <stp>##V3_BDPV12</stp>
        <stp>36202WH69 Mtge</stp>
        <stp>MTG_PREPAY_SPEED</stp>
        <stp>[Copy of 02_cpr_main.xlsx]data!R477C12</stp>
        <tr r="L477" s="2"/>
      </tp>
      <tp>
        <v>182</v>
        <stp/>
        <stp>##V3_BDPV12</stp>
        <stp>31413ME78 Mtge</stp>
        <stp>MTG_PREPAY_SPEED</stp>
        <stp>[Copy of 02_cpr_main.xlsx]data!R427C12</stp>
        <tr r="L427" s="2"/>
      </tp>
      <tp t="s">
        <v>#N/A N/A</v>
        <stp/>
        <stp>##V3_BDPV12</stp>
        <stp>31403DR68 Mtge</stp>
        <stp>MTG_PREPAY_SPEED</stp>
        <stp>[Copy of 02_cpr_main.xlsx]data!R301C12</stp>
        <tr r="L301" s="2"/>
      </tp>
      <tp t="s">
        <v>#N/A Invalid Field</v>
        <stp/>
        <stp>##V3_BDHV12</stp>
        <stp>01F062648 Mtge</stp>
        <stp>MTG_GEN_CPR_12M</stp>
        <stp>20090331</stp>
        <stp>20090331</stp>
        <stp>[Copy of 02_cpr_main.xlsx]data!R12C7</stp>
        <stp>Dts=H</stp>
        <tr r="G12" s="2"/>
      </tp>
      <tp t="s">
        <v>#N/A N/A</v>
        <stp/>
        <stp>##V3_BDPV12</stp>
        <stp>31404UE63 Mtge</stp>
        <stp>MTG_PREPAY_SPEED</stp>
        <stp>[Copy of 02_cpr_main.xlsx]data!R319C12</stp>
        <tr r="L319" s="2"/>
      </tp>
      <tp t="s">
        <v>#N/A N/A</v>
        <stp/>
        <stp>##V3_BDPV12</stp>
        <stp>31400KQ66 Mtge</stp>
        <stp>MTG_PREPAY_SPEED</stp>
        <stp>[Copy of 02_cpr_main.xlsx]data!R247C12</stp>
        <tr r="L247" s="2"/>
      </tp>
      <tp>
        <v>207</v>
        <stp/>
        <stp>##V3_BDPV12</stp>
        <stp>31407LE60 Mtge</stp>
        <stp>MTG_PREPAY_SPEED</stp>
        <stp>[Copy of 02_cpr_main.xlsx]data!R344C12</stp>
        <tr r="L344" s="2"/>
      </tp>
      <tp t="s">
        <v>#N/A N/A</v>
        <stp/>
        <stp>##V3_BDPV12</stp>
        <stp>31415TF70 Mtge</stp>
        <stp>MTG_PREPAY_SPEED</stp>
        <stp>[Copy of 02_cpr_main.xlsx]data!R455C12</stp>
        <tr r="L455" s="2"/>
      </tp>
      <tp t="s">
        <v>#N/A Invalid Field</v>
        <stp/>
        <stp>##V3_BDHV12</stp>
        <stp>31283HWZ4 Mtge</stp>
        <stp>MTG_GEN_CPR_6M</stp>
        <stp>20090610</stp>
        <stp>20090610</stp>
        <stp>[Copy of 02_cpr_main.xlsx]data!R33C9</stp>
        <stp>Dts=H</stp>
        <tr r="I33" s="2"/>
      </tp>
      <tp t="s">
        <v>#N/A Invalid Field</v>
        <stp/>
        <stp>##V3_BDHV12</stp>
        <stp>3128GGEV1 Mtge</stp>
        <stp>MTG_GEN_CPR_3M</stp>
        <stp>20090331</stp>
        <stp>20090331</stp>
        <stp>[Copy of 02_cpr_main.xlsx]data!R55C5</stp>
        <stp>Dts=H</stp>
        <tr r="E55" s="2"/>
      </tp>
      <tp t="s">
        <v>#N/A Invalid Field</v>
        <stp/>
        <stp>##V3_BDHV12</stp>
        <stp>3128GJFP7 Mtge</stp>
        <stp>MTG_GEN_CPR_6M</stp>
        <stp>20090331</stp>
        <stp>20090331</stp>
        <stp>[Copy of 02_cpr_main.xlsx]data!R59C6</stp>
        <stp>Dts=H</stp>
        <tr r="F59" s="2"/>
      </tp>
      <tp t="s">
        <v>#N/A Invalid Field</v>
        <stp/>
        <stp>##V3_BDHV12</stp>
        <stp>3128GDAZ3 Mtge</stp>
        <stp>MTG_GEN_CPR_6M</stp>
        <stp>20090610</stp>
        <stp>20090610</stp>
        <stp>[Copy of 02_cpr_main.xlsx]data!R44C9</stp>
        <stp>Dts=H</stp>
        <tr r="I44" s="2"/>
      </tp>
      <tp t="s">
        <v>#N/A Invalid Field</v>
        <stp/>
        <stp>##V3_BDHV12</stp>
        <stp>3128M6LZ9 Mtge</stp>
        <stp>MTG_GEN_CPR_6M</stp>
        <stp>20090610</stp>
        <stp>20090610</stp>
        <stp>[Copy of 02_cpr_main.xlsx]data!R88C9</stp>
        <stp>Dts=H</stp>
        <tr r="I88" s="2"/>
      </tp>
      <tp t="s">
        <v>#N/A Invalid Field</v>
        <stp/>
        <stp>##V3_BDHV12</stp>
        <stp>3128MB5P8 Mtge</stp>
        <stp>MTG_GEN_CPR_6M</stp>
        <stp>20090331</stp>
        <stp>20090331</stp>
        <stp>[Copy of 02_cpr_main.xlsx]data!R93C6</stp>
        <stp>Dts=H</stp>
        <tr r="F93" s="2"/>
      </tp>
      <tp>
        <v>169</v>
        <stp/>
        <stp>##V3_BDPV12</stp>
        <stp>31408HJ55 Mtge</stp>
        <stp>MTG_PREPAY_SPEED</stp>
        <stp>[Copy of 02_cpr_main.xlsx]data!R350C12</stp>
        <tr r="L350" s="2"/>
      </tp>
      <tp>
        <v>59.51</v>
        <stp/>
        <stp>##V3_BDPV12</stp>
        <stp>31406YB58 Mtge</stp>
        <stp>MTG_PREPAY_SPEED</stp>
        <stp>[Copy of 02_cpr_main.xlsx]data!R341C12</stp>
        <tr r="L341" s="2"/>
      </tp>
      <tp t="s">
        <v>#N/A N/A</v>
        <stp/>
        <stp>##V3_BDPV12</stp>
        <stp>31411WA49 Mtge</stp>
        <stp>MTG_PREPAY_SPEED</stp>
        <stp>[Copy of 02_cpr_main.xlsx]data!R397C12</stp>
        <tr r="L397" s="2"/>
      </tp>
      <tp>
        <v>160</v>
        <stp/>
        <stp>##V3_BDPV12</stp>
        <stp>36209EX56 Mtge</stp>
        <stp>MTG_PREPAY_SPEED</stp>
        <stp>[Copy of 02_cpr_main.xlsx]data!R481C12</stp>
        <tr r="L481" s="2"/>
      </tp>
      <tp t="s">
        <v>#N/A Invalid Field</v>
        <stp/>
        <stp>##V3_BDHV12</stp>
        <stp>02R050648 Mtge</stp>
        <stp>MTG_GEN_CPR_12M</stp>
        <stp>20090331</stp>
        <stp>20090331</stp>
        <stp>[Copy of 02_cpr_main.xlsx]data!R22C7</stp>
        <stp>Dts=H</stp>
        <tr r="G22" s="2"/>
      </tp>
      <tp t="s">
        <v>#N/A Invalid Field</v>
        <stp/>
        <stp>##V3_BDHV12</stp>
        <stp>31283KNU8 Mtge</stp>
        <stp>MTG_GEN_CPR_3M</stp>
        <stp>20090331</stp>
        <stp>20090331</stp>
        <stp>[Copy of 02_cpr_main.xlsx]data!R35C5</stp>
        <stp>Dts=H</stp>
        <tr r="E35" s="2"/>
      </tp>
      <tp t="s">
        <v>#N/A Invalid Field</v>
        <stp/>
        <stp>##V3_BDHV12</stp>
        <stp>3128MBJS7 Mtge</stp>
        <stp>MTG_GEN_CPR_6M</stp>
        <stp>20090331</stp>
        <stp>20090331</stp>
        <stp>[Copy of 02_cpr_main.xlsx]data!R95C6</stp>
        <stp>Dts=H</stp>
        <tr r="F95" s="2"/>
      </tp>
      <tp t="s">
        <v>#N/A Invalid Field</v>
        <stp/>
        <stp>##V3_BDHV12</stp>
        <stp>3128M6UU0 Mtge</stp>
        <stp>MTG_GEN_CPR_3M</stp>
        <stp>20090331</stp>
        <stp>20090331</stp>
        <stp>[Copy of 02_cpr_main.xlsx]data!R91C5</stp>
        <stp>Dts=H</stp>
        <tr r="E91" s="2"/>
      </tp>
      <tp t="s">
        <v>#N/A Invalid Field</v>
        <stp/>
        <stp>##V3_BDHV12</stp>
        <stp>31287R2R9 Mtge</stp>
        <stp>MTG_GEN_CPR_12M</stp>
        <stp>20090331</stp>
        <stp>20090331</stp>
        <stp>[Copy of 02_cpr_main.xlsx]data!R37C7</stp>
        <stp>Dts=H</stp>
        <tr r="G37" s="2"/>
      </tp>
      <tp t="s">
        <v>#N/A Invalid Field</v>
        <stp/>
        <stp>##V3_BDHV12</stp>
        <stp>3128KDAY1 Mtge</stp>
        <stp>MTG_GEN_CPR_6M</stp>
        <stp>20090610</stp>
        <stp>20090610</stp>
        <stp>[Copy of 02_cpr_main.xlsx]data!R74C9</stp>
        <stp>Dts=H</stp>
        <tr r="I74" s="2"/>
      </tp>
      <tp t="s">
        <v>#N/A Invalid Field</v>
        <stp/>
        <stp>##V3_BDHV12</stp>
        <stp>3128GDPU8 Mtge</stp>
        <stp>MTG_GEN_CPR_3M</stp>
        <stp>20090331</stp>
        <stp>20090331</stp>
        <stp>[Copy of 02_cpr_main.xlsx]data!R45C5</stp>
        <stp>Dts=H</stp>
        <tr r="E45" s="2"/>
      </tp>
      <tp t="s">
        <v>#N/A Invalid Field</v>
        <stp/>
        <stp>##V3_BDHV12</stp>
        <stp>3128L8QS7 Mtge</stp>
        <stp>MTG_GEN_CPR_6M</stp>
        <stp>20090331</stp>
        <stp>20090331</stp>
        <stp>[Copy of 02_cpr_main.xlsx]data!R77C6</stp>
        <stp>Dts=H</stp>
        <tr r="F77" s="2"/>
      </tp>
      <tp t="s">
        <v>#N/A Invalid Field</v>
        <stp/>
        <stp>##V3_BDHV12</stp>
        <stp>3128L7UY1 Mtge</stp>
        <stp>MTG_GEN_CPR_6M</stp>
        <stp>20090610</stp>
        <stp>20090610</stp>
        <stp>[Copy of 02_cpr_main.xlsx]data!R76C9</stp>
        <stp>Dts=H</stp>
        <tr r="I76" s="2"/>
      </tp>
      <tp t="s">
        <v>#N/A Invalid Field</v>
        <stp/>
        <stp>##V3_BDHV12</stp>
        <stp>3128M6RS9 Mtge</stp>
        <stp>MTG_GEN_CPR_6M</stp>
        <stp>20090331</stp>
        <stp>20090331</stp>
        <stp>[Copy of 02_cpr_main.xlsx]data!R90C6</stp>
        <stp>Dts=H</stp>
        <tr r="F90" s="2"/>
      </tp>
      <tp t="s">
        <v>#N/A Invalid Field</v>
        <stp/>
        <stp>##V3_BDHV12</stp>
        <stp>31406YB58 Mtge</stp>
        <stp>MTG_GEN_CPR_12M</stp>
        <stp>20090331</stp>
        <stp>20090331</stp>
        <stp>[Copy of 02_cpr_main.xlsx]data!R341C7</stp>
        <stp>Dts=H</stp>
        <tr r="G341" s="2"/>
      </tp>
      <tp t="s">
        <v>#N/A Invalid Field</v>
        <stp/>
        <stp>##V3_BDHV12</stp>
        <stp>31404YDK5 Mtge</stp>
        <stp>MTG_GEN_CPR_12M</stp>
        <stp>20090331</stp>
        <stp>20090331</stp>
        <stp>[Copy of 02_cpr_main.xlsx]data!R322C7</stp>
        <stp>Dts=H</stp>
        <tr r="G322" s="2"/>
      </tp>
      <tp t="s">
        <v>#N/A Invalid Field</v>
        <stp/>
        <stp>##V3_BDHV12</stp>
        <stp>31385XEC7 Mtge</stp>
        <stp>MTG_GEN_CPR_12M</stp>
        <stp>20090331</stp>
        <stp>20090331</stp>
        <stp>[Copy of 02_cpr_main.xlsx]data!R221C7</stp>
        <stp>Dts=H</stp>
        <tr r="G221" s="2"/>
      </tp>
      <tp t="s">
        <v>#N/A Invalid Field</v>
        <stp/>
        <stp>##V3_BDHV12</stp>
        <stp>31385XDL8 Mtge</stp>
        <stp>MTG_GEN_CPR_12M</stp>
        <stp>20090331</stp>
        <stp>20090331</stp>
        <stp>[Copy of 02_cpr_main.xlsx]data!R220C7</stp>
        <stp>Dts=H</stp>
        <tr r="G220" s="2"/>
      </tp>
      <tp t="s">
        <v>#N/A Invalid Field</v>
        <stp/>
        <stp>##V3_BDHV12</stp>
        <stp>36201YC95 Mtge</stp>
        <stp>MTG_GEN_CPR_12M</stp>
        <stp>20090331</stp>
        <stp>20090331</stp>
        <stp>[Copy of 02_cpr_main.xlsx]data!R474C7</stp>
        <stp>Dts=H</stp>
        <tr r="G474" s="2"/>
      </tp>
      <tp t="s">
        <v>#N/A Invalid Field</v>
        <stp/>
        <stp>##V3_BDHV12</stp>
        <stp>31385XFF9 Mtge</stp>
        <stp>MTG_GEN_CPR_12M</stp>
        <stp>20090331</stp>
        <stp>20090331</stp>
        <stp>[Copy of 02_cpr_main.xlsx]data!R222C7</stp>
        <stp>Dts=H</stp>
        <tr r="G222" s="2"/>
      </tp>
      <tp t="s">
        <v>#N/A Invalid Field</v>
        <stp/>
        <stp>##V3_BDHV12</stp>
        <stp>31411YDS9 Mtge</stp>
        <stp>MTG_GEN_CPR_12M</stp>
        <stp>20090331</stp>
        <stp>20090331</stp>
        <stp>[Copy of 02_cpr_main.xlsx]data!R399C7</stp>
        <stp>Dts=H</stp>
        <tr r="G399" s="2"/>
      </tp>
      <tp t="s">
        <v>#N/A Invalid Field</v>
        <stp/>
        <stp>##V3_BDHV12</stp>
        <stp>31385XKK2 Mtge</stp>
        <stp>MTG_GEN_CPR_12M</stp>
        <stp>20090331</stp>
        <stp>20090331</stp>
        <stp>[Copy of 02_cpr_main.xlsx]data!R223C7</stp>
        <stp>Dts=H</stp>
        <tr r="G223" s="2"/>
      </tp>
      <tp t="s">
        <v>#N/A Invalid Field</v>
        <stp/>
        <stp>##V3_BDHV12</stp>
        <stp>36208YF46 Mtge</stp>
        <stp>MTG_GEN_CPR_12M</stp>
        <stp>20090331</stp>
        <stp>20090331</stp>
        <stp>[Copy of 02_cpr_main.xlsx]data!R480C7</stp>
        <stp>Dts=H</stp>
        <tr r="G480" s="2"/>
      </tp>
      <tp t="s">
        <v>#N/A Invalid Field</v>
        <stp/>
        <stp>##V3_BDHV12</stp>
        <stp>31385XLM7 Mtge</stp>
        <stp>MTG_GEN_CPR_12M</stp>
        <stp>20090331</stp>
        <stp>20090331</stp>
        <stp>[Copy of 02_cpr_main.xlsx]data!R224C7</stp>
        <stp>Dts=H</stp>
        <tr r="G224" s="2"/>
      </tp>
      <tp t="s">
        <v>#N/A Invalid Field</v>
        <stp/>
        <stp>##V3_BDHV12</stp>
        <stp>31385XLV7 Mtge</stp>
        <stp>MTG_GEN_CPR_12M</stp>
        <stp>20090331</stp>
        <stp>20090331</stp>
        <stp>[Copy of 02_cpr_main.xlsx]data!R225C7</stp>
        <stp>Dts=H</stp>
        <tr r="G225" s="2"/>
      </tp>
      <tp t="s">
        <v>#N/A Invalid Field</v>
        <stp/>
        <stp>##V3_BDHV12</stp>
        <stp>31385XNG8 Mtge</stp>
        <stp>MTG_GEN_CPR_12M</stp>
        <stp>20090331</stp>
        <stp>20090331</stp>
        <stp>[Copy of 02_cpr_main.xlsx]data!R226C7</stp>
        <stp>Dts=H</stp>
        <tr r="G226" s="2"/>
      </tp>
      <tp t="s">
        <v>#N/A Invalid Field</v>
        <stp/>
        <stp>##V3_BDHV12</stp>
        <stp>31401XSY4 Mtge</stp>
        <stp>MTG_GEN_CPR_12M</stp>
        <stp>20090331</stp>
        <stp>20090331</stp>
        <stp>[Copy of 02_cpr_main.xlsx]data!R260C7</stp>
        <stp>Dts=H</stp>
        <tr r="G260" s="2"/>
      </tp>
      <tp t="s">
        <v>#N/A Invalid Field</v>
        <stp/>
        <stp>##V3_BDHV12</stp>
        <stp>31382XQE3 Mtge</stp>
        <stp>MTG_GEN_CPR_12M</stp>
        <stp>20090331</stp>
        <stp>20090331</stp>
        <stp>[Copy of 02_cpr_main.xlsx]data!R206C7</stp>
        <stp>Dts=H</stp>
        <tr r="G206" s="2"/>
      </tp>
      <tp t="s">
        <v>#N/A Invalid Field</v>
        <stp/>
        <stp>##V3_BDHV12</stp>
        <stp>31401XU96 Mtge</stp>
        <stp>MTG_GEN_CPR_12M</stp>
        <stp>20090331</stp>
        <stp>20090331</stp>
        <stp>[Copy of 02_cpr_main.xlsx]data!R261C7</stp>
        <stp>Dts=H</stp>
        <tr r="G261" s="2"/>
      </tp>
      <tp t="s">
        <v>#N/A Invalid Field</v>
        <stp/>
        <stp>##V3_BDHV12</stp>
        <stp>31287YVT8 Mtge</stp>
        <stp>MTG_GEN_CPR_12M</stp>
        <stp>20090610</stp>
        <stp>20090610</stp>
        <stp>[Copy of 02_cpr_main.xlsx]data!R38C10</stp>
        <stp>Dts=H</stp>
        <tr r="J38" s="2"/>
      </tp>
      <tp t="s">
        <v>#N/A Invalid Field</v>
        <stp/>
        <stp>##V3_BDHV12</stp>
        <stp>31405YX48 Mtge</stp>
        <stp>MTG_GEN_CPR_12M</stp>
        <stp>20090331</stp>
        <stp>20090331</stp>
        <stp>[Copy of 02_cpr_main.xlsx]data!R331C7</stp>
        <stp>Dts=H</stp>
        <tr r="G331" s="2"/>
      </tp>
      <tp t="s">
        <v>#N/A Invalid Field</v>
        <stp/>
        <stp>##V3_BDHV12</stp>
        <stp>31405YXX4 Mtge</stp>
        <stp>MTG_GEN_CPR_12M</stp>
        <stp>20090331</stp>
        <stp>20090331</stp>
        <stp>[Copy of 02_cpr_main.xlsx]data!R332C7</stp>
        <stp>Dts=H</stp>
        <tr r="G332" s="2"/>
      </tp>
      <tp t="s">
        <v>#N/A Invalid Field</v>
        <stp/>
        <stp>##V3_BDHV12</stp>
        <stp>31407X2Q3 Mtge</stp>
        <stp>MTG_GEN_CPR_12M</stp>
        <stp>20090331</stp>
        <stp>20090331</stp>
        <stp>[Copy of 02_cpr_main.xlsx]data!R348C7</stp>
        <stp>Dts=H</stp>
        <tr r="G348" s="2"/>
      </tp>
      <tp t="s">
        <v>#N/A Invalid Field</v>
        <stp/>
        <stp>##V3_BDHV12</stp>
        <stp>31386Y5M2 Mtge</stp>
        <stp>MTG_GEN_CPR_12M</stp>
        <stp>20090331</stp>
        <stp>20090331</stp>
        <stp>[Copy of 02_cpr_main.xlsx]data!R227C7</stp>
        <stp>Dts=H</stp>
        <tr r="G227" s="2"/>
      </tp>
      <tp t="s">
        <v>#N/A Invalid Field</v>
        <stp/>
        <stp>##V3_BDHV12</stp>
        <stp>31411X6Z3 Mtge</stp>
        <stp>MTG_GEN_CPR_12M</stp>
        <stp>20090331</stp>
        <stp>20090331</stp>
        <stp>[Copy of 02_cpr_main.xlsx]data!R398C7</stp>
        <stp>Dts=H</stp>
        <tr r="G398" s="2"/>
      </tp>
      <tp>
        <v>125</v>
        <stp/>
        <stp>##V3_BDPV12</stp>
        <stp>31368HM26 Mtge</stp>
        <stp>MTG_PREPAY_SPEED</stp>
        <stp>[Copy of 02_cpr_main.xlsx]data!R159C12</stp>
        <tr r="L159" s="2"/>
      </tp>
      <tp>
        <v>3.55</v>
        <stp/>
        <stp>##V3_BDPV12</stp>
        <stp>31405YX48 Mtge</stp>
        <stp>MTG_PREPAY_SPEED</stp>
        <stp>[Copy of 02_cpr_main.xlsx]data!R331C12</stp>
        <tr r="L331" s="2"/>
      </tp>
      <tp>
        <v>125</v>
        <stp/>
        <stp>##V3_BDPV12</stp>
        <stp>31406UL48 Mtge</stp>
        <stp>MTG_PREPAY_SPEED</stp>
        <stp>[Copy of 02_cpr_main.xlsx]data!R339C12</stp>
        <tr r="L339" s="2"/>
      </tp>
      <tp>
        <v>150</v>
        <stp/>
        <stp>##V3_BDPV12</stp>
        <stp>36208YF46 Mtge</stp>
        <stp>MTG_PREPAY_SPEED</stp>
        <stp>[Copy of 02_cpr_main.xlsx]data!R480C12</stp>
        <tr r="L480" s="2"/>
      </tp>
      <tp t="s">
        <v>#N/A N/A</v>
        <stp/>
        <stp>##V3_BDPV12</stp>
        <stp>31401KR49 Mtge</stp>
        <stp>MTG_PREPAY_SPEED</stp>
        <stp>[Copy of 02_cpr_main.xlsx]data!R257C12</stp>
        <tr r="L257" s="2"/>
      </tp>
      <tp>
        <v>161</v>
        <stp/>
        <stp>##V3_BDPV12</stp>
        <stp>31410GQ55 Mtge</stp>
        <stp>MTG_PREPAY_SPEED</stp>
        <stp>[Copy of 02_cpr_main.xlsx]data!R370C12</stp>
        <tr r="L370" s="2"/>
      </tp>
      <tp t="s">
        <v>#N/A Invalid Field</v>
        <stp/>
        <stp>##V3_BDHV12</stp>
        <stp>21H060648 Mtge</stp>
        <stp>MTG_GEN_CPR_12M</stp>
        <stp>20090331</stp>
        <stp>20090331</stp>
        <stp>[Copy of 02_cpr_main.xlsx]data!R27C7</stp>
        <stp>Dts=H</stp>
        <tr r="G27" s="2"/>
      </tp>
      <tp t="s">
        <v>#N/A Invalid Field</v>
        <stp/>
        <stp>##V3_BDHV12</stp>
        <stp>31287YVT8 Mtge</stp>
        <stp>MTG_GEN_CPR_3M</stp>
        <stp>20090331</stp>
        <stp>20090331</stp>
        <stp>[Copy of 02_cpr_main.xlsx]data!R38C5</stp>
        <stp>Dts=H</stp>
        <tr r="E38" s="2"/>
      </tp>
      <tp t="s">
        <v>#N/A Invalid Field</v>
        <stp/>
        <stp>##V3_BDHV12</stp>
        <stp>31287R2R9 Mtge</stp>
        <stp>MTG_GEN_CPR_6M</stp>
        <stp>20090331</stp>
        <stp>20090331</stp>
        <stp>[Copy of 02_cpr_main.xlsx]data!R37C6</stp>
        <stp>Dts=H</stp>
        <tr r="F37" s="2"/>
      </tp>
      <tp t="s">
        <v>#N/A Invalid Field</v>
        <stp/>
        <stp>##V3_BDHV12</stp>
        <stp>3128GGGX5 Mtge</stp>
        <stp>MTG_GEN_CPR_6M</stp>
        <stp>20090610</stp>
        <stp>20090610</stp>
        <stp>[Copy of 02_cpr_main.xlsx]data!R56C9</stp>
        <stp>Dts=H</stp>
        <tr r="I56" s="2"/>
      </tp>
      <tp t="s">
        <v>#N/A Invalid Field</v>
        <stp/>
        <stp>##V3_BDHV12</stp>
        <stp>31287YVT8 Mtge</stp>
        <stp>MTG_GEN_CPR_12M</stp>
        <stp>20090331</stp>
        <stp>20090331</stp>
        <stp>[Copy of 02_cpr_main.xlsx]data!R38C7</stp>
        <stp>Dts=H</stp>
        <tr r="G38" s="2"/>
      </tp>
      <tp t="s">
        <v>#N/A Invalid Field</v>
        <stp/>
        <stp>##V3_BDHV12</stp>
        <stp>3128GDZX1 Mtge</stp>
        <stp>MTG_GEN_CPR_6M</stp>
        <stp>20090610</stp>
        <stp>20090610</stp>
        <stp>[Copy of 02_cpr_main.xlsx]data!R50C9</stp>
        <stp>Dts=H</stp>
        <tr r="I50" s="2"/>
      </tp>
      <tp t="s">
        <v>#N/A Invalid Field</v>
        <stp/>
        <stp>##V3_BDHV12</stp>
        <stp>3128M6AX6 Mtge</stp>
        <stp>MTG_GEN_CPR_6M</stp>
        <stp>20090610</stp>
        <stp>20090610</stp>
        <stp>[Copy of 02_cpr_main.xlsx]data!R87C9</stp>
        <stp>Dts=H</stp>
        <tr r="I87" s="2"/>
      </tp>
      <tp t="s">
        <v>#N/A Invalid Field</v>
        <stp/>
        <stp>##V3_BDHV12</stp>
        <stp>3128GCVT6 Mtge</stp>
        <stp>MTG_GEN_CPR_3M</stp>
        <stp>20090331</stp>
        <stp>20090331</stp>
        <stp>[Copy of 02_cpr_main.xlsx]data!R43C5</stp>
        <stp>Dts=H</stp>
        <tr r="E43" s="2"/>
      </tp>
      <tp t="s">
        <v>#N/A Invalid Field</v>
        <stp/>
        <stp>##V3_BDHV12</stp>
        <stp>3128MBZR1 Mtge</stp>
        <stp>MTG_GEN_CPR_6M</stp>
        <stp>20090331</stp>
        <stp>20090331</stp>
        <stp>[Copy of 02_cpr_main.xlsx]data!R96C6</stp>
        <stp>Dts=H</stp>
        <tr r="F96" s="2"/>
      </tp>
      <tp t="s">
        <v>#N/A Invalid Field</v>
        <stp/>
        <stp>##V3_BDHV12</stp>
        <stp>3128H33R0 Mtge</stp>
        <stp>MTG_GEN_CPR_6M</stp>
        <stp>20090331</stp>
        <stp>20090331</stp>
        <stp>[Copy of 02_cpr_main.xlsx]data!R65C6</stp>
        <stp>Dts=H</stp>
        <tr r="F65" s="2"/>
      </tp>
      <tp t="s">
        <v>#N/A Invalid Field</v>
        <stp/>
        <stp>##V3_BDHV12</stp>
        <stp>31382YJK5 Mtge</stp>
        <stp>MTG_GEN_CPR_12M</stp>
        <stp>20090331</stp>
        <stp>20090331</stp>
        <stp>[Copy of 02_cpr_main.xlsx]data!R207C7</stp>
        <stp>Dts=H</stp>
        <tr r="G207" s="2"/>
      </tp>
      <tp t="s">
        <v>#N/A Invalid Field</v>
        <stp/>
        <stp>##V3_BDHV12</stp>
        <stp>31409XHN2 Mtge</stp>
        <stp>MTG_GEN_CPR_12M</stp>
        <stp>20090331</stp>
        <stp>20090331</stp>
        <stp>[Copy of 02_cpr_main.xlsx]data!R356C7</stp>
        <stp>Dts=H</stp>
        <tr r="G356" s="2"/>
      </tp>
      <tp t="s">
        <v>#N/A Invalid Field</v>
        <stp/>
        <stp>##V3_BDHV12</stp>
        <stp>31410XF84 Mtge</stp>
        <stp>MTG_GEN_CPR_12M</stp>
        <stp>20090331</stp>
        <stp>20090331</stp>
        <stp>[Copy of 02_cpr_main.xlsx]data!R388C7</stp>
        <stp>Dts=H</stp>
        <tr r="G388" s="2"/>
      </tp>
      <tp t="s">
        <v>#N/A Invalid Field</v>
        <stp/>
        <stp>##V3_BDHV12</stp>
        <stp>31410XGK6 Mtge</stp>
        <stp>MTG_GEN_CPR_12M</stp>
        <stp>20090331</stp>
        <stp>20090331</stp>
        <stp>[Copy of 02_cpr_main.xlsx]data!R389C7</stp>
        <stp>Dts=H</stp>
        <tr r="G389" s="2"/>
      </tp>
      <tp t="s">
        <v>#N/A Invalid Field</v>
        <stp/>
        <stp>##V3_BDHV12</stp>
        <stp>31404XJG0 Mtge</stp>
        <stp>MTG_GEN_CPR_12M</stp>
        <stp>20090331</stp>
        <stp>20090331</stp>
        <stp>[Copy of 02_cpr_main.xlsx]data!R321C7</stp>
        <stp>Dts=H</stp>
        <tr r="G321" s="2"/>
      </tp>
      <tp t="s">
        <v>#N/A Invalid Field</v>
        <stp/>
        <stp>##V3_BDHV12</stp>
        <stp>31391YTH0 Mtge</stp>
        <stp>MTG_GEN_CPR_12M</stp>
        <stp>20090331</stp>
        <stp>20090331</stp>
        <stp>[Copy of 02_cpr_main.xlsx]data!R243C7</stp>
        <stp>Dts=H</stp>
        <tr r="G243" s="2"/>
      </tp>
      <tp t="s">
        <v>#N/A Invalid Field</v>
        <stp/>
        <stp>##V3_BDHV12</stp>
        <stp>31405XXV0 Mtge</stp>
        <stp>MTG_GEN_CPR_12M</stp>
        <stp>20090331</stp>
        <stp>20090331</stp>
        <stp>[Copy of 02_cpr_main.xlsx]data!R330C7</stp>
        <stp>Dts=H</stp>
        <tr r="G330" s="2"/>
      </tp>
    </main>
    <main first="bloomberg.rtd">
      <tp t="s">
        <v>#N/A Invalid Field</v>
        <stp/>
        <stp>##V3_BDHV12</stp>
        <stp>31415XSZ5 Mtge</stp>
        <stp>MTG_GEN_CPR_3M</stp>
        <stp>20090610</stp>
        <stp>20090610</stp>
        <stp>[Copy of 02_cpr_main.xlsx]data!R459C8</stp>
        <stp>Dts=H</stp>
        <tr r="H459" s="2"/>
      </tp>
      <tp t="s">
        <v>#N/A Invalid Field</v>
        <stp/>
        <stp>##V3_BDHV12</stp>
        <stp>31411UPM7 Mtge</stp>
        <stp>MTG_GEN_CPR_6M</stp>
        <stp>20090610</stp>
        <stp>20090610</stp>
        <stp>[Copy of 02_cpr_main.xlsx]data!R396C9</stp>
        <stp>Dts=H</stp>
        <tr r="I396" s="2"/>
      </tp>
      <tp t="s">
        <v>#N/A N/A</v>
        <stp/>
        <stp>##V3_BDPV12</stp>
        <stp>31384VRC8 Mtge</stp>
        <stp>MTG_PREPAY_SPEED</stp>
        <stp>[Copy of 02_cpr_main.xlsx]data!R211C12</stp>
        <tr r="L211" s="2"/>
      </tp>
      <tp t="s">
        <v>#N/A Invalid Field</v>
        <stp/>
        <stp>##V3_BDHV12</stp>
        <stp>31410WX37 Mtge</stp>
        <stp>MTG_GEN_CPR_3M</stp>
        <stp>20090610</stp>
        <stp>20090610</stp>
        <stp>[Copy of 02_cpr_main.xlsx]data!R387C8</stp>
        <stp>Dts=H</stp>
        <tr r="H387" s="2"/>
      </tp>
      <tp t="s">
        <v>#N/A Invalid Field</v>
        <stp/>
        <stp>##V3_BDHV12</stp>
        <stp>31401XU96 Mtge</stp>
        <stp>MTG_GEN_CPR_6M</stp>
        <stp>20090610</stp>
        <stp>20090610</stp>
        <stp>[Copy of 02_cpr_main.xlsx]data!R261C9</stp>
        <stp>Dts=H</stp>
        <tr r="I261" s="2"/>
      </tp>
      <tp t="s">
        <v>#N/A Invalid Field</v>
        <stp/>
        <stp>##V3_BDHV12</stp>
        <stp>31406YB58 Mtge</stp>
        <stp>MTG_GEN_CPR_6M</stp>
        <stp>20090331</stp>
        <stp>20090331</stp>
        <stp>[Copy of 02_cpr_main.xlsx]data!R341C6</stp>
        <stp>Dts=H</stp>
        <tr r="F341" s="2"/>
      </tp>
      <tp t="s">
        <v>#N/A Invalid Field</v>
        <stp/>
        <stp>##V3_BDHV12</stp>
        <stp>31405YX48 Mtge</stp>
        <stp>MTG_GEN_CPR_3M</stp>
        <stp>20090331</stp>
        <stp>20090331</stp>
        <stp>[Copy of 02_cpr_main.xlsx]data!R331C5</stp>
        <stp>Dts=H</stp>
        <tr r="E331" s="2"/>
      </tp>
      <tp t="s">
        <v>#N/A Invalid Field</v>
        <stp/>
        <stp>##V3_BDHV12</stp>
        <stp>31385XFF9 Mtge</stp>
        <stp>MTG_GEN_CPR_3M</stp>
        <stp>20090331</stp>
        <stp>20090331</stp>
        <stp>[Copy of 02_cpr_main.xlsx]data!R222C5</stp>
        <stp>Dts=H</stp>
        <tr r="E222" s="2"/>
      </tp>
      <tp t="s">
        <v>#N/A Invalid Field</v>
        <stp/>
        <stp>##V3_BDHV12</stp>
        <stp>31382YJK5 Mtge</stp>
        <stp>MTG_GEN_CPR_6M</stp>
        <stp>20090610</stp>
        <stp>20090610</stp>
        <stp>[Copy of 02_cpr_main.xlsx]data!R207C9</stp>
        <stp>Dts=H</stp>
        <tr r="I207" s="2"/>
      </tp>
      <tp>
        <v>182</v>
        <stp/>
        <stp>##V3_BDPV12</stp>
        <stp>31390EJB9 Mtge</stp>
        <stp>MTG_PREPAY_SPEED</stp>
        <stp>[Copy of 02_cpr_main.xlsx]data!R231C12</stp>
        <tr r="L231" s="2"/>
      </tp>
      <tp t="s">
        <v>#N/A Invalid Field</v>
        <stp/>
        <stp>##V3_BDHV12</stp>
        <stp>36209WQL9 Mtge</stp>
        <stp>MTG_GEN_CPR_3M</stp>
        <stp>20090610</stp>
        <stp>20090610</stp>
        <stp>[Copy of 02_cpr_main.xlsx]data!R482C8</stp>
        <stp>Dts=H</stp>
        <tr r="H482" s="2"/>
      </tp>
      <tp>
        <v>177</v>
        <stp/>
        <stp>##V3_BDPV12</stp>
        <stp>31410F6J9 Mtge</stp>
        <stp>MTG_PREPAY_SPEED</stp>
        <stp>[Copy of 02_cpr_main.xlsx]data!R363C12</stp>
        <tr r="L363" s="2"/>
      </tp>
      <tp t="s">
        <v>#N/A Invalid Field</v>
        <stp/>
        <stp>##V3_BDHV12</stp>
        <stp>31402RR84 Mtge</stp>
        <stp>MTG_GEN_CPR_3M</stp>
        <stp>20090610</stp>
        <stp>20090610</stp>
        <stp>[Copy of 02_cpr_main.xlsx]data!R287C8</stp>
        <stp>Dts=H</stp>
        <tr r="H287" s="2"/>
      </tp>
      <tp t="s">
        <v>#N/A Invalid Field</v>
        <stp/>
        <stp>##V3_BDHV12</stp>
        <stp>31385XKK2 Mtge</stp>
        <stp>MTG_GEN_CPR_6M</stp>
        <stp>20090610</stp>
        <stp>20090610</stp>
        <stp>[Copy of 02_cpr_main.xlsx]data!R223C9</stp>
        <stp>Dts=H</stp>
        <tr r="I223" s="2"/>
      </tp>
      <tp t="s">
        <v>#N/A Invalid Field</v>
        <stp/>
        <stp>##V3_BDHV12</stp>
        <stp>31402RJL4 Mtge</stp>
        <stp>MTG_GEN_CPR_3M</stp>
        <stp>20090610</stp>
        <stp>20090610</stp>
        <stp>[Copy of 02_cpr_main.xlsx]data!R285C8</stp>
        <stp>Dts=H</stp>
        <tr r="H285" s="2"/>
      </tp>
      <tp t="s">
        <v>#N/A Invalid Field</v>
        <stp/>
        <stp>##V3_BDHV12</stp>
        <stp>31412T5U3 Mtge</stp>
        <stp>MTG_GEN_CPR_6M</stp>
        <stp>20090610</stp>
        <stp>20090610</stp>
        <stp>[Copy of 02_cpr_main.xlsx]data!R413C9</stp>
        <stp>Dts=H</stp>
        <tr r="I413" s="2"/>
      </tp>
      <tp t="s">
        <v>#N/A Invalid Field</v>
        <stp/>
        <stp>##V3_BDHV12</stp>
        <stp>31385W7B9 Mtge</stp>
        <stp>MTG_GEN_CPR_3M</stp>
        <stp>20090331</stp>
        <stp>20090331</stp>
        <stp>[Copy of 02_cpr_main.xlsx]data!R217C5</stp>
        <stp>Dts=H</stp>
        <tr r="E217" s="2"/>
      </tp>
      <tp t="s">
        <v>#N/A Invalid Field</v>
        <stp/>
        <stp>##V3_BDHV12</stp>
        <stp>31407RVA9 Mtge</stp>
        <stp>MTG_GEN_CPR_6M</stp>
        <stp>20090331</stp>
        <stp>20090331</stp>
        <stp>[Copy of 02_cpr_main.xlsx]data!R346C6</stp>
        <stp>Dts=H</stp>
        <tr r="F346" s="2"/>
      </tp>
      <tp t="s">
        <v>#N/A Invalid Field</v>
        <stp/>
        <stp>##V3_BDHV12</stp>
        <stp>31400QVB6 Mtge</stp>
        <stp>MTG_GEN_CPR_3M</stp>
        <stp>20090610</stp>
        <stp>20090610</stp>
        <stp>[Copy of 02_cpr_main.xlsx]data!R248C8</stp>
        <stp>Dts=H</stp>
        <tr r="H248" s="2"/>
      </tp>
      <tp t="s">
        <v>#N/A Invalid Field</v>
        <stp/>
        <stp>##V3_BDHV12</stp>
        <stp>31406UL48 Mtge</stp>
        <stp>MTG_GEN_CPR_6M</stp>
        <stp>20090331</stp>
        <stp>20090331</stp>
        <stp>[Copy of 02_cpr_main.xlsx]data!R339C6</stp>
        <stp>Dts=H</stp>
        <tr r="F339" s="2"/>
      </tp>
      <tp t="s">
        <v>#N/A Invalid Field</v>
        <stp/>
        <stp>##V3_BDHV12</stp>
        <stp>31298SM84 Mtge</stp>
        <stp>MTG_GEN_CPR_6M</stp>
        <stp>20090331</stp>
        <stp>20090331</stp>
        <stp>[Copy of 02_cpr_main.xlsx]data!R153C6</stp>
        <stp>Dts=H</stp>
        <tr r="F153" s="2"/>
      </tp>
      <tp>
        <v>123</v>
        <stp/>
        <stp>##V3_BDPV12</stp>
        <stp>36291PSB3 Mtge</stp>
        <stp>MTG_PREPAY_SPEED</stp>
        <stp>[Copy of 02_cpr_main.xlsx]data!R504C12</stp>
        <tr r="L504" s="2"/>
      </tp>
      <tp t="s">
        <v>#N/A Invalid Field</v>
        <stp/>
        <stp>##V3_BDHV12</stp>
        <stp>31384VRC8 Mtge</stp>
        <stp>MTG_GEN_CPR_3M</stp>
        <stp>20090331</stp>
        <stp>20090331</stp>
        <stp>[Copy of 02_cpr_main.xlsx]data!R211C5</stp>
        <stp>Dts=H</stp>
        <tr r="E211" s="2"/>
      </tp>
      <tp t="s">
        <v>#N/A Invalid Field</v>
        <stp/>
        <stp>##V3_BDHV12</stp>
        <stp>31382TTG4 Mtge</stp>
        <stp>MTG_GEN_CPR_3M</stp>
        <stp>20090610</stp>
        <stp>20090610</stp>
        <stp>[Copy of 02_cpr_main.xlsx]data!R203C8</stp>
        <stp>Dts=H</stp>
        <tr r="H203" s="2"/>
      </tp>
      <tp t="s">
        <v>#N/A Invalid Field</v>
        <stp/>
        <stp>##V3_BDHV12</stp>
        <stp>31405UVD8 Mtge</stp>
        <stp>MTG_GEN_CPR_3M</stp>
        <stp>20090331</stp>
        <stp>20090331</stp>
        <stp>[Copy of 02_cpr_main.xlsx]data!R328C5</stp>
        <stp>Dts=H</stp>
        <tr r="E328" s="2"/>
      </tp>
      <tp t="s">
        <v>#N/A Invalid Field</v>
        <stp/>
        <stp>##V3_BDHV12</stp>
        <stp>31415QGG5 Mtge</stp>
        <stp>MTG_GEN_CPR_3M</stp>
        <stp>20090610</stp>
        <stp>20090610</stp>
        <stp>[Copy of 02_cpr_main.xlsx]data!R451C8</stp>
        <stp>Dts=H</stp>
        <tr r="H451" s="2"/>
      </tp>
      <tp t="s">
        <v>#N/A Invalid Field</v>
        <stp/>
        <stp>##V3_BDHV12</stp>
        <stp>31293VCT7 Mtge</stp>
        <stp>MTG_GEN_CPR_6M</stp>
        <stp>20090610</stp>
        <stp>20090610</stp>
        <stp>[Copy of 02_cpr_main.xlsx]data!R124C9</stp>
        <stp>Dts=H</stp>
        <tr r="I124" s="2"/>
      </tp>
      <tp t="s">
        <v>#N/A Invalid Field</v>
        <stp/>
        <stp>##V3_BDHV12</stp>
        <stp>31404UE63 Mtge</stp>
        <stp>MTG_GEN_CPR_3M</stp>
        <stp>20090610</stp>
        <stp>20090610</stp>
        <stp>[Copy of 02_cpr_main.xlsx]data!R319C8</stp>
        <stp>Dts=H</stp>
        <tr r="H319" s="2"/>
      </tp>
      <tp t="s">
        <v>#N/A Invalid Field</v>
        <stp/>
        <stp>##V3_BDHV12</stp>
        <stp>31384VR53 Mtge</stp>
        <stp>MTG_GEN_CPR_6M</stp>
        <stp>20090610</stp>
        <stp>20090610</stp>
        <stp>[Copy of 02_cpr_main.xlsx]data!R210C9</stp>
        <stp>Dts=H</stp>
        <tr r="I210" s="2"/>
      </tp>
      <tp t="s">
        <v>#N/A Invalid Field</v>
        <stp/>
        <stp>##V3_BDHV12</stp>
        <stp>31296SLS3 Mtge</stp>
        <stp>MTG_GEN_CPR_3M</stp>
        <stp>20090610</stp>
        <stp>20090610</stp>
        <stp>[Copy of 02_cpr_main.xlsx]data!R146C8</stp>
        <stp>Dts=H</stp>
        <tr r="H146" s="2"/>
      </tp>
      <tp t="s">
        <v>#N/A N/A</v>
        <stp/>
        <stp>##V3_BDPV12</stp>
        <stp>31382PPC5 Mtge</stp>
        <stp>MTG_PREPAY_SPEED</stp>
        <stp>[Copy of 02_cpr_main.xlsx]data!R201C12</stp>
        <tr r="L201" s="2"/>
      </tp>
      <tp>
        <v>125</v>
        <stp/>
        <stp>##V3_BDPV12</stp>
        <stp>31410KQJ6 Mtge</stp>
        <stp>MTG_PREPAY_SPEED</stp>
        <stp>[Copy of 02_cpr_main.xlsx]data!R373C12</stp>
        <tr r="L373" s="2"/>
      </tp>
      <tp>
        <v>171</v>
        <stp/>
        <stp>##V3_BDPV12</stp>
        <stp>31390JTB7 Mtge</stp>
        <stp>MTG_PREPAY_SPEED</stp>
        <stp>[Copy of 02_cpr_main.xlsx]data!R232C12</stp>
        <tr r="L232" s="2"/>
      </tp>
      <tp t="s">
        <v>#N/A Invalid Field</v>
        <stp/>
        <stp>##V3_BDHV12</stp>
        <stp>31384V6K3 Mtge</stp>
        <stp>MTG_GEN_CPR_6M</stp>
        <stp>20090610</stp>
        <stp>20090610</stp>
        <stp>[Copy of 02_cpr_main.xlsx]data!R208C9</stp>
        <stp>Dts=H</stp>
        <tr r="I208" s="2"/>
      </tp>
      <tp t="s">
        <v>#N/A Invalid Field</v>
        <stp/>
        <stp>##V3_BDHV12</stp>
        <stp>31402QWA5 Mtge</stp>
        <stp>MTG_GEN_CPR_6M</stp>
        <stp>20090610</stp>
        <stp>20090610</stp>
        <stp>[Copy of 02_cpr_main.xlsx]data!R277C9</stp>
        <stp>Dts=H</stp>
        <tr r="I277" s="2"/>
      </tp>
      <tp t="s">
        <v>#N/A Invalid Field</v>
        <stp/>
        <stp>##V3_BDHV12</stp>
        <stp>31400RNS6 Mtge</stp>
        <stp>MTG_GEN_CPR_3M</stp>
        <stp>20090610</stp>
        <stp>20090610</stp>
        <stp>[Copy of 02_cpr_main.xlsx]data!R249C8</stp>
        <stp>Dts=H</stp>
        <tr r="H249" s="2"/>
      </tp>
      <tp t="s">
        <v>#N/A N/A</v>
        <stp/>
        <stp>##V3_BDPV12</stp>
        <stp>31385CEC3 Mtge</stp>
        <stp>MTG_PREPAY_SPEED</stp>
        <stp>[Copy of 02_cpr_main.xlsx]data!R212C12</stp>
        <tr r="L212" s="2"/>
      </tp>
      <tp t="s">
        <v>#N/A N/A</v>
        <stp/>
        <stp>##V3_BDPV12</stp>
        <stp>31402DDK3 Mtge</stp>
        <stp>MTG_PREPAY_SPEED</stp>
        <stp>[Copy of 02_cpr_main.xlsx]data!R269C12</stp>
        <tr r="L269" s="2"/>
      </tp>
      <tp t="s">
        <v>#N/A N/A</v>
        <stp/>
        <stp>##V3_BDPV12</stp>
        <stp>31403DDK2 Mtge</stp>
        <stp>MTG_PREPAY_SPEED</stp>
        <stp>[Copy of 02_cpr_main.xlsx]data!R295C12</stp>
        <tr r="L295" s="2"/>
      </tp>
      <tp t="s">
        <v>#N/A Invalid Field</v>
        <stp/>
        <stp>##V3_BDHV12</stp>
        <stp>31382PPC5 Mtge</stp>
        <stp>MTG_GEN_CPR_6M</stp>
        <stp>20090610</stp>
        <stp>20090610</stp>
        <stp>[Copy of 02_cpr_main.xlsx]data!R201C9</stp>
        <stp>Dts=H</stp>
        <tr r="I201" s="2"/>
      </tp>
      <tp t="s">
        <v>#N/A Invalid Field</v>
        <stp/>
        <stp>##V3_BDHV12</stp>
        <stp>31407WSP9 Mtge</stp>
        <stp>MTG_GEN_CPR_6M</stp>
        <stp>20090331</stp>
        <stp>20090331</stp>
        <stp>[Copy of 02_cpr_main.xlsx]data!R347C6</stp>
        <stp>Dts=H</stp>
        <tr r="F347" s="2"/>
      </tp>
      <tp t="s">
        <v>#N/A Invalid Field</v>
        <stp/>
        <stp>##V3_BDHV12</stp>
        <stp>31410XGK6 Mtge</stp>
        <stp>MTG_GEN_CPR_6M</stp>
        <stp>20090610</stp>
        <stp>20090610</stp>
        <stp>[Copy of 02_cpr_main.xlsx]data!R389C9</stp>
        <stp>Dts=H</stp>
        <tr r="I389" s="2"/>
      </tp>
      <tp>
        <v>0</v>
        <stp/>
        <stp>##V3_BDPV12</stp>
        <stp>31404YDK5 Mtge</stp>
        <stp>MTG_PREPAY_SPEED</stp>
        <stp>[Copy of 02_cpr_main.xlsx]data!R322C12</stp>
        <tr r="L322" s="2"/>
      </tp>
      <tp t="s">
        <v>#N/A Invalid Field</v>
        <stp/>
        <stp>##V3_BDHV12</stp>
        <stp>36200R6U1 Mtge</stp>
        <stp>MTG_GEN_CPR_6M</stp>
        <stp>20090610</stp>
        <stp>20090610</stp>
        <stp>[Copy of 02_cpr_main.xlsx]data!R469C9</stp>
        <stp>Dts=H</stp>
        <tr r="I469" s="2"/>
      </tp>
      <tp t="s">
        <v>#N/A Invalid Field</v>
        <stp/>
        <stp>##V3_BDHV12</stp>
        <stp>36200QSL9 Mtge</stp>
        <stp>MTG_GEN_CPR_6M</stp>
        <stp>20090331</stp>
        <stp>20090331</stp>
        <stp>[Copy of 02_cpr_main.xlsx]data!R468C6</stp>
        <stp>Dts=H</stp>
        <tr r="F468" s="2"/>
      </tp>
      <tp t="s">
        <v>#N/A Invalid Field</v>
        <stp/>
        <stp>##V3_BDHV12</stp>
        <stp>31391PUV6 Mtge</stp>
        <stp>MTG_GEN_CPR_6M</stp>
        <stp>20090610</stp>
        <stp>20090610</stp>
        <stp>[Copy of 02_cpr_main.xlsx]data!R239C9</stp>
        <stp>Dts=H</stp>
        <tr r="I239" s="2"/>
      </tp>
      <tp t="s">
        <v>#N/A Invalid Field</v>
        <stp/>
        <stp>##V3_BDHV12</stp>
        <stp>31297VKP2 Mtge</stp>
        <stp>MTG_GEN_CPR_3M</stp>
        <stp>20090610</stp>
        <stp>20090610</stp>
        <stp>[Copy of 02_cpr_main.xlsx]data!R150C8</stp>
        <stp>Dts=H</stp>
        <tr r="H150" s="2"/>
      </tp>
      <tp t="s">
        <v>#N/A N/A</v>
        <stp/>
        <stp>##V3_BDPV12</stp>
        <stp>31382TUC1 Mtge</stp>
        <stp>MTG_PREPAY_SPEED</stp>
        <stp>[Copy of 02_cpr_main.xlsx]data!R204C12</stp>
        <tr r="L204" s="2"/>
      </tp>
      <tp t="s">
        <v>#N/A N/A</v>
        <stp/>
        <stp>##V3_BDPV12</stp>
        <stp>31413AGJ6 Mtge</stp>
        <stp>MTG_PREPAY_SPEED</stp>
        <stp>[Copy of 02_cpr_main.xlsx]data!R416C12</stp>
        <tr r="L416" s="2"/>
      </tp>
      <tp t="s">
        <v>#N/A Invalid Field</v>
        <stp/>
        <stp>##V3_BDHV12</stp>
        <stp>31409TRU4 Mtge</stp>
        <stp>MTG_GEN_CPR_3M</stp>
        <stp>20090331</stp>
        <stp>20090331</stp>
        <stp>[Copy of 02_cpr_main.xlsx]data!R354C5</stp>
        <stp>Dts=H</stp>
        <tr r="E354" s="2"/>
      </tp>
      <tp t="s">
        <v>#N/A Invalid Field</v>
        <stp/>
        <stp>##V3_BDHV12</stp>
        <stp>31390QTD7 Mtge</stp>
        <stp>MTG_GEN_CPR_6M</stp>
        <stp>20090610</stp>
        <stp>20090610</stp>
        <stp>[Copy of 02_cpr_main.xlsx]data!R234C9</stp>
        <stp>Dts=H</stp>
        <tr r="I234" s="2"/>
      </tp>
      <tp t="s">
        <v>#N/A Invalid Field</v>
        <stp/>
        <stp>##V3_BDHV12</stp>
        <stp>31406QGE1 Mtge</stp>
        <stp>MTG_GEN_CPR_3M</stp>
        <stp>20090610</stp>
        <stp>20090610</stp>
        <stp>[Copy of 02_cpr_main.xlsx]data!R338C8</stp>
        <stp>Dts=H</stp>
        <tr r="H338" s="2"/>
      </tp>
      <tp t="s">
        <v>#N/A N/A</v>
        <stp/>
        <stp>##V3_BDPV12</stp>
        <stp>31385WYC7 Mtge</stp>
        <stp>MTG_PREPAY_SPEED</stp>
        <stp>[Copy of 02_cpr_main.xlsx]data!R218C12</stp>
        <tr r="L218" s="2"/>
      </tp>
      <tp t="s">
        <v>#N/A N/A</v>
        <stp/>
        <stp>##V3_BDPV12</stp>
        <stp>31412YFJ6 Mtge</stp>
        <stp>MTG_PREPAY_SPEED</stp>
        <stp>[Copy of 02_cpr_main.xlsx]data!R415C12</stp>
        <tr r="L415" s="2"/>
      </tp>
      <tp>
        <v>161</v>
        <stp/>
        <stp>##V3_BDPV12</stp>
        <stp>31385XEC7 Mtge</stp>
        <stp>MTG_PREPAY_SPEED</stp>
        <stp>[Copy of 02_cpr_main.xlsx]data!R221C12</stp>
        <tr r="L221" s="2"/>
      </tp>
      <tp t="s">
        <v>#N/A N/A</v>
        <stp/>
        <stp>##V3_BDPV12</stp>
        <stp>31402D7K0 Mtge</stp>
        <stp>MTG_PREPAY_SPEED</stp>
        <stp>[Copy of 02_cpr_main.xlsx]data!R268C12</stp>
        <tr r="L268" s="2"/>
      </tp>
      <tp t="s">
        <v>#N/A Invalid Field</v>
        <stp/>
        <stp>##V3_BDHV12</stp>
        <stp>31371K5T4 Mtge</stp>
        <stp>MTG_GEN_CPR_3M</stp>
        <stp>20090610</stp>
        <stp>20090610</stp>
        <stp>[Copy of 02_cpr_main.xlsx]data!R168C8</stp>
        <stp>Dts=H</stp>
        <tr r="H168" s="2"/>
      </tp>
      <tp t="s">
        <v>#N/A Invalid Field</v>
        <stp/>
        <stp>##V3_BDHV12</stp>
        <stp>31391N7M7 Mtge</stp>
        <stp>MTG_GEN_CPR_3M</stp>
        <stp>20090610</stp>
        <stp>20090610</stp>
        <stp>[Copy of 02_cpr_main.xlsx]data!R238C8</stp>
        <stp>Dts=H</stp>
        <tr r="H238" s="2"/>
      </tp>
      <tp t="s">
        <v>#N/A Invalid Field</v>
        <stp/>
        <stp>##V3_BDHV12</stp>
        <stp>36291JVC1 Mtge</stp>
        <stp>MTG_GEN_CPR_6M</stp>
        <stp>20090610</stp>
        <stp>20090610</stp>
        <stp>[Copy of 02_cpr_main.xlsx]data!R502C9</stp>
        <stp>Dts=H</stp>
        <tr r="I502" s="2"/>
      </tp>
      <tp t="s">
        <v>#N/A Invalid Field</v>
        <stp/>
        <stp>##V3_BDHV12</stp>
        <stp>31413N5R2 Mtge</stp>
        <stp>MTG_GEN_CPR_6M</stp>
        <stp>20090610</stp>
        <stp>20090610</stp>
        <stp>[Copy of 02_cpr_main.xlsx]data!R428C9</stp>
        <stp>Dts=H</stp>
        <tr r="I428" s="2"/>
      </tp>
      <tp t="s">
        <v>#N/A Invalid Field</v>
        <stp/>
        <stp>##V3_BDHV12</stp>
        <stp>36225BPM4 Mtge</stp>
        <stp>MTG_GEN_CPR_6M</stp>
        <stp>20090610</stp>
        <stp>20090610</stp>
        <stp>[Copy of 02_cpr_main.xlsx]data!R493C9</stp>
        <stp>Dts=H</stp>
        <tr r="I493" s="2"/>
      </tp>
      <tp t="s">
        <v>#N/A Invalid Field</v>
        <stp/>
        <stp>##V3_BDHV12</stp>
        <stp>36200MTF0 Mtge</stp>
        <stp>MTG_GEN_CPR_3M</stp>
        <stp>20090610</stp>
        <stp>20090610</stp>
        <stp>[Copy of 02_cpr_main.xlsx]data!R466C8</stp>
        <stp>Dts=H</stp>
        <tr r="H466" s="2"/>
      </tp>
      <tp t="s">
        <v>#N/A Invalid Field</v>
        <stp/>
        <stp>##V3_BDHV12</stp>
        <stp>31410KQJ6 Mtge</stp>
        <stp>MTG_GEN_CPR_6M</stp>
        <stp>20090610</stp>
        <stp>20090610</stp>
        <stp>[Copy of 02_cpr_main.xlsx]data!R373C9</stp>
        <stp>Dts=H</stp>
        <tr r="I373" s="2"/>
      </tp>
      <tp t="s">
        <v>#N/A Invalid Field</v>
        <stp/>
        <stp>##V3_BDHV12</stp>
        <stp>31410KTH7 Mtge</stp>
        <stp>MTG_GEN_CPR_3M</stp>
        <stp>20090610</stp>
        <stp>20090610</stp>
        <stp>[Copy of 02_cpr_main.xlsx]data!R376C8</stp>
        <stp>Dts=H</stp>
        <tr r="H376" s="2"/>
      </tp>
      <tp t="s">
        <v>#N/A Invalid Field</v>
        <stp/>
        <stp>##V3_BDHV12</stp>
        <stp>31371KDF5 Mtge</stp>
        <stp>MTG_GEN_CPR_6M</stp>
        <stp>20090610</stp>
        <stp>20090610</stp>
        <stp>[Copy of 02_cpr_main.xlsx]data!R170C9</stp>
        <stp>Dts=H</stp>
        <tr r="I170" s="2"/>
      </tp>
      <tp t="s">
        <v>#N/A Invalid Field</v>
        <stp/>
        <stp>##V3_BDHV12</stp>
        <stp>31371KGN5 Mtge</stp>
        <stp>MTG_GEN_CPR_6M</stp>
        <stp>20090610</stp>
        <stp>20090610</stp>
        <stp>[Copy of 02_cpr_main.xlsx]data!R171C9</stp>
        <stp>Dts=H</stp>
        <tr r="I171" s="2"/>
      </tp>
      <tp t="s">
        <v>#N/A Invalid Field</v>
        <stp/>
        <stp>##V3_BDHV12</stp>
        <stp>31374GLZ8 Mtge</stp>
        <stp>MTG_GEN_CPR_6M</stp>
        <stp>20090331</stp>
        <stp>20090331</stp>
        <stp>[Copy of 02_cpr_main.xlsx]data!R183C6</stp>
        <stp>Dts=H</stp>
        <tr r="F183" s="2"/>
      </tp>
      <tp t="s">
        <v>#N/A Invalid Field</v>
        <stp/>
        <stp>##V3_BDHV12</stp>
        <stp>31400KQ66 Mtge</stp>
        <stp>MTG_GEN_CPR_3M</stp>
        <stp>20090610</stp>
        <stp>20090610</stp>
        <stp>[Copy of 02_cpr_main.xlsx]data!R247C8</stp>
        <stp>Dts=H</stp>
        <tr r="H247" s="2"/>
      </tp>
      <tp t="s">
        <v>#N/A Invalid Field</v>
        <stp/>
        <stp>##V3_BDHV12</stp>
        <stp>36225A3K4 Mtge</stp>
        <stp>MTG_GEN_CPR_6M</stp>
        <stp>20090610</stp>
        <stp>20090610</stp>
        <stp>[Copy of 02_cpr_main.xlsx]data!R489C9</stp>
        <stp>Dts=H</stp>
        <tr r="I489" s="2"/>
      </tp>
      <tp t="s">
        <v>#N/A Invalid Field</v>
        <stp/>
        <stp>##V3_BDHV12</stp>
        <stp>36210BTC9 Mtge</stp>
        <stp>MTG_GEN_CPR_6M</stp>
        <stp>20090331</stp>
        <stp>20090331</stp>
        <stp>[Copy of 02_cpr_main.xlsx]data!R483C6</stp>
        <stp>Dts=H</stp>
        <tr r="F483" s="2"/>
      </tp>
      <tp t="s">
        <v>#N/A Invalid Field</v>
        <stp/>
        <stp>##V3_BDHV12</stp>
        <stp>31295NZX9 Mtge</stp>
        <stp>MTG_GEN_CPR_6M</stp>
        <stp>20090331</stp>
        <stp>20090331</stp>
        <stp>[Copy of 02_cpr_main.xlsx]data!R136C6</stp>
        <stp>Dts=H</stp>
        <tr r="F136" s="2"/>
      </tp>
      <tp t="s">
        <v>#N/A Invalid Field</v>
        <stp/>
        <stp>##V3_BDHV12</stp>
        <stp>31408HXP5 Mtge</stp>
        <stp>MTG_GEN_CPR_3M</stp>
        <stp>20090331</stp>
        <stp>20090331</stp>
        <stp>[Copy of 02_cpr_main.xlsx]data!R351C5</stp>
        <stp>Dts=H</stp>
        <tr r="E351" s="2"/>
      </tp>
      <tp t="s">
        <v>#N/A Invalid Field</v>
        <stp/>
        <stp>##V3_BDHV12</stp>
        <stp>31413NDT9 Mtge</stp>
        <stp>MTG_GEN_CPR_3M</stp>
        <stp>20090331</stp>
        <stp>20090331</stp>
        <stp>[Copy of 02_cpr_main.xlsx]data!R430C5</stp>
        <stp>Dts=H</stp>
        <tr r="E430" s="2"/>
      </tp>
      <tp t="s">
        <v>#N/A Invalid Field</v>
        <stp/>
        <stp>##V3_BDHV12</stp>
        <stp>31408HJ55 Mtge</stp>
        <stp>MTG_GEN_CPR_3M</stp>
        <stp>20090331</stp>
        <stp>20090331</stp>
        <stp>[Copy of 02_cpr_main.xlsx]data!R350C5</stp>
        <stp>Dts=H</stp>
        <tr r="E350" s="2"/>
      </tp>
      <tp t="s">
        <v>#N/A Invalid Field</v>
        <stp/>
        <stp>##V3_BDHV12</stp>
        <stp>31371HLX4 Mtge</stp>
        <stp>MTG_GEN_CPR_3M</stp>
        <stp>20090610</stp>
        <stp>20090610</stp>
        <stp>[Copy of 02_cpr_main.xlsx]data!R163C8</stp>
        <stp>Dts=H</stp>
        <tr r="H163" s="2"/>
      </tp>
      <tp t="s">
        <v>#N/A Invalid Field</v>
        <stp/>
        <stp>##V3_BDHV12</stp>
        <stp>36294NV54 Mtge</stp>
        <stp>MTG_GEN_CPR_6M</stp>
        <stp>20090610</stp>
        <stp>20090610</stp>
        <stp>[Copy of 02_cpr_main.xlsx]data!R505C9</stp>
        <stp>Dts=H</stp>
        <tr r="I505" s="2"/>
      </tp>
      <tp t="s">
        <v>#N/A Invalid Field</v>
        <stp/>
        <stp>##V3_BDHV12</stp>
        <stp>31390JTB7 Mtge</stp>
        <stp>MTG_GEN_CPR_6M</stp>
        <stp>20090610</stp>
        <stp>20090610</stp>
        <stp>[Copy of 02_cpr_main.xlsx]data!R232C9</stp>
        <stp>Dts=H</stp>
        <tr r="I232" s="2"/>
      </tp>
      <tp t="s">
        <v>#N/A Invalid Field</v>
        <stp/>
        <stp>##V3_BDHV12</stp>
        <stp>31413KL33 Mtge</stp>
        <stp>MTG_GEN_CPR_3M</stp>
        <stp>20090610</stp>
        <stp>20090610</stp>
        <stp>[Copy of 02_cpr_main.xlsx]data!R426C8</stp>
        <stp>Dts=H</stp>
        <tr r="H426" s="2"/>
      </tp>
      <tp t="s">
        <v>#N/A Invalid Field</v>
        <stp/>
        <stp>##V3_BDHV12</stp>
        <stp>36291NM40 Mtge</stp>
        <stp>MTG_GEN_CPR_3M</stp>
        <stp>20090610</stp>
        <stp>20090610</stp>
        <stp>[Copy of 02_cpr_main.xlsx]data!R503C8</stp>
        <stp>Dts=H</stp>
        <tr r="H503" s="2"/>
      </tp>
      <tp t="s">
        <v>#N/A Invalid Field</v>
        <stp/>
        <stp>##V3_BDHV12</stp>
        <stp>31294JYS1 Mtge</stp>
        <stp>MTG_GEN_CPR_3M</stp>
        <stp>20090610</stp>
        <stp>20090610</stp>
        <stp>[Copy of 02_cpr_main.xlsx]data!R129C8</stp>
        <stp>Dts=H</stp>
        <tr r="H129" s="2"/>
      </tp>
      <tp t="s">
        <v>#N/A Invalid Field</v>
        <stp/>
        <stp>##V3_BDHV12</stp>
        <stp>31405JWZ3 Mtge</stp>
        <stp>MTG_GEN_CPR_6M</stp>
        <stp>20090610</stp>
        <stp>20090610</stp>
        <stp>[Copy of 02_cpr_main.xlsx]data!R326C9</stp>
        <stp>Dts=H</stp>
        <tr r="I326" s="2"/>
      </tp>
      <tp t="s">
        <v>#N/A Invalid Field</v>
        <stp/>
        <stp>##V3_BDHV12</stp>
        <stp>31411AYF6 Mtge</stp>
        <stp>MTG_GEN_CPR_3M</stp>
        <stp>20090610</stp>
        <stp>20090610</stp>
        <stp>[Copy of 02_cpr_main.xlsx]data!R390C8</stp>
        <stp>Dts=H</stp>
        <tr r="H390" s="2"/>
      </tp>
      <tp t="s">
        <v>#N/A Invalid Field</v>
        <stp/>
        <stp>##V3_BDHV12</stp>
        <stp>31385JD39 Mtge</stp>
        <stp>MTG_GEN_CPR_3M</stp>
        <stp>20090331</stp>
        <stp>20090331</stp>
        <stp>[Copy of 02_cpr_main.xlsx]data!R214C5</stp>
        <stp>Dts=H</stp>
        <tr r="E214" s="2"/>
      </tp>
      <tp t="s">
        <v>#N/A Invalid Field</v>
        <stp/>
        <stp>##V3_BDHV12</stp>
        <stp>31407LE60 Mtge</stp>
        <stp>MTG_GEN_CPR_3M</stp>
        <stp>20090610</stp>
        <stp>20090610</stp>
        <stp>[Copy of 02_cpr_main.xlsx]data!R344C8</stp>
        <stp>Dts=H</stp>
        <tr r="H344" s="2"/>
      </tp>
      <tp t="s">
        <v>#N/A Invalid Field</v>
        <stp/>
        <stp>##V3_BDHV12</stp>
        <stp>31407LEA1 Mtge</stp>
        <stp>MTG_GEN_CPR_6M</stp>
        <stp>20090610</stp>
        <stp>20090610</stp>
        <stp>[Copy of 02_cpr_main.xlsx]data!R345C9</stp>
        <stp>Dts=H</stp>
        <tr r="I345" s="2"/>
      </tp>
      <tp t="s">
        <v>#N/A Invalid Field</v>
        <stp/>
        <stp>##V3_BDHV12</stp>
        <stp>31294KM51 Mtge</stp>
        <stp>MTG_GEN_CPR_3M</stp>
        <stp>20090610</stp>
        <stp>20090610</stp>
        <stp>[Copy of 02_cpr_main.xlsx]data!R132C8</stp>
        <stp>Dts=H</stp>
        <tr r="H132" s="2"/>
      </tp>
      <tp t="s">
        <v>#N/A Invalid Field</v>
        <stp/>
        <stp>##V3_BDHV12</stp>
        <stp>31404J2J3 Mtge</stp>
        <stp>MTG_GEN_CPR_3M</stp>
        <stp>20090610</stp>
        <stp>20090610</stp>
        <stp>[Copy of 02_cpr_main.xlsx]data!R314C8</stp>
        <stp>Dts=H</stp>
        <tr r="H314" s="2"/>
      </tp>
      <tp t="s">
        <v>#N/A Invalid Field</v>
        <stp/>
        <stp>##V3_BDHV12</stp>
        <stp>31294KSM8 Mtge</stp>
        <stp>MTG_GEN_CPR_6M</stp>
        <stp>20090331</stp>
        <stp>20090331</stp>
        <stp>[Copy of 02_cpr_main.xlsx]data!R134C6</stp>
        <stp>Dts=H</stp>
        <tr r="F134" s="2"/>
      </tp>
      <tp t="s">
        <v>#N/A Invalid Field</v>
        <stp/>
        <stp>##V3_BDHV12</stp>
        <stp>36206JJ96 Mtge</stp>
        <stp>MTG_GEN_CPR_3M</stp>
        <stp>20090610</stp>
        <stp>20090610</stp>
        <stp>[Copy of 02_cpr_main.xlsx]data!R479C8</stp>
        <stp>Dts=H</stp>
        <tr r="H479" s="2"/>
      </tp>
      <tp t="s">
        <v>#N/A Invalid Field</v>
        <stp/>
        <stp>##V3_BDHV12</stp>
        <stp>31296NA23 Mtge</stp>
        <stp>MTG_GEN_CPR_3M</stp>
        <stp>20090610</stp>
        <stp>20090610</stp>
        <stp>[Copy of 02_cpr_main.xlsx]data!R144C8</stp>
        <stp>Dts=H</stp>
        <tr r="H144" s="2"/>
      </tp>
      <tp t="s">
        <v>#N/A Invalid Field</v>
        <stp/>
        <stp>##V3_BDHV12</stp>
        <stp>36201JDG1 Mtge</stp>
        <stp>MTG_GEN_CPR_3M</stp>
        <stp>20090610</stp>
        <stp>20090610</stp>
        <stp>[Copy of 02_cpr_main.xlsx]data!R471C8</stp>
        <stp>Dts=H</stp>
        <tr r="H471" s="2"/>
      </tp>
      <tp t="s">
        <v>#N/A Invalid Field</v>
        <stp/>
        <stp>##V3_BDHV12</stp>
        <stp>31371MLN5 Mtge</stp>
        <stp>MTG_GEN_CPR_6M</stp>
        <stp>20090610</stp>
        <stp>20090610</stp>
        <stp>[Copy of 02_cpr_main.xlsx]data!R178C9</stp>
        <stp>Dts=H</stp>
        <tr r="I178" s="2"/>
      </tp>
      <tp t="s">
        <v>#N/A Invalid Field</v>
        <stp/>
        <stp>##V3_BDHV12</stp>
        <stp>36200KMY0 Mtge</stp>
        <stp>MTG_GEN_CPR_3M</stp>
        <stp>20090610</stp>
        <stp>20090610</stp>
        <stp>[Copy of 02_cpr_main.xlsx]data!R464C8</stp>
        <stp>Dts=H</stp>
        <tr r="H464" s="2"/>
      </tp>
      <tp t="s">
        <v>#N/A Invalid Field</v>
        <stp/>
        <stp>##V3_BDHV12</stp>
        <stp>31412ETK2 Mtge</stp>
        <stp>MTG_GEN_CPR_3M</stp>
        <stp>20090610</stp>
        <stp>20090610</stp>
        <stp>[Copy of 02_cpr_main.xlsx]data!R405C8</stp>
        <stp>Dts=H</stp>
        <tr r="H405" s="2"/>
      </tp>
      <tp t="s">
        <v>#N/A Invalid Field</v>
        <stp/>
        <stp>##V3_BDHV12</stp>
        <stp>31414FKG5 Mtge</stp>
        <stp>MTG_GEN_CPR_6M</stp>
        <stp>20090610</stp>
        <stp>20090610</stp>
        <stp>[Copy of 02_cpr_main.xlsx]data!R437C9</stp>
        <stp>Dts=H</stp>
        <tr r="I437" s="2"/>
      </tp>
      <tp t="s">
        <v>#N/A Invalid Field</v>
        <stp/>
        <stp>##V3_BDHV12</stp>
        <stp>31404EVB9 Mtge</stp>
        <stp>MTG_GEN_CPR_3M</stp>
        <stp>20090331</stp>
        <stp>20090331</stp>
        <stp>[Copy of 02_cpr_main.xlsx]data!R312C5</stp>
        <stp>Dts=H</stp>
        <tr r="E312" s="2"/>
      </tp>
      <tp t="s">
        <v>#N/A Invalid Field</v>
        <stp/>
        <stp>##V3_BDHV12</stp>
        <stp>31412GSR3 Mtge</stp>
        <stp>MTG_GEN_CPR_6M</stp>
        <stp>20090610</stp>
        <stp>20090610</stp>
        <stp>[Copy of 02_cpr_main.xlsx]data!R407C9</stp>
        <stp>Dts=H</stp>
        <tr r="I407" s="2"/>
      </tp>
      <tp t="s">
        <v>#N/A Invalid Field</v>
        <stp/>
        <stp>##V3_BDHV12</stp>
        <stp>31297CKH2 Mtge</stp>
        <stp>MTG_GEN_CPR_3M</stp>
        <stp>20090610</stp>
        <stp>20090610</stp>
        <stp>[Copy of 02_cpr_main.xlsx]data!R147C8</stp>
        <stp>Dts=H</stp>
        <tr r="H147" s="2"/>
      </tp>
      <tp t="s">
        <v>#N/A Invalid Field</v>
        <stp/>
        <stp>##V3_BDHV12</stp>
        <stp>31410C6S6 Mtge</stp>
        <stp>MTG_GEN_CPR_6M</stp>
        <stp>20090610</stp>
        <stp>20090610</stp>
        <stp>[Copy of 02_cpr_main.xlsx]data!R358C9</stp>
        <stp>Dts=H</stp>
        <tr r="I358" s="2"/>
      </tp>
      <tp t="s">
        <v>#N/A Invalid Field</v>
        <stp/>
        <stp>##V3_BDHV12</stp>
        <stp>31415BBF5 Mtge</stp>
        <stp>MTG_GEN_CPR_3M</stp>
        <stp>20090610</stp>
        <stp>20090610</stp>
        <stp>[Copy of 02_cpr_main.xlsx]data!R447C8</stp>
        <stp>Dts=H</stp>
        <tr r="H447" s="2"/>
      </tp>
      <tp t="s">
        <v>#N/A Invalid Field</v>
        <stp/>
        <stp>##V3_BDHV12</stp>
        <stp>36241KNL8 Mtge</stp>
        <stp>MTG_GEN_CPR_6M</stp>
        <stp>20090331</stp>
        <stp>20090331</stp>
        <stp>[Copy of 02_cpr_main.xlsx]data!R496C6</stp>
        <stp>Dts=H</stp>
        <tr r="F496" s="2"/>
      </tp>
      <tp t="s">
        <v>#N/A Invalid Field</v>
        <stp/>
        <stp>##V3_BDHV12</stp>
        <stp>31413GMM9 Mtge</stp>
        <stp>MTG_GEN_CPR_3M</stp>
        <stp>20090331</stp>
        <stp>20090331</stp>
        <stp>[Copy of 02_cpr_main.xlsx]data!R420C5</stp>
        <stp>Dts=H</stp>
        <tr r="E420" s="2"/>
      </tp>
      <tp t="s">
        <v>#N/A Invalid Field</v>
        <stp/>
        <stp>##V3_BDHV12</stp>
        <stp>31410G6A6 Mtge</stp>
        <stp>MTG_GEN_CPR_6M</stp>
        <stp>20090610</stp>
        <stp>20090610</stp>
        <stp>[Copy of 02_cpr_main.xlsx]data!R364C9</stp>
        <stp>Dts=H</stp>
        <tr r="I364" s="2"/>
      </tp>
      <tp t="s">
        <v>#N/A Invalid Field</v>
        <stp/>
        <stp>##V3_BDHV12</stp>
        <stp>31410GE66 Mtge</stp>
        <stp>MTG_GEN_CPR_6M</stp>
        <stp>20090610</stp>
        <stp>20090610</stp>
        <stp>[Copy of 02_cpr_main.xlsx]data!R365C9</stp>
        <stp>Dts=H</stp>
        <tr r="I365" s="2"/>
      </tp>
      <tp t="s">
        <v>#N/A Invalid Field</v>
        <stp/>
        <stp>##V3_BDHV12</stp>
        <stp>31410GHN6 Mtge</stp>
        <stp>MTG_GEN_CPR_6M</stp>
        <stp>20090610</stp>
        <stp>20090610</stp>
        <stp>[Copy of 02_cpr_main.xlsx]data!R368C9</stp>
        <stp>Dts=H</stp>
        <tr r="I368" s="2"/>
      </tp>
      <tp t="s">
        <v>#N/A Invalid Field</v>
        <stp/>
        <stp>##V3_BDHV12</stp>
        <stp>31410GH97 Mtge</stp>
        <stp>MTG_GEN_CPR_3M</stp>
        <stp>20090610</stp>
        <stp>20090610</stp>
        <stp>[Copy of 02_cpr_main.xlsx]data!R367C8</stp>
        <stp>Dts=H</stp>
        <tr r="H367" s="2"/>
      </tp>
      <tp t="s">
        <v>#N/A Invalid Field</v>
        <stp/>
        <stp>##V3_BDHV12</stp>
        <stp>31413CCD9 Mtge</stp>
        <stp>MTG_GEN_CPR_3M</stp>
        <stp>20090331</stp>
        <stp>20090331</stp>
        <stp>[Copy of 02_cpr_main.xlsx]data!R418C5</stp>
        <stp>Dts=H</stp>
        <tr r="E418" s="2"/>
      </tp>
      <tp t="s">
        <v>#N/A Invalid Field</v>
        <stp/>
        <stp>##V3_BDHV12</stp>
        <stp>31410F2Z7 Mtge</stp>
        <stp>MTG_GEN_CPR_3M</stp>
        <stp>20090610</stp>
        <stp>20090610</stp>
        <stp>[Copy of 02_cpr_main.xlsx]data!R362C8</stp>
        <stp>Dts=H</stp>
        <tr r="H362" s="2"/>
      </tp>
      <tp t="s">
        <v>#N/A Invalid Field</v>
        <stp/>
        <stp>##V3_BDHV12</stp>
        <stp>31410GRM7 Mtge</stp>
        <stp>MTG_GEN_CPR_3M</stp>
        <stp>20090610</stp>
        <stp>20090610</stp>
        <stp>[Copy of 02_cpr_main.xlsx]data!R371C8</stp>
        <stp>Dts=H</stp>
        <tr r="H371" s="2"/>
      </tp>
      <tp t="s">
        <v>#N/A Invalid Field</v>
        <stp/>
        <stp>##V3_BDHV12</stp>
        <stp>36291GYR1 Mtge</stp>
        <stp>MTG_GEN_CPR_6M</stp>
        <stp>20090610</stp>
        <stp>20090610</stp>
        <stp>[Copy of 02_cpr_main.xlsx]data!R501C9</stp>
        <stp>Dts=H</stp>
        <tr r="I501" s="2"/>
      </tp>
      <tp t="s">
        <v>#N/A Invalid Field</v>
        <stp/>
        <stp>##V3_BDHV12</stp>
        <stp>31414CZ84 Mtge</stp>
        <stp>MTG_GEN_CPR_3M</stp>
        <stp>20090610</stp>
        <stp>20090610</stp>
        <stp>[Copy of 02_cpr_main.xlsx]data!R436C8</stp>
        <stp>Dts=H</stp>
        <tr r="H436" s="2"/>
      </tp>
      <tp t="s">
        <v>#N/A Invalid Field</v>
        <stp/>
        <stp>##V3_BDHV12</stp>
        <stp>31412BWG3 Mtge</stp>
        <stp>MTG_GEN_CPR_6M</stp>
        <stp>20090610</stp>
        <stp>20090610</stp>
        <stp>[Copy of 02_cpr_main.xlsx]data!R403C9</stp>
        <stp>Dts=H</stp>
        <tr r="I403" s="2"/>
      </tp>
      <tp t="s">
        <v>#N/A Invalid Field</v>
        <stp/>
        <stp>##V3_BDHV12</stp>
        <stp>31382KR26 Mtge</stp>
        <stp>MTG_GEN_CPR_6M</stp>
        <stp>20090610</stp>
        <stp>20090610</stp>
        <stp>[Copy of 02_cpr_main.xlsx]data!R198C9</stp>
        <stp>Dts=H</stp>
        <tr r="I198" s="2"/>
      </tp>
      <tp t="s">
        <v>#N/A Invalid Field</v>
        <stp/>
        <stp>##V3_BDHV12</stp>
        <stp>31385CEC3 Mtge</stp>
        <stp>MTG_GEN_CPR_3M</stp>
        <stp>20090610</stp>
        <stp>20090610</stp>
        <stp>[Copy of 02_cpr_main.xlsx]data!R212C8</stp>
        <stp>Dts=H</stp>
        <tr r="H212" s="2"/>
      </tp>
      <tp t="s">
        <v>#N/A Invalid Field</v>
        <stp/>
        <stp>##V3_BDHV12</stp>
        <stp>31385CHF3 Mtge</stp>
        <stp>MTG_GEN_CPR_3M</stp>
        <stp>20090610</stp>
        <stp>20090610</stp>
        <stp>[Copy of 02_cpr_main.xlsx]data!R213C8</stp>
        <stp>Dts=H</stp>
        <tr r="H213" s="2"/>
      </tp>
      <tp t="s">
        <v>#N/A Invalid Field</v>
        <stp/>
        <stp>##V3_BDHV12</stp>
        <stp>3128GWF37 Mtge</stp>
        <stp>MTG_GEN_CPR_12M</stp>
        <stp>20090331</stp>
        <stp>20090331</stp>
        <stp>[Copy of 02_cpr_main.xlsx]data!R63C7</stp>
        <stp>Dts=H</stp>
        <tr r="G63" s="2"/>
      </tp>
      <tp t="s">
        <v>#N/A Invalid Field</v>
        <stp/>
        <stp>##V3_BDHV12</stp>
        <stp>312967ME9 Mtge</stp>
        <stp>MTG_GEN_CPR_3M</stp>
        <stp>20090331</stp>
        <stp>20090331</stp>
        <stp>[Copy of 02_cpr_main.xlsx]data!R141C5</stp>
        <stp>Dts=H</stp>
        <tr r="E141" s="2"/>
      </tp>
      <tp t="s">
        <v>#N/A N/A</v>
        <stp/>
        <stp>##V3_BDPV12</stp>
        <stp>3128QT7C2 Mtge</stp>
        <stp>MTG_PREPAY_SPEED</stp>
        <stp>[Copy of 02_cpr_main.xlsx]data!R112C12</stp>
        <tr r="L112" s="2"/>
      </tp>
      <tp t="s">
        <v>#N/A Invalid Field</v>
        <stp/>
        <stp>##V3_BDHV12</stp>
        <stp>312967HF2 Mtge</stp>
        <stp>MTG_GEN_CPR_6M</stp>
        <stp>20090610</stp>
        <stp>20090610</stp>
        <stp>[Copy of 02_cpr_main.xlsx]data!R140C9</stp>
        <stp>Dts=H</stp>
        <tr r="I140" s="2"/>
      </tp>
      <tp t="s">
        <v>#N/A N/A</v>
        <stp/>
        <stp>##V3_BDPV12</stp>
        <stp>3128QHVC1 Mtge</stp>
        <stp>MTG_PREPAY_SPEED</stp>
        <stp>[Copy of 02_cpr_main.xlsx]data!R108C12</stp>
        <tr r="L108" s="2"/>
      </tp>
      <tp t="s">
        <v>#N/A Invalid Field</v>
        <stp/>
        <stp>##V3_BDHV12</stp>
        <stp>312962KF9 Mtge</stp>
        <stp>MTG_GEN_CPR_3M</stp>
        <stp>20090331</stp>
        <stp>20090331</stp>
        <stp>[Copy of 02_cpr_main.xlsx]data!R138C5</stp>
        <stp>Dts=H</stp>
        <tr r="E138" s="2"/>
      </tp>
      <tp t="s">
        <v>#N/A Invalid Field</v>
        <stp/>
        <stp>##V3_BDHV12</stp>
        <stp>3128GJFP7 Mtge</stp>
        <stp>MTG_GEN_CPR_12M</stp>
        <stp>20090331</stp>
        <stp>20090331</stp>
        <stp>[Copy of 02_cpr_main.xlsx]data!R59C7</stp>
        <stp>Dts=H</stp>
        <tr r="G59" s="2"/>
      </tp>
      <tp t="s">
        <v>#N/A Invalid Field</v>
        <stp/>
        <stp>##V3_BDHV12</stp>
        <stp>3128GDX47 Mtge</stp>
        <stp>MTG_GEN_CPR_12M</stp>
        <stp>20090331</stp>
        <stp>20090331</stp>
        <stp>[Copy of 02_cpr_main.xlsx]data!R49C7</stp>
        <stp>Dts=H</stp>
        <tr r="G49" s="2"/>
      </tp>
      <tp t="s">
        <v>#N/A Invalid Field</v>
        <stp/>
        <stp>##V3_BDHV12</stp>
        <stp>3128GEAJ7 Mtge</stp>
        <stp>MTG_GEN_CPR_12M</stp>
        <stp>20090331</stp>
        <stp>20090331</stp>
        <stp>[Copy of 02_cpr_main.xlsx]data!R51C7</stp>
        <stp>Dts=H</stp>
        <tr r="G51" s="2"/>
      </tp>
    </main>
    <main first="bloomberg.rtd">
      <tp t="s">
        <v>#N/A Invalid Field</v>
        <stp/>
        <stp>##V3_BDHV12</stp>
        <stp>31415XSZ5 Mtge</stp>
        <stp>MTG_GEN_CPR_6M</stp>
        <stp>20090610</stp>
        <stp>20090610</stp>
        <stp>[Copy of 02_cpr_main.xlsx]data!R459C9</stp>
        <stp>Dts=H</stp>
        <tr r="I459" s="2"/>
      </tp>
      <tp>
        <v>182</v>
        <stp/>
        <stp>##V3_BDPV12</stp>
        <stp>31412LZK9 Mtge</stp>
        <stp>MTG_PREPAY_SPEED</stp>
        <stp>[Copy of 02_cpr_main.xlsx]data!R408C12</stp>
        <tr r="L408" s="2"/>
      </tp>
      <tp t="s">
        <v>#N/A Invalid Field</v>
        <stp/>
        <stp>##V3_BDHV12</stp>
        <stp>31411UPM7 Mtge</stp>
        <stp>MTG_GEN_CPR_3M</stp>
        <stp>20090610</stp>
        <stp>20090610</stp>
        <stp>[Copy of 02_cpr_main.xlsx]data!R396C8</stp>
        <stp>Dts=H</stp>
        <tr r="H396" s="2"/>
      </tp>
      <tp t="s">
        <v>#N/A N/A</v>
        <stp/>
        <stp>##V3_BDPV12</stp>
        <stp>31385W7B9 Mtge</stp>
        <stp>MTG_PREPAY_SPEED</stp>
        <stp>[Copy of 02_cpr_main.xlsx]data!R217C12</stp>
        <tr r="L217" s="2"/>
      </tp>
      <tp t="s">
        <v>#N/A Invalid Field</v>
        <stp/>
        <stp>##V3_BDHV12</stp>
        <stp>31410WX37 Mtge</stp>
        <stp>MTG_GEN_CPR_6M</stp>
        <stp>20090610</stp>
        <stp>20090610</stp>
        <stp>[Copy of 02_cpr_main.xlsx]data!R387C9</stp>
        <stp>Dts=H</stp>
        <tr r="I387" s="2"/>
      </tp>
      <tp t="s">
        <v>#N/A Invalid Field</v>
        <stp/>
        <stp>##V3_BDHV12</stp>
        <stp>31401XU96 Mtge</stp>
        <stp>MTG_GEN_CPR_3M</stp>
        <stp>20090610</stp>
        <stp>20090610</stp>
        <stp>[Copy of 02_cpr_main.xlsx]data!R261C8</stp>
        <stp>Dts=H</stp>
        <tr r="H261" s="2"/>
      </tp>
      <tp t="s">
        <v>#N/A Invalid Field</v>
        <stp/>
        <stp>##V3_BDHV12</stp>
        <stp>31385XDL8 Mtge</stp>
        <stp>MTG_GEN_CPR_3M</stp>
        <stp>20090331</stp>
        <stp>20090331</stp>
        <stp>[Copy of 02_cpr_main.xlsx]data!R220C5</stp>
        <stp>Dts=H</stp>
        <tr r="E220" s="2"/>
      </tp>
      <tp t="s">
        <v>#N/A Invalid Field</v>
        <stp/>
        <stp>##V3_BDHV12</stp>
        <stp>31385XNG8 Mtge</stp>
        <stp>MTG_GEN_CPR_3M</stp>
        <stp>20090331</stp>
        <stp>20090331</stp>
        <stp>[Copy of 02_cpr_main.xlsx]data!R226C5</stp>
        <stp>Dts=H</stp>
        <tr r="E226" s="2"/>
      </tp>
      <tp t="s">
        <v>#N/A Invalid Field</v>
        <stp/>
        <stp>##V3_BDHV12</stp>
        <stp>31382YJK5 Mtge</stp>
        <stp>MTG_GEN_CPR_3M</stp>
        <stp>20090610</stp>
        <stp>20090610</stp>
        <stp>[Copy of 02_cpr_main.xlsx]data!R207C8</stp>
        <stp>Dts=H</stp>
        <tr r="H207" s="2"/>
      </tp>
      <tp t="s">
        <v>#N/A Invalid Field</v>
        <stp/>
        <stp>##V3_BDHV12</stp>
        <stp>36209WQL9 Mtge</stp>
        <stp>MTG_GEN_CPR_6M</stp>
        <stp>20090610</stp>
        <stp>20090610</stp>
        <stp>[Copy of 02_cpr_main.xlsx]data!R482C9</stp>
        <stp>Dts=H</stp>
        <tr r="I482" s="2"/>
      </tp>
      <tp t="s">
        <v>#N/A Invalid Field</v>
        <stp/>
        <stp>##V3_BDHV12</stp>
        <stp>31379QA67 Mtge</stp>
        <stp>MTG_GEN_CPR_3M</stp>
        <stp>20090331</stp>
        <stp>20090331</stp>
        <stp>[Copy of 02_cpr_main.xlsx]data!R190C5</stp>
        <stp>Dts=H</stp>
        <tr r="E190" s="2"/>
      </tp>
      <tp t="s">
        <v>#N/A Invalid Field</v>
        <stp/>
        <stp>##V3_BDHV12</stp>
        <stp>31379Q6J4 Mtge</stp>
        <stp>MTG_GEN_CPR_6M</stp>
        <stp>20090331</stp>
        <stp>20090331</stp>
        <stp>[Copy of 02_cpr_main.xlsx]data!R189C6</stp>
        <stp>Dts=H</stp>
        <tr r="F189" s="2"/>
      </tp>
      <tp t="s">
        <v>#N/A Invalid Field</v>
        <stp/>
        <stp>##V3_BDHV12</stp>
        <stp>31402RR84 Mtge</stp>
        <stp>MTG_GEN_CPR_6M</stp>
        <stp>20090610</stp>
        <stp>20090610</stp>
        <stp>[Copy of 02_cpr_main.xlsx]data!R287C9</stp>
        <stp>Dts=H</stp>
        <tr r="I287" s="2"/>
      </tp>
      <tp t="s">
        <v>#N/A Invalid Field</v>
        <stp/>
        <stp>##V3_BDHV12</stp>
        <stp>31385XKK2 Mtge</stp>
        <stp>MTG_GEN_CPR_3M</stp>
        <stp>20090610</stp>
        <stp>20090610</stp>
        <stp>[Copy of 02_cpr_main.xlsx]data!R223C8</stp>
        <stp>Dts=H</stp>
        <tr r="H223" s="2"/>
      </tp>
      <tp t="s">
        <v>#N/A Invalid Field</v>
        <stp/>
        <stp>##V3_BDHV12</stp>
        <stp>31402RJL4 Mtge</stp>
        <stp>MTG_GEN_CPR_6M</stp>
        <stp>20090610</stp>
        <stp>20090610</stp>
        <stp>[Copy of 02_cpr_main.xlsx]data!R285C9</stp>
        <stp>Dts=H</stp>
        <tr r="I285" s="2"/>
      </tp>
      <tp t="s">
        <v>#N/A Invalid Field</v>
        <stp/>
        <stp>##V3_BDHV12</stp>
        <stp>31412T5U3 Mtge</stp>
        <stp>MTG_GEN_CPR_3M</stp>
        <stp>20090610</stp>
        <stp>20090610</stp>
        <stp>[Copy of 02_cpr_main.xlsx]data!R413C8</stp>
        <stp>Dts=H</stp>
        <tr r="H413" s="2"/>
      </tp>
      <tp t="s">
        <v>#N/A Invalid Field</v>
        <stp/>
        <stp>##V3_BDHV12</stp>
        <stp>31400QVB6 Mtge</stp>
        <stp>MTG_GEN_CPR_6M</stp>
        <stp>20090610</stp>
        <stp>20090610</stp>
        <stp>[Copy of 02_cpr_main.xlsx]data!R248C9</stp>
        <stp>Dts=H</stp>
        <tr r="I248" s="2"/>
      </tp>
      <tp t="s">
        <v>#N/A N/A</v>
        <stp/>
        <stp>##V3_BDPV12</stp>
        <stp>31390P7C5 Mtge</stp>
        <stp>MTG_PREPAY_SPEED</stp>
        <stp>[Copy of 02_cpr_main.xlsx]data!R233C12</stp>
        <tr r="L233" s="2"/>
      </tp>
      <tp>
        <v>169</v>
        <stp/>
        <stp>##V3_BDPV12</stp>
        <stp>31401A3J4 Mtge</stp>
        <stp>MTG_PREPAY_SPEED</stp>
        <stp>[Copy of 02_cpr_main.xlsx]data!R252C12</stp>
        <tr r="L252" s="2"/>
      </tp>
      <tp t="s">
        <v>#N/A Invalid Field</v>
        <stp/>
        <stp>##V3_BDHV12</stp>
        <stp>31382TTG4 Mtge</stp>
        <stp>MTG_GEN_CPR_6M</stp>
        <stp>20090610</stp>
        <stp>20090610</stp>
        <stp>[Copy of 02_cpr_main.xlsx]data!R203C9</stp>
        <stp>Dts=H</stp>
        <tr r="I203" s="2"/>
      </tp>
      <tp t="s">
        <v>#N/A Invalid Field</v>
        <stp/>
        <stp>##V3_BDHV12</stp>
        <stp>31415QGG5 Mtge</stp>
        <stp>MTG_GEN_CPR_6M</stp>
        <stp>20090610</stp>
        <stp>20090610</stp>
        <stp>[Copy of 02_cpr_main.xlsx]data!R451C9</stp>
        <stp>Dts=H</stp>
        <tr r="I451" s="2"/>
      </tp>
      <tp t="s">
        <v>#N/A Invalid Field</v>
        <stp/>
        <stp>##V3_BDHV12</stp>
        <stp>31293VCT7 Mtge</stp>
        <stp>MTG_GEN_CPR_3M</stp>
        <stp>20090610</stp>
        <stp>20090610</stp>
        <stp>[Copy of 02_cpr_main.xlsx]data!R124C8</stp>
        <stp>Dts=H</stp>
        <tr r="H124" s="2"/>
      </tp>
      <tp t="s">
        <v>#N/A Invalid Field</v>
        <stp/>
        <stp>##V3_BDHV12</stp>
        <stp>31404UE63 Mtge</stp>
        <stp>MTG_GEN_CPR_6M</stp>
        <stp>20090610</stp>
        <stp>20090610</stp>
        <stp>[Copy of 02_cpr_main.xlsx]data!R319C9</stp>
        <stp>Dts=H</stp>
        <tr r="I319" s="2"/>
      </tp>
      <tp t="s">
        <v>#N/A Invalid Field</v>
        <stp/>
        <stp>##V3_BDHV12</stp>
        <stp>36202WH69 Mtge</stp>
        <stp>MTG_GEN_CPR_3M</stp>
        <stp>20090331</stp>
        <stp>20090331</stp>
        <stp>[Copy of 02_cpr_main.xlsx]data!R477C5</stp>
        <stp>Dts=H</stp>
        <tr r="E477" s="2"/>
      </tp>
      <tp>
        <v>161</v>
        <stp/>
        <stp>##V3_BDPV12</stp>
        <stp>31406BYJ3 Mtge</stp>
        <stp>MTG_PREPAY_SPEED</stp>
        <stp>[Copy of 02_cpr_main.xlsx]data!R333C12</stp>
        <tr r="L333" s="2"/>
      </tp>
      <tp>
        <v>160</v>
        <stp/>
        <stp>##V3_BDPV12</stp>
        <stp>36225BWH7 Mtge</stp>
        <stp>MTG_PREPAY_SPEED</stp>
        <stp>[Copy of 02_cpr_main.xlsx]data!R494C12</stp>
        <tr r="L494" s="2"/>
      </tp>
      <tp>
        <v>27.53</v>
        <stp/>
        <stp>##V3_BDPV12</stp>
        <stp>31407KGJ2 Mtge</stp>
        <stp>MTG_PREPAY_SPEED</stp>
        <stp>[Copy of 02_cpr_main.xlsx]data!R343C12</stp>
        <tr r="L343" s="2"/>
      </tp>
      <tp t="s">
        <v>#N/A Invalid Field</v>
        <stp/>
        <stp>##V3_BDHV12</stp>
        <stp>31384VR53 Mtge</stp>
        <stp>MTG_GEN_CPR_3M</stp>
        <stp>20090610</stp>
        <stp>20090610</stp>
        <stp>[Copy of 02_cpr_main.xlsx]data!R210C8</stp>
        <stp>Dts=H</stp>
        <tr r="H210" s="2"/>
      </tp>
      <tp t="s">
        <v>#N/A Invalid Field</v>
        <stp/>
        <stp>##V3_BDHV12</stp>
        <stp>31296SLS3 Mtge</stp>
        <stp>MTG_GEN_CPR_6M</stp>
        <stp>20090610</stp>
        <stp>20090610</stp>
        <stp>[Copy of 02_cpr_main.xlsx]data!R146C9</stp>
        <stp>Dts=H</stp>
        <tr r="I146" s="2"/>
      </tp>
      <tp>
        <v>182</v>
        <stp/>
        <stp>##V3_BDPV12</stp>
        <stp>31410XGK6 Mtge</stp>
        <stp>MTG_PREPAY_SPEED</stp>
        <stp>[Copy of 02_cpr_main.xlsx]data!R389C12</stp>
        <tr r="L389" s="2"/>
      </tp>
      <tp t="s">
        <v>#N/A N/A</v>
        <stp/>
        <stp>##V3_BDPV12</stp>
        <stp>36291JVC1 Mtge</stp>
        <stp>MTG_PREPAY_SPEED</stp>
        <stp>[Copy of 02_cpr_main.xlsx]data!R502C12</stp>
        <tr r="L502" s="2"/>
      </tp>
      <tp t="s">
        <v>#N/A Invalid Field</v>
        <stp/>
        <stp>##V3_BDHV12</stp>
        <stp>31384V6K3 Mtge</stp>
        <stp>MTG_GEN_CPR_3M</stp>
        <stp>20090610</stp>
        <stp>20090610</stp>
        <stp>[Copy of 02_cpr_main.xlsx]data!R208C8</stp>
        <stp>Dts=H</stp>
        <tr r="H208" s="2"/>
      </tp>
      <tp t="s">
        <v>#N/A Invalid Field</v>
        <stp/>
        <stp>##V3_BDHV12</stp>
        <stp>31404WTM8 Mtge</stp>
        <stp>MTG_GEN_CPR_3M</stp>
        <stp>20090331</stp>
        <stp>20090331</stp>
        <stp>[Copy of 02_cpr_main.xlsx]data!R320C5</stp>
        <stp>Dts=H</stp>
        <tr r="E320" s="2"/>
      </tp>
      <tp t="s">
        <v>#N/A Invalid Field</v>
        <stp/>
        <stp>##V3_BDHV12</stp>
        <stp>31402QWA5 Mtge</stp>
        <stp>MTG_GEN_CPR_3M</stp>
        <stp>20090610</stp>
        <stp>20090610</stp>
        <stp>[Copy of 02_cpr_main.xlsx]data!R277C8</stp>
        <stp>Dts=H</stp>
        <tr r="H277" s="2"/>
      </tp>
      <tp t="s">
        <v>#N/A Invalid Field</v>
        <stp/>
        <stp>##V3_BDHV12</stp>
        <stp>31400RNS6 Mtge</stp>
        <stp>MTG_GEN_CPR_6M</stp>
        <stp>20090610</stp>
        <stp>20090610</stp>
        <stp>[Copy of 02_cpr_main.xlsx]data!R249C9</stp>
        <stp>Dts=H</stp>
        <tr r="I249" s="2"/>
      </tp>
      <tp t="s">
        <v>#N/A N/A</v>
        <stp/>
        <stp>##V3_BDPV12</stp>
        <stp>31412ETK2 Mtge</stp>
        <stp>MTG_PREPAY_SPEED</stp>
        <stp>[Copy of 02_cpr_main.xlsx]data!R405C12</stp>
        <tr r="L405" s="2"/>
      </tp>
      <tp>
        <v>0.01</v>
        <stp/>
        <stp>##V3_BDPV12</stp>
        <stp>31404J2J3 Mtge</stp>
        <stp>MTG_PREPAY_SPEED</stp>
        <stp>[Copy of 02_cpr_main.xlsx]data!R314C12</stp>
        <tr r="L314" s="2"/>
      </tp>
      <tp t="s">
        <v>#N/A Invalid Field</v>
        <stp/>
        <stp>##V3_BDHV12</stp>
        <stp>31297VQA9 Mtge</stp>
        <stp>MTG_GEN_CPR_3M</stp>
        <stp>20090331</stp>
        <stp>20090331</stp>
        <stp>[Copy of 02_cpr_main.xlsx]data!R151C5</stp>
        <stp>Dts=H</stp>
        <tr r="E151" s="2"/>
      </tp>
      <tp t="s">
        <v>#N/A Invalid Field</v>
        <stp/>
        <stp>##V3_BDHV12</stp>
        <stp>31382PPC5 Mtge</stp>
        <stp>MTG_GEN_CPR_3M</stp>
        <stp>20090610</stp>
        <stp>20090610</stp>
        <stp>[Copy of 02_cpr_main.xlsx]data!R201C8</stp>
        <stp>Dts=H</stp>
        <tr r="H201" s="2"/>
      </tp>
      <tp t="s">
        <v>#N/A Invalid Field</v>
        <stp/>
        <stp>##V3_BDHV12</stp>
        <stp>31410XGK6 Mtge</stp>
        <stp>MTG_GEN_CPR_3M</stp>
        <stp>20090610</stp>
        <stp>20090610</stp>
        <stp>[Copy of 02_cpr_main.xlsx]data!R389C8</stp>
        <stp>Dts=H</stp>
        <tr r="H389" s="2"/>
      </tp>
      <tp t="s">
        <v>#N/A Invalid Field</v>
        <stp/>
        <stp>##V3_BDHV12</stp>
        <stp>36200R6U1 Mtge</stp>
        <stp>MTG_GEN_CPR_3M</stp>
        <stp>20090610</stp>
        <stp>20090610</stp>
        <stp>[Copy of 02_cpr_main.xlsx]data!R469C8</stp>
        <stp>Dts=H</stp>
        <tr r="H469" s="2"/>
      </tp>
      <tp t="s">
        <v>#N/A Invalid Field</v>
        <stp/>
        <stp>##V3_BDHV12</stp>
        <stp>31391PUV6 Mtge</stp>
        <stp>MTG_GEN_CPR_3M</stp>
        <stp>20090610</stp>
        <stp>20090610</stp>
        <stp>[Copy of 02_cpr_main.xlsx]data!R239C8</stp>
        <stp>Dts=H</stp>
        <tr r="H239" s="2"/>
      </tp>
      <tp t="s">
        <v>#N/A Invalid Field</v>
        <stp/>
        <stp>##V3_BDHV12</stp>
        <stp>31297VKP2 Mtge</stp>
        <stp>MTG_GEN_CPR_6M</stp>
        <stp>20090610</stp>
        <stp>20090610</stp>
        <stp>[Copy of 02_cpr_main.xlsx]data!R150C9</stp>
        <stp>Dts=H</stp>
        <tr r="I150" s="2"/>
      </tp>
      <tp t="s">
        <v>#N/A Invalid Field</v>
        <stp/>
        <stp>##V3_BDHV12</stp>
        <stp>31390QTD7 Mtge</stp>
        <stp>MTG_GEN_CPR_3M</stp>
        <stp>20090610</stp>
        <stp>20090610</stp>
        <stp>[Copy of 02_cpr_main.xlsx]data!R234C8</stp>
        <stp>Dts=H</stp>
        <tr r="H234" s="2"/>
      </tp>
      <tp t="s">
        <v>#N/A Invalid Field</v>
        <stp/>
        <stp>##V3_BDHV12</stp>
        <stp>31412PEV9 Mtge</stp>
        <stp>MTG_GEN_CPR_3M</stp>
        <stp>20090331</stp>
        <stp>20090331</stp>
        <stp>[Copy of 02_cpr_main.xlsx]data!R412C5</stp>
        <stp>Dts=H</stp>
        <tr r="E412" s="2"/>
      </tp>
      <tp t="s">
        <v>#N/A Invalid Field</v>
        <stp/>
        <stp>##V3_BDHV12</stp>
        <stp>31406QGE1 Mtge</stp>
        <stp>MTG_GEN_CPR_6M</stp>
        <stp>20090610</stp>
        <stp>20090610</stp>
        <stp>[Copy of 02_cpr_main.xlsx]data!R338C9</stp>
        <stp>Dts=H</stp>
        <tr r="I338" s="2"/>
      </tp>
      <tp t="s">
        <v>#N/A Invalid Field</v>
        <stp/>
        <stp>##V3_BDHV12</stp>
        <stp>31371K5T4 Mtge</stp>
        <stp>MTG_GEN_CPR_6M</stp>
        <stp>20090610</stp>
        <stp>20090610</stp>
        <stp>[Copy of 02_cpr_main.xlsx]data!R168C9</stp>
        <stp>Dts=H</stp>
        <tr r="I168" s="2"/>
      </tp>
      <tp t="s">
        <v>#N/A Invalid Field</v>
        <stp/>
        <stp>##V3_BDHV12</stp>
        <stp>31391N7M7 Mtge</stp>
        <stp>MTG_GEN_CPR_6M</stp>
        <stp>20090610</stp>
        <stp>20090610</stp>
        <stp>[Copy of 02_cpr_main.xlsx]data!R238C9</stp>
        <stp>Dts=H</stp>
        <tr r="I238" s="2"/>
      </tp>
      <tp t="s">
        <v>#N/A Invalid Field</v>
        <stp/>
        <stp>##V3_BDHV12</stp>
        <stp>36291JVC1 Mtge</stp>
        <stp>MTG_GEN_CPR_3M</stp>
        <stp>20090610</stp>
        <stp>20090610</stp>
        <stp>[Copy of 02_cpr_main.xlsx]data!R502C8</stp>
        <stp>Dts=H</stp>
        <tr r="H502" s="2"/>
      </tp>
      <tp t="s">
        <v>#N/A Invalid Field</v>
        <stp/>
        <stp>##V3_BDHV12</stp>
        <stp>31413N5R2 Mtge</stp>
        <stp>MTG_GEN_CPR_3M</stp>
        <stp>20090610</stp>
        <stp>20090610</stp>
        <stp>[Copy of 02_cpr_main.xlsx]data!R428C8</stp>
        <stp>Dts=H</stp>
        <tr r="H428" s="2"/>
      </tp>
      <tp t="s">
        <v>#N/A Invalid Field</v>
        <stp/>
        <stp>##V3_BDHV12</stp>
        <stp>36225BPM4 Mtge</stp>
        <stp>MTG_GEN_CPR_3M</stp>
        <stp>20090610</stp>
        <stp>20090610</stp>
        <stp>[Copy of 02_cpr_main.xlsx]data!R493C8</stp>
        <stp>Dts=H</stp>
        <tr r="H493" s="2"/>
      </tp>
      <tp t="s">
        <v>#N/A Invalid Field</v>
        <stp/>
        <stp>##V3_BDHV12</stp>
        <stp>36200MTF0 Mtge</stp>
        <stp>MTG_GEN_CPR_6M</stp>
        <stp>20090610</stp>
        <stp>20090610</stp>
        <stp>[Copy of 02_cpr_main.xlsx]data!R466C9</stp>
        <stp>Dts=H</stp>
        <tr r="I466" s="2"/>
      </tp>
      <tp t="s">
        <v>#N/A Invalid Field</v>
        <stp/>
        <stp>##V3_BDHV12</stp>
        <stp>31410KTH7 Mtge</stp>
        <stp>MTG_GEN_CPR_6M</stp>
        <stp>20090610</stp>
        <stp>20090610</stp>
        <stp>[Copy of 02_cpr_main.xlsx]data!R376C9</stp>
        <stp>Dts=H</stp>
        <tr r="I376" s="2"/>
      </tp>
      <tp t="s">
        <v>#N/A Invalid Field</v>
        <stp/>
        <stp>##V3_BDHV12</stp>
        <stp>31410KQJ6 Mtge</stp>
        <stp>MTG_GEN_CPR_3M</stp>
        <stp>20090610</stp>
        <stp>20090610</stp>
        <stp>[Copy of 02_cpr_main.xlsx]data!R373C8</stp>
        <stp>Dts=H</stp>
        <tr r="H373" s="2"/>
      </tp>
      <tp t="s">
        <v>#N/A Invalid Field</v>
        <stp/>
        <stp>##V3_BDHV12</stp>
        <stp>31413ME78 Mtge</stp>
        <stp>MTG_GEN_CPR_3M</stp>
        <stp>20090331</stp>
        <stp>20090331</stp>
        <stp>[Copy of 02_cpr_main.xlsx]data!R427C5</stp>
        <stp>Dts=H</stp>
        <tr r="E427" s="2"/>
      </tp>
      <tp t="s">
        <v>#N/A Invalid Field</v>
        <stp/>
        <stp>##V3_BDHV12</stp>
        <stp>31371KDF5 Mtge</stp>
        <stp>MTG_GEN_CPR_3M</stp>
        <stp>20090610</stp>
        <stp>20090610</stp>
        <stp>[Copy of 02_cpr_main.xlsx]data!R170C8</stp>
        <stp>Dts=H</stp>
        <tr r="H170" s="2"/>
      </tp>
      <tp t="s">
        <v>#N/A Invalid Field</v>
        <stp/>
        <stp>##V3_BDHV12</stp>
        <stp>31371KGN5 Mtge</stp>
        <stp>MTG_GEN_CPR_3M</stp>
        <stp>20090610</stp>
        <stp>20090610</stp>
        <stp>[Copy of 02_cpr_main.xlsx]data!R171C8</stp>
        <stp>Dts=H</stp>
        <tr r="H171" s="2"/>
      </tp>
      <tp t="s">
        <v>#N/A Invalid Field</v>
        <stp/>
        <stp>##V3_BDHV12</stp>
        <stp>31374GNK9 Mtge</stp>
        <stp>MTG_GEN_CPR_6M</stp>
        <stp>20090331</stp>
        <stp>20090331</stp>
        <stp>[Copy of 02_cpr_main.xlsx]data!R184C6</stp>
        <stp>Dts=H</stp>
        <tr r="F184" s="2"/>
      </tp>
      <tp t="s">
        <v>#N/A Invalid Field</v>
        <stp/>
        <stp>##V3_BDHV12</stp>
        <stp>31400KQ66 Mtge</stp>
        <stp>MTG_GEN_CPR_6M</stp>
        <stp>20090610</stp>
        <stp>20090610</stp>
        <stp>[Copy of 02_cpr_main.xlsx]data!R247C9</stp>
        <stp>Dts=H</stp>
        <tr r="I247" s="2"/>
      </tp>
      <tp t="s">
        <v>#N/A Invalid Field</v>
        <stp/>
        <stp>##V3_BDHV12</stp>
        <stp>31412LZK9 Mtge</stp>
        <stp>MTG_GEN_CPR_3M</stp>
        <stp>20090331</stp>
        <stp>20090331</stp>
        <stp>[Copy of 02_cpr_main.xlsx]data!R408C5</stp>
        <stp>Dts=H</stp>
        <tr r="E408" s="2"/>
      </tp>
      <tp t="s">
        <v>#N/A Invalid Field</v>
        <stp/>
        <stp>##V3_BDHV12</stp>
        <stp>36225A3K4 Mtge</stp>
        <stp>MTG_GEN_CPR_3M</stp>
        <stp>20090610</stp>
        <stp>20090610</stp>
        <stp>[Copy of 02_cpr_main.xlsx]data!R489C8</stp>
        <stp>Dts=H</stp>
        <tr r="H489" s="2"/>
      </tp>
      <tp t="s">
        <v>#N/A Invalid Field</v>
        <stp/>
        <stp>##V3_BDHV12</stp>
        <stp>31368HM26 Mtge</stp>
        <stp>MTG_GEN_CPR_3M</stp>
        <stp>20090331</stp>
        <stp>20090331</stp>
        <stp>[Copy of 02_cpr_main.xlsx]data!R159C5</stp>
        <stp>Dts=H</stp>
        <tr r="E159" s="2"/>
      </tp>
      <tp t="s">
        <v>#N/A Invalid Field</v>
        <stp/>
        <stp>##V3_BDHV12</stp>
        <stp>31371HLX4 Mtge</stp>
        <stp>MTG_GEN_CPR_6M</stp>
        <stp>20090610</stp>
        <stp>20090610</stp>
        <stp>[Copy of 02_cpr_main.xlsx]data!R163C9</stp>
        <stp>Dts=H</stp>
        <tr r="I163" s="2"/>
      </tp>
      <tp t="s">
        <v>#N/A Invalid Field</v>
        <stp/>
        <stp>##V3_BDHV12</stp>
        <stp>31405H4U9 Mtge</stp>
        <stp>MTG_GEN_CPR_3M</stp>
        <stp>20090331</stp>
        <stp>20090331</stp>
        <stp>[Copy of 02_cpr_main.xlsx]data!R325C5</stp>
        <stp>Dts=H</stp>
        <tr r="E325" s="2"/>
      </tp>
      <tp t="s">
        <v>#N/A Invalid Field</v>
        <stp/>
        <stp>##V3_BDHV12</stp>
        <stp>36213EWY8 Mtge</stp>
        <stp>MTG_GEN_CPR_3M</stp>
        <stp>20090331</stp>
        <stp>20090331</stp>
        <stp>[Copy of 02_cpr_main.xlsx]data!R487C5</stp>
        <stp>Dts=H</stp>
        <tr r="E487" s="2"/>
      </tp>
      <tp t="s">
        <v>#N/A Invalid Field</v>
        <stp/>
        <stp>##V3_BDHV12</stp>
        <stp>36294NV54 Mtge</stp>
        <stp>MTG_GEN_CPR_3M</stp>
        <stp>20090610</stp>
        <stp>20090610</stp>
        <stp>[Copy of 02_cpr_main.xlsx]data!R505C8</stp>
        <stp>Dts=H</stp>
        <tr r="H505" s="2"/>
      </tp>
      <tp t="s">
        <v>#N/A Invalid Field</v>
        <stp/>
        <stp>##V3_BDHV12</stp>
        <stp>31390JTB7 Mtge</stp>
        <stp>MTG_GEN_CPR_3M</stp>
        <stp>20090610</stp>
        <stp>20090610</stp>
        <stp>[Copy of 02_cpr_main.xlsx]data!R232C8</stp>
        <stp>Dts=H</stp>
        <tr r="H232" s="2"/>
      </tp>
      <tp t="s">
        <v>#N/A Invalid Field</v>
        <stp/>
        <stp>##V3_BDHV12</stp>
        <stp>31413KL33 Mtge</stp>
        <stp>MTG_GEN_CPR_6M</stp>
        <stp>20090610</stp>
        <stp>20090610</stp>
        <stp>[Copy of 02_cpr_main.xlsx]data!R426C9</stp>
        <stp>Dts=H</stp>
        <tr r="I426" s="2"/>
      </tp>
      <tp t="s">
        <v>#N/A Invalid Field</v>
        <stp/>
        <stp>##V3_BDHV12</stp>
        <stp>36291NM40 Mtge</stp>
        <stp>MTG_GEN_CPR_6M</stp>
        <stp>20090610</stp>
        <stp>20090610</stp>
        <stp>[Copy of 02_cpr_main.xlsx]data!R503C9</stp>
        <stp>Dts=H</stp>
        <tr r="I503" s="2"/>
      </tp>
      <tp t="s">
        <v>#N/A Invalid Field</v>
        <stp/>
        <stp>##V3_BDHV12</stp>
        <stp>31379C5N7 Mtge</stp>
        <stp>MTG_GEN_CPR_3M</stp>
        <stp>20090331</stp>
        <stp>20090331</stp>
        <stp>[Copy of 02_cpr_main.xlsx]data!R188C5</stp>
        <stp>Dts=H</stp>
        <tr r="E188" s="2"/>
      </tp>
      <tp t="s">
        <v>#N/A Invalid Field</v>
        <stp/>
        <stp>##V3_BDHV12</stp>
        <stp>31294JYS1 Mtge</stp>
        <stp>MTG_GEN_CPR_6M</stp>
        <stp>20090610</stp>
        <stp>20090610</stp>
        <stp>[Copy of 02_cpr_main.xlsx]data!R129C9</stp>
        <stp>Dts=H</stp>
        <tr r="I129" s="2"/>
      </tp>
      <tp t="s">
        <v>#N/A Invalid Field</v>
        <stp/>
        <stp>##V3_BDHV12</stp>
        <stp>31405JWZ3 Mtge</stp>
        <stp>MTG_GEN_CPR_3M</stp>
        <stp>20090610</stp>
        <stp>20090610</stp>
        <stp>[Copy of 02_cpr_main.xlsx]data!R326C8</stp>
        <stp>Dts=H</stp>
        <tr r="H326" s="2"/>
      </tp>
      <tp t="s">
        <v>#N/A Invalid Field</v>
        <stp/>
        <stp>##V3_BDHV12</stp>
        <stp>31411AYF6 Mtge</stp>
        <stp>MTG_GEN_CPR_6M</stp>
        <stp>20090610</stp>
        <stp>20090610</stp>
        <stp>[Copy of 02_cpr_main.xlsx]data!R390C9</stp>
        <stp>Dts=H</stp>
        <tr r="I390" s="2"/>
      </tp>
      <tp t="s">
        <v>#N/A Invalid Field</v>
        <stp/>
        <stp>##V3_BDHV12</stp>
        <stp>31407LE60 Mtge</stp>
        <stp>MTG_GEN_CPR_6M</stp>
        <stp>20090610</stp>
        <stp>20090610</stp>
        <stp>[Copy of 02_cpr_main.xlsx]data!R344C9</stp>
        <stp>Dts=H</stp>
        <tr r="I344" s="2"/>
      </tp>
      <tp t="s">
        <v>#N/A Invalid Field</v>
        <stp/>
        <stp>##V3_BDHV12</stp>
        <stp>31407LEA1 Mtge</stp>
        <stp>MTG_GEN_CPR_3M</stp>
        <stp>20090610</stp>
        <stp>20090610</stp>
        <stp>[Copy of 02_cpr_main.xlsx]data!R345C8</stp>
        <stp>Dts=H</stp>
        <tr r="H345" s="2"/>
      </tp>
      <tp t="s">
        <v>#N/A Invalid Field</v>
        <stp/>
        <stp>##V3_BDHV12</stp>
        <stp>31294KM51 Mtge</stp>
        <stp>MTG_GEN_CPR_6M</stp>
        <stp>20090610</stp>
        <stp>20090610</stp>
        <stp>[Copy of 02_cpr_main.xlsx]data!R132C9</stp>
        <stp>Dts=H</stp>
        <tr r="I132" s="2"/>
      </tp>
      <tp t="s">
        <v>#N/A Invalid Field</v>
        <stp/>
        <stp>##V3_BDHV12</stp>
        <stp>31404J2J3 Mtge</stp>
        <stp>MTG_GEN_CPR_6M</stp>
        <stp>20090610</stp>
        <stp>20090610</stp>
        <stp>[Copy of 02_cpr_main.xlsx]data!R314C9</stp>
        <stp>Dts=H</stp>
        <tr r="I314" s="2"/>
      </tp>
      <tp t="s">
        <v>#N/A Invalid Field</v>
        <stp/>
        <stp>##V3_BDHV12</stp>
        <stp>31294J5G9 Mtge</stp>
        <stp>MTG_GEN_CPR_6M</stp>
        <stp>20090331</stp>
        <stp>20090331</stp>
        <stp>[Copy of 02_cpr_main.xlsx]data!R127C6</stp>
        <stp>Dts=H</stp>
        <tr r="F127" s="2"/>
      </tp>
      <tp t="s">
        <v>#N/A Invalid Field</v>
        <stp/>
        <stp>##V3_BDHV12</stp>
        <stp>31413JLB8 Mtge</stp>
        <stp>MTG_GEN_CPR_3M</stp>
        <stp>20090331</stp>
        <stp>20090331</stp>
        <stp>[Copy of 02_cpr_main.xlsx]data!R422C5</stp>
        <stp>Dts=H</stp>
        <tr r="E422" s="2"/>
      </tp>
      <tp t="s">
        <v>#N/A Invalid Field</v>
        <stp/>
        <stp>##V3_BDHV12</stp>
        <stp>31294KLK9 Mtge</stp>
        <stp>MTG_GEN_CPR_6M</stp>
        <stp>20090331</stp>
        <stp>20090331</stp>
        <stp>[Copy of 02_cpr_main.xlsx]data!R131C6</stp>
        <stp>Dts=H</stp>
        <tr r="F131" s="2"/>
      </tp>
      <tp t="s">
        <v>#N/A Invalid Field</v>
        <stp/>
        <stp>##V3_BDHV12</stp>
        <stp>36206JJ96 Mtge</stp>
        <stp>MTG_GEN_CPR_6M</stp>
        <stp>20090610</stp>
        <stp>20090610</stp>
        <stp>[Copy of 02_cpr_main.xlsx]data!R479C9</stp>
        <stp>Dts=H</stp>
        <tr r="I479" s="2"/>
      </tp>
      <tp t="s">
        <v>#N/A Invalid Field</v>
        <stp/>
        <stp>##V3_BDHV12</stp>
        <stp>31296NA23 Mtge</stp>
        <stp>MTG_GEN_CPR_6M</stp>
        <stp>20090610</stp>
        <stp>20090610</stp>
        <stp>[Copy of 02_cpr_main.xlsx]data!R144C9</stp>
        <stp>Dts=H</stp>
        <tr r="I144" s="2"/>
      </tp>
      <tp t="s">
        <v>#N/A Invalid Field</v>
        <stp/>
        <stp>##V3_BDHV12</stp>
        <stp>36201JDG1 Mtge</stp>
        <stp>MTG_GEN_CPR_6M</stp>
        <stp>20090610</stp>
        <stp>20090610</stp>
        <stp>[Copy of 02_cpr_main.xlsx]data!R471C9</stp>
        <stp>Dts=H</stp>
        <tr r="I471" s="2"/>
      </tp>
      <tp t="s">
        <v>#N/A Invalid Field</v>
        <stp/>
        <stp>##V3_BDHV12</stp>
        <stp>31371MLN5 Mtge</stp>
        <stp>MTG_GEN_CPR_3M</stp>
        <stp>20090610</stp>
        <stp>20090610</stp>
        <stp>[Copy of 02_cpr_main.xlsx]data!R178C8</stp>
        <stp>Dts=H</stp>
        <tr r="H178" s="2"/>
      </tp>
      <tp t="s">
        <v>#N/A Invalid Field</v>
        <stp/>
        <stp>##V3_BDHV12</stp>
        <stp>36200KMY0 Mtge</stp>
        <stp>MTG_GEN_CPR_6M</stp>
        <stp>20090610</stp>
        <stp>20090610</stp>
        <stp>[Copy of 02_cpr_main.xlsx]data!R464C9</stp>
        <stp>Dts=H</stp>
        <tr r="I464" s="2"/>
      </tp>
      <tp t="s">
        <v>#N/A Invalid Field</v>
        <stp/>
        <stp>##V3_BDHV12</stp>
        <stp>31412ETK2 Mtge</stp>
        <stp>MTG_GEN_CPR_6M</stp>
        <stp>20090610</stp>
        <stp>20090610</stp>
        <stp>[Copy of 02_cpr_main.xlsx]data!R405C9</stp>
        <stp>Dts=H</stp>
        <tr r="I405" s="2"/>
      </tp>
      <tp t="s">
        <v>#N/A Invalid Field</v>
        <stp/>
        <stp>##V3_BDHV12</stp>
        <stp>31414FKG5 Mtge</stp>
        <stp>MTG_GEN_CPR_3M</stp>
        <stp>20090610</stp>
        <stp>20090610</stp>
        <stp>[Copy of 02_cpr_main.xlsx]data!R437C8</stp>
        <stp>Dts=H</stp>
        <tr r="H437" s="2"/>
      </tp>
      <tp t="s">
        <v>#N/A Invalid Field</v>
        <stp/>
        <stp>##V3_BDHV12</stp>
        <stp>36291AM48 Mtge</stp>
        <stp>MTG_GEN_CPR_6M</stp>
        <stp>20090331</stp>
        <stp>20090331</stp>
        <stp>[Copy of 02_cpr_main.xlsx]data!R500C6</stp>
        <stp>Dts=H</stp>
        <tr r="F500" s="2"/>
      </tp>
      <tp t="s">
        <v>#N/A Invalid Field</v>
        <stp/>
        <stp>##V3_BDHV12</stp>
        <stp>31406DJV9 Mtge</stp>
        <stp>MTG_GEN_CPR_6M</stp>
        <stp>20090331</stp>
        <stp>20090331</stp>
        <stp>[Copy of 02_cpr_main.xlsx]data!R334C6</stp>
        <stp>Dts=H</stp>
        <tr r="F334" s="2"/>
      </tp>
      <tp t="s">
        <v>#N/A Invalid Field</v>
        <stp/>
        <stp>##V3_BDHV12</stp>
        <stp>31412GSR3 Mtge</stp>
        <stp>MTG_GEN_CPR_3M</stp>
        <stp>20090610</stp>
        <stp>20090610</stp>
        <stp>[Copy of 02_cpr_main.xlsx]data!R407C8</stp>
        <stp>Dts=H</stp>
        <tr r="H407" s="2"/>
      </tp>
      <tp t="s">
        <v>#N/A Invalid Field</v>
        <stp/>
        <stp>##V3_BDHV12</stp>
        <stp>36200EDN8 Mtge</stp>
        <stp>MTG_GEN_CPR_6M</stp>
        <stp>20090331</stp>
        <stp>20090331</stp>
        <stp>[Copy of 02_cpr_main.xlsx]data!R463C6</stp>
        <stp>Dts=H</stp>
        <tr r="F463" s="2"/>
      </tp>
      <tp t="s">
        <v>#N/A Invalid Field</v>
        <stp/>
        <stp>##V3_BDHV12</stp>
        <stp>31297CKH2 Mtge</stp>
        <stp>MTG_GEN_CPR_6M</stp>
        <stp>20090610</stp>
        <stp>20090610</stp>
        <stp>[Copy of 02_cpr_main.xlsx]data!R147C9</stp>
        <stp>Dts=H</stp>
        <tr r="I147" s="2"/>
      </tp>
      <tp t="s">
        <v>#N/A Invalid Field</v>
        <stp/>
        <stp>##V3_BDHV12</stp>
        <stp>31410C6S6 Mtge</stp>
        <stp>MTG_GEN_CPR_3M</stp>
        <stp>20090610</stp>
        <stp>20090610</stp>
        <stp>[Copy of 02_cpr_main.xlsx]data!R358C8</stp>
        <stp>Dts=H</stp>
        <tr r="H358" s="2"/>
      </tp>
      <tp t="s">
        <v>#N/A Invalid Field</v>
        <stp/>
        <stp>##V3_BDHV12</stp>
        <stp>31415BBF5 Mtge</stp>
        <stp>MTG_GEN_CPR_6M</stp>
        <stp>20090610</stp>
        <stp>20090610</stp>
        <stp>[Copy of 02_cpr_main.xlsx]data!R447C9</stp>
        <stp>Dts=H</stp>
        <tr r="I447" s="2"/>
      </tp>
      <tp t="s">
        <v>#N/A Invalid Field</v>
        <stp/>
        <stp>##V3_BDHV12</stp>
        <stp>31376J2W8 Mtge</stp>
        <stp>MTG_GEN_CPR_3M</stp>
        <stp>20090331</stp>
        <stp>20090331</stp>
        <stp>[Copy of 02_cpr_main.xlsx]data!R186C5</stp>
        <stp>Dts=H</stp>
        <tr r="E186" s="2"/>
      </tp>
      <tp t="s">
        <v>#N/A Invalid Field</v>
        <stp/>
        <stp>##V3_BDHV12</stp>
        <stp>31410G6A6 Mtge</stp>
        <stp>MTG_GEN_CPR_3M</stp>
        <stp>20090610</stp>
        <stp>20090610</stp>
        <stp>[Copy of 02_cpr_main.xlsx]data!R364C8</stp>
        <stp>Dts=H</stp>
        <tr r="H364" s="2"/>
      </tp>
      <tp t="s">
        <v>#N/A Invalid Field</v>
        <stp/>
        <stp>##V3_BDHV12</stp>
        <stp>31412BPZ9 Mtge</stp>
        <stp>MTG_GEN_CPR_3M</stp>
        <stp>20090331</stp>
        <stp>20090331</stp>
        <stp>[Copy of 02_cpr_main.xlsx]data!R402C5</stp>
        <stp>Dts=H</stp>
        <tr r="E402" s="2"/>
      </tp>
      <tp t="s">
        <v>#N/A Invalid Field</v>
        <stp/>
        <stp>##V3_BDHV12</stp>
        <stp>31410GE66 Mtge</stp>
        <stp>MTG_GEN_CPR_3M</stp>
        <stp>20090610</stp>
        <stp>20090610</stp>
        <stp>[Copy of 02_cpr_main.xlsx]data!R365C8</stp>
        <stp>Dts=H</stp>
        <tr r="H365" s="2"/>
      </tp>
      <tp t="s">
        <v>#N/A Invalid Field</v>
        <stp/>
        <stp>##V3_BDHV12</stp>
        <stp>31410GHN6 Mtge</stp>
        <stp>MTG_GEN_CPR_3M</stp>
        <stp>20090610</stp>
        <stp>20090610</stp>
        <stp>[Copy of 02_cpr_main.xlsx]data!R368C8</stp>
        <stp>Dts=H</stp>
        <tr r="H368" s="2"/>
      </tp>
      <tp t="s">
        <v>#N/A Invalid Field</v>
        <stp/>
        <stp>##V3_BDHV12</stp>
        <stp>31410GH97 Mtge</stp>
        <stp>MTG_GEN_CPR_6M</stp>
        <stp>20090610</stp>
        <stp>20090610</stp>
        <stp>[Copy of 02_cpr_main.xlsx]data!R367C9</stp>
        <stp>Dts=H</stp>
        <tr r="I367" s="2"/>
      </tp>
      <tp t="s">
        <v>#N/A Invalid Field</v>
        <stp/>
        <stp>##V3_BDHV12</stp>
        <stp>31410F2Z7 Mtge</stp>
        <stp>MTG_GEN_CPR_6M</stp>
        <stp>20090610</stp>
        <stp>20090610</stp>
        <stp>[Copy of 02_cpr_main.xlsx]data!R362C9</stp>
        <stp>Dts=H</stp>
        <tr r="I362" s="2"/>
      </tp>
      <tp t="s">
        <v>#N/A Invalid Field</v>
        <stp/>
        <stp>##V3_BDHV12</stp>
        <stp>31297GXZ9 Mtge</stp>
        <stp>MTG_GEN_CPR_3M</stp>
        <stp>20090331</stp>
        <stp>20090331</stp>
        <stp>[Copy of 02_cpr_main.xlsx]data!R148C5</stp>
        <stp>Dts=H</stp>
        <tr r="E148" s="2"/>
      </tp>
      <tp t="s">
        <v>#N/A Invalid Field</v>
        <stp/>
        <stp>##V3_BDHV12</stp>
        <stp>31410GRM7 Mtge</stp>
        <stp>MTG_GEN_CPR_6M</stp>
        <stp>20090610</stp>
        <stp>20090610</stp>
        <stp>[Copy of 02_cpr_main.xlsx]data!R371C9</stp>
        <stp>Dts=H</stp>
        <tr r="I371" s="2"/>
      </tp>
      <tp t="s">
        <v>#N/A Invalid Field</v>
        <stp/>
        <stp>##V3_BDHV12</stp>
        <stp>36291GYR1 Mtge</stp>
        <stp>MTG_GEN_CPR_3M</stp>
        <stp>20090610</stp>
        <stp>20090610</stp>
        <stp>[Copy of 02_cpr_main.xlsx]data!R501C8</stp>
        <stp>Dts=H</stp>
        <tr r="H501" s="2"/>
      </tp>
      <tp t="s">
        <v>#N/A Invalid Field</v>
        <stp/>
        <stp>##V3_BDHV12</stp>
        <stp>31414CZ84 Mtge</stp>
        <stp>MTG_GEN_CPR_6M</stp>
        <stp>20090610</stp>
        <stp>20090610</stp>
        <stp>[Copy of 02_cpr_main.xlsx]data!R436C9</stp>
        <stp>Dts=H</stp>
        <tr r="I436" s="2"/>
      </tp>
      <tp t="s">
        <v>#N/A Invalid Field</v>
        <stp/>
        <stp>##V3_BDHV12</stp>
        <stp>31377KKG9 Mtge</stp>
        <stp>MTG_GEN_CPR_3M</stp>
        <stp>20090331</stp>
        <stp>20090331</stp>
        <stp>[Copy of 02_cpr_main.xlsx]data!R187C5</stp>
        <stp>Dts=H</stp>
        <tr r="E187" s="2"/>
      </tp>
      <tp t="s">
        <v>#N/A Invalid Field</v>
        <stp/>
        <stp>##V3_BDHV12</stp>
        <stp>31409D2C6 Mtge</stp>
        <stp>MTG_GEN_CPR_6M</stp>
        <stp>20090331</stp>
        <stp>20090331</stp>
        <stp>[Copy of 02_cpr_main.xlsx]data!R352C6</stp>
        <stp>Dts=H</stp>
        <tr r="F352" s="2"/>
      </tp>
      <tp t="s">
        <v>#N/A Invalid Field</v>
        <stp/>
        <stp>##V3_BDHV12</stp>
        <stp>31412BWG3 Mtge</stp>
        <stp>MTG_GEN_CPR_3M</stp>
        <stp>20090610</stp>
        <stp>20090610</stp>
        <stp>[Copy of 02_cpr_main.xlsx]data!R403C8</stp>
        <stp>Dts=H</stp>
        <tr r="H403" s="2"/>
      </tp>
      <tp t="s">
        <v>#N/A Invalid Field</v>
        <stp/>
        <stp>##V3_BDHV12</stp>
        <stp>31382KR26 Mtge</stp>
        <stp>MTG_GEN_CPR_3M</stp>
        <stp>20090610</stp>
        <stp>20090610</stp>
        <stp>[Copy of 02_cpr_main.xlsx]data!R198C8</stp>
        <stp>Dts=H</stp>
        <tr r="H198" s="2"/>
      </tp>
      <tp t="s">
        <v>#N/A Invalid Field</v>
        <stp/>
        <stp>##V3_BDHV12</stp>
        <stp>31385CEC3 Mtge</stp>
        <stp>MTG_GEN_CPR_6M</stp>
        <stp>20090610</stp>
        <stp>20090610</stp>
        <stp>[Copy of 02_cpr_main.xlsx]data!R212C9</stp>
        <stp>Dts=H</stp>
        <tr r="I212" s="2"/>
      </tp>
      <tp t="s">
        <v>#N/A Invalid Field</v>
        <stp/>
        <stp>##V3_BDHV12</stp>
        <stp>31385CHF3 Mtge</stp>
        <stp>MTG_GEN_CPR_6M</stp>
        <stp>20090610</stp>
        <stp>20090610</stp>
        <stp>[Copy of 02_cpr_main.xlsx]data!R213C9</stp>
        <stp>Dts=H</stp>
        <tr r="I213" s="2"/>
      </tp>
      <tp t="s">
        <v>#N/A Invalid Field</v>
        <stp/>
        <stp>##V3_BDHV12</stp>
        <stp>312967HF2 Mtge</stp>
        <stp>MTG_GEN_CPR_3M</stp>
        <stp>20090610</stp>
        <stp>20090610</stp>
        <stp>[Copy of 02_cpr_main.xlsx]data!R140C8</stp>
        <stp>Dts=H</stp>
        <tr r="H140" s="2"/>
      </tp>
      <tp t="s">
        <v>#N/A Invalid Field</v>
        <stp/>
        <stp>##V3_BDHV12</stp>
        <stp>3128GDRC6 Mtge</stp>
        <stp>MTG_GEN_CPR_12M</stp>
        <stp>20090331</stp>
        <stp>20090331</stp>
        <stp>[Copy of 02_cpr_main.xlsx]data!R48C7</stp>
        <stp>Dts=H</stp>
        <tr r="G48" s="2"/>
      </tp>
      <tp t="s">
        <v>#N/A Invalid Field</v>
        <stp/>
        <stp>##V3_BDHV12</stp>
        <stp>3128GCVT6 Mtge</stp>
        <stp>MTG_GEN_CPR_12M</stp>
        <stp>20090331</stp>
        <stp>20090331</stp>
        <stp>[Copy of 02_cpr_main.xlsx]data!R43C7</stp>
        <stp>Dts=H</stp>
        <tr r="G43" s="2"/>
      </tp>
    </main>
    <main first="bloomberg.rtd">
      <tp t="s">
        <v>#N/A Invalid Field</v>
        <stp/>
        <stp>##V3_BDHV12</stp>
        <stp>31410UQW5 Mtge</stp>
        <stp>MTG_GEN_CPR_3M</stp>
        <stp>20090610</stp>
        <stp>20090610</stp>
        <stp>[Copy of 02_cpr_main.xlsx]data!R385C8</stp>
        <stp>Dts=H</stp>
        <tr r="H385" s="2"/>
      </tp>
      <tp>
        <v>207</v>
        <stp/>
        <stp>##V3_BDPV12</stp>
        <stp>31379C5N7 Mtge</stp>
        <stp>MTG_PREPAY_SPEED</stp>
        <stp>[Copy of 02_cpr_main.xlsx]data!R188C12</stp>
        <tr r="L188" s="2"/>
      </tp>
      <tp t="s">
        <v>#N/A Invalid Field</v>
        <stp/>
        <stp>##V3_BDHV12</stp>
        <stp>31407X2Q3 Mtge</stp>
        <stp>MTG_GEN_CPR_6M</stp>
        <stp>20090610</stp>
        <stp>20090610</stp>
        <stp>[Copy of 02_cpr_main.xlsx]data!R348C9</stp>
        <stp>Dts=H</stp>
        <tr r="I348" s="2"/>
      </tp>
      <tp t="s">
        <v>#N/A Invalid Field</v>
        <stp/>
        <stp>##V3_BDHV12</stp>
        <stp>31401XSY4 Mtge</stp>
        <stp>MTG_GEN_CPR_6M</stp>
        <stp>20090610</stp>
        <stp>20090610</stp>
        <stp>[Copy of 02_cpr_main.xlsx]data!R260C9</stp>
        <stp>Dts=H</stp>
        <tr r="I260" s="2"/>
      </tp>
      <tp t="s">
        <v>#N/A Invalid Field</v>
        <stp/>
        <stp>##V3_BDHV12</stp>
        <stp>36210VRS2 Mtge</stp>
        <stp>MTG_GEN_CPR_3M</stp>
        <stp>20090610</stp>
        <stp>20090610</stp>
        <stp>[Copy of 02_cpr_main.xlsx]data!R485C8</stp>
        <stp>Dts=H</stp>
        <tr r="H485" s="2"/>
      </tp>
      <tp t="s">
        <v>#N/A Invalid Field</v>
        <stp/>
        <stp>##V3_BDHV12</stp>
        <stp>31385XDL8 Mtge</stp>
        <stp>MTG_GEN_CPR_6M</stp>
        <stp>20090331</stp>
        <stp>20090331</stp>
        <stp>[Copy of 02_cpr_main.xlsx]data!R220C6</stp>
        <stp>Dts=H</stp>
        <tr r="F220" s="2"/>
      </tp>
      <tp t="s">
        <v>#N/A Invalid Field</v>
        <stp/>
        <stp>##V3_BDHV12</stp>
        <stp>31385XNG8 Mtge</stp>
        <stp>MTG_GEN_CPR_6M</stp>
        <stp>20090331</stp>
        <stp>20090331</stp>
        <stp>[Copy of 02_cpr_main.xlsx]data!R226C6</stp>
        <stp>Dts=H</stp>
        <tr r="F226" s="2"/>
      </tp>
      <tp t="s">
        <v>#N/A Invalid Field</v>
        <stp/>
        <stp>##V3_BDHV12</stp>
        <stp>31386Y5M2 Mtge</stp>
        <stp>MTG_GEN_CPR_3M</stp>
        <stp>20090610</stp>
        <stp>20090610</stp>
        <stp>[Copy of 02_cpr_main.xlsx]data!R227C8</stp>
        <stp>Dts=H</stp>
        <tr r="H227" s="2"/>
      </tp>
      <tp t="s">
        <v>#N/A Invalid Field</v>
        <stp/>
        <stp>##V3_BDHV12</stp>
        <stp>31405XXV0 Mtge</stp>
        <stp>MTG_GEN_CPR_3M</stp>
        <stp>20090610</stp>
        <stp>20090610</stp>
        <stp>[Copy of 02_cpr_main.xlsx]data!R330C8</stp>
        <stp>Dts=H</stp>
        <tr r="H330" s="2"/>
      </tp>
      <tp t="s">
        <v>#N/A Invalid Field</v>
        <stp/>
        <stp>##V3_BDHV12</stp>
        <stp>31379QA67 Mtge</stp>
        <stp>MTG_GEN_CPR_6M</stp>
        <stp>20090331</stp>
        <stp>20090331</stp>
        <stp>[Copy of 02_cpr_main.xlsx]data!R190C6</stp>
        <stp>Dts=H</stp>
        <tr r="F190" s="2"/>
      </tp>
      <tp>
        <v>169</v>
        <stp/>
        <stp>##V3_BDPV12</stp>
        <stp>31415PMH8 Mtge</stp>
        <stp>MTG_PREPAY_SPEED</stp>
        <stp>[Copy of 02_cpr_main.xlsx]data!R450C12</stp>
        <tr r="L450" s="2"/>
      </tp>
      <tp t="s">
        <v>#N/A Invalid Field</v>
        <stp/>
        <stp>##V3_BDHV12</stp>
        <stp>31379Q6J4 Mtge</stp>
        <stp>MTG_GEN_CPR_3M</stp>
        <stp>20090331</stp>
        <stp>20090331</stp>
        <stp>[Copy of 02_cpr_main.xlsx]data!R189C5</stp>
        <stp>Dts=H</stp>
        <tr r="E189" s="2"/>
      </tp>
      <tp t="s">
        <v>#N/A Invalid Field</v>
        <stp/>
        <stp>##V3_BDHV12</stp>
        <stp>31402RGU7 Mtge</stp>
        <stp>MTG_GEN_CPR_6M</stp>
        <stp>20090610</stp>
        <stp>20090610</stp>
        <stp>[Copy of 02_cpr_main.xlsx]data!R283C9</stp>
        <stp>Dts=H</stp>
        <tr r="I283" s="2"/>
      </tp>
      <tp t="s">
        <v>#N/A Invalid Field</v>
        <stp/>
        <stp>##V3_BDHV12</stp>
        <stp>31404XJG0 Mtge</stp>
        <stp>MTG_GEN_CPR_6M</stp>
        <stp>20090610</stp>
        <stp>20090610</stp>
        <stp>[Copy of 02_cpr_main.xlsx]data!R321C9</stp>
        <stp>Dts=H</stp>
        <tr r="I321" s="2"/>
      </tp>
      <tp>
        <v>169</v>
        <stp/>
        <stp>##V3_BDPV12</stp>
        <stp>31414FPH8 Mtge</stp>
        <stp>MTG_PREPAY_SPEED</stp>
        <stp>[Copy of 02_cpr_main.xlsx]data!R438C12</stp>
        <tr r="L438" s="2"/>
      </tp>
      <tp t="s">
        <v>#N/A Invalid Field</v>
        <stp/>
        <stp>##V3_BDHV12</stp>
        <stp>31414QAE7 Mtge</stp>
        <stp>MTG_GEN_CPR_6M</stp>
        <stp>20090610</stp>
        <stp>20090610</stp>
        <stp>[Copy of 02_cpr_main.xlsx]data!R443C9</stp>
        <stp>Dts=H</stp>
        <tr r="I443" s="2"/>
      </tp>
      <tp t="s">
        <v>#N/A Invalid Field</v>
        <stp/>
        <stp>##V3_BDHV12</stp>
        <stp>31402RBX6 Mtge</stp>
        <stp>MTG_GEN_CPR_3M</stp>
        <stp>20090610</stp>
        <stp>20090610</stp>
        <stp>[Copy of 02_cpr_main.xlsx]data!R279C8</stp>
        <stp>Dts=H</stp>
        <tr r="H279" s="2"/>
      </tp>
      <tp t="s">
        <v>#N/A N/A</v>
        <stp/>
        <stp>##V3_BDPV12</stp>
        <stp>31412G4H1 Mtge</stp>
        <stp>MTG_PREPAY_SPEED</stp>
        <stp>[Copy of 02_cpr_main.xlsx]data!R406C12</stp>
        <tr r="L406" s="2"/>
      </tp>
      <tp t="s">
        <v>#N/A Invalid Field</v>
        <stp/>
        <stp>##V3_BDHV12</stp>
        <stp>36202WH69 Mtge</stp>
        <stp>MTG_GEN_CPR_6M</stp>
        <stp>20090331</stp>
        <stp>20090331</stp>
        <stp>[Copy of 02_cpr_main.xlsx]data!R477C6</stp>
        <stp>Dts=H</stp>
        <tr r="F477" s="2"/>
      </tp>
      <tp t="s">
        <v>#N/A Invalid Field</v>
        <stp/>
        <stp>##V3_BDHV12</stp>
        <stp>31400RV24 Mtge</stp>
        <stp>MTG_GEN_CPR_3M</stp>
        <stp>20090610</stp>
        <stp>20090610</stp>
        <stp>[Copy of 02_cpr_main.xlsx]data!R250C8</stp>
        <stp>Dts=H</stp>
        <tr r="H250" s="2"/>
      </tp>
      <tp t="s">
        <v>#N/A Invalid Field</v>
        <stp/>
        <stp>##V3_BDHV12</stp>
        <stp>36291PSB3 Mtge</stp>
        <stp>MTG_GEN_CPR_6M</stp>
        <stp>20090610</stp>
        <stp>20090610</stp>
        <stp>[Copy of 02_cpr_main.xlsx]data!R504C9</stp>
        <stp>Dts=H</stp>
        <tr r="I504" s="2"/>
      </tp>
      <tp t="s">
        <v>#N/A Invalid Field</v>
        <stp/>
        <stp>##V3_BDHV12</stp>
        <stp>36200WJE2 Mtge</stp>
        <stp>MTG_GEN_CPR_3M</stp>
        <stp>20090610</stp>
        <stp>20090610</stp>
        <stp>[Copy of 02_cpr_main.xlsx]data!R470C8</stp>
        <stp>Dts=H</stp>
        <tr r="H470" s="2"/>
      </tp>
      <tp>
        <v>254</v>
        <stp/>
        <stp>##V3_BDPV12</stp>
        <stp>31371KGN5 Mtge</stp>
        <stp>MTG_PREPAY_SPEED</stp>
        <stp>[Copy of 02_cpr_main.xlsx]data!R171C12</stp>
        <tr r="L171" s="2"/>
      </tp>
      <tp>
        <v>150</v>
        <stp/>
        <stp>##V3_BDPV12</stp>
        <stp>36225A3K4 Mtge</stp>
        <stp>MTG_PREPAY_SPEED</stp>
        <stp>[Copy of 02_cpr_main.xlsx]data!R489C12</stp>
        <tr r="L489" s="2"/>
      </tp>
      <tp>
        <v>182</v>
        <stp/>
        <stp>##V3_BDPV12</stp>
        <stp>31371MLN5 Mtge</stp>
        <stp>MTG_PREPAY_SPEED</stp>
        <stp>[Copy of 02_cpr_main.xlsx]data!R178C12</stp>
        <tr r="L178" s="2"/>
      </tp>
      <tp t="s">
        <v>#N/A Invalid Field</v>
        <stp/>
        <stp>##V3_BDHV12</stp>
        <stp>31402QSL6 Mtge</stp>
        <stp>MTG_GEN_CPR_3M</stp>
        <stp>20090610</stp>
        <stp>20090610</stp>
        <stp>[Copy of 02_cpr_main.xlsx]data!R276C8</stp>
        <stp>Dts=H</stp>
        <tr r="H276" s="2"/>
      </tp>
      <tp t="s">
        <v>#N/A Invalid Field</v>
        <stp/>
        <stp>##V3_BDHV12</stp>
        <stp>31404WTM8 Mtge</stp>
        <stp>MTG_GEN_CPR_6M</stp>
        <stp>20090331</stp>
        <stp>20090331</stp>
        <stp>[Copy of 02_cpr_main.xlsx]data!R320C6</stp>
        <stp>Dts=H</stp>
        <tr r="F320" s="2"/>
      </tp>
      <tp t="s">
        <v>#N/A Invalid Field</v>
        <stp/>
        <stp>##V3_BDHV12</stp>
        <stp>31385WZX0 Mtge</stp>
        <stp>MTG_GEN_CPR_6M</stp>
        <stp>20090610</stp>
        <stp>20090610</stp>
        <stp>[Copy of 02_cpr_main.xlsx]data!R219C9</stp>
        <stp>Dts=H</stp>
        <tr r="I219" s="2"/>
      </tp>
      <tp t="s">
        <v>#N/A Invalid Field</v>
        <stp/>
        <stp>##V3_BDHV12</stp>
        <stp>31293TFD4 Mtge</stp>
        <stp>MTG_GEN_CPR_3M</stp>
        <stp>20090610</stp>
        <stp>20090610</stp>
        <stp>[Copy of 02_cpr_main.xlsx]data!R122C8</stp>
        <stp>Dts=H</stp>
        <tr r="H122" s="2"/>
      </tp>
      <tp>
        <v>161</v>
        <stp/>
        <stp>##V3_BDPV12</stp>
        <stp>31410KTH7 Mtge</stp>
        <stp>MTG_PREPAY_SPEED</stp>
        <stp>[Copy of 02_cpr_main.xlsx]data!R376C12</stp>
        <tr r="L376" s="2"/>
      </tp>
      <tp>
        <v>161</v>
        <stp/>
        <stp>##V3_BDPV12</stp>
        <stp>31415RFH2 Mtge</stp>
        <stp>MTG_PREPAY_SPEED</stp>
        <stp>[Copy of 02_cpr_main.xlsx]data!R452C12</stp>
        <tr r="L452" s="2"/>
      </tp>
      <tp t="s">
        <v>#N/A Invalid Field</v>
        <stp/>
        <stp>##V3_BDHV12</stp>
        <stp>31297VQA9 Mtge</stp>
        <stp>MTG_GEN_CPR_6M</stp>
        <stp>20090331</stp>
        <stp>20090331</stp>
        <stp>[Copy of 02_cpr_main.xlsx]data!R151C6</stp>
        <stp>Dts=H</stp>
        <tr r="F151" s="2"/>
      </tp>
      <tp t="s">
        <v>#N/A Invalid Field</v>
        <stp/>
        <stp>##V3_BDHV12</stp>
        <stp>31413SCS1 Mtge</stp>
        <stp>MTG_GEN_CPR_3M</stp>
        <stp>20090610</stp>
        <stp>20090610</stp>
        <stp>[Copy of 02_cpr_main.xlsx]data!R432C8</stp>
        <stp>Dts=H</stp>
        <tr r="H432" s="2"/>
      </tp>
      <tp t="s">
        <v>#N/A Invalid Field</v>
        <stp/>
        <stp>##V3_BDHV12</stp>
        <stp>31410XF84 Mtge</stp>
        <stp>MTG_GEN_CPR_6M</stp>
        <stp>20090610</stp>
        <stp>20090610</stp>
        <stp>[Copy of 02_cpr_main.xlsx]data!R388C9</stp>
        <stp>Dts=H</stp>
        <tr r="I388" s="2"/>
      </tp>
      <tp t="s">
        <v>#N/A Invalid Field</v>
        <stp/>
        <stp>##V3_BDHV12</stp>
        <stp>31390SJ85 Mtge</stp>
        <stp>MTG_GEN_CPR_6M</stp>
        <stp>20090610</stp>
        <stp>20090610</stp>
        <stp>[Copy of 02_cpr_main.xlsx]data!R235C9</stp>
        <stp>Dts=H</stp>
        <tr r="I235" s="2"/>
      </tp>
      <tp t="s">
        <v>#N/A N/A</v>
        <stp/>
        <stp>##V3_BDPV12</stp>
        <stp>31414PTH2 Mtge</stp>
        <stp>MTG_PREPAY_SPEED</stp>
        <stp>[Copy of 02_cpr_main.xlsx]data!R442C12</stp>
        <tr r="L442" s="2"/>
      </tp>
      <tp t="s">
        <v>#N/A Invalid Field</v>
        <stp/>
        <stp>##V3_BDHV12</stp>
        <stp>31390P7C5 Mtge</stp>
        <stp>MTG_GEN_CPR_6M</stp>
        <stp>20090610</stp>
        <stp>20090610</stp>
        <stp>[Copy of 02_cpr_main.xlsx]data!R233C9</stp>
        <stp>Dts=H</stp>
        <tr r="I233" s="2"/>
      </tp>
      <tp>
        <v>161</v>
        <stp/>
        <stp>##V3_BDPV12</stp>
        <stp>31414LAH1 Mtge</stp>
        <stp>MTG_PREPAY_SPEED</stp>
        <stp>[Copy of 02_cpr_main.xlsx]data!R441C12</stp>
        <tr r="L441" s="2"/>
      </tp>
      <tp t="s">
        <v>#N/A Invalid Field</v>
        <stp/>
        <stp>##V3_BDHV12</stp>
        <stp>31403R2E7 Mtge</stp>
        <stp>MTG_GEN_CPR_6M</stp>
        <stp>20090610</stp>
        <stp>20090610</stp>
        <stp>[Copy of 02_cpr_main.xlsx]data!R309C9</stp>
        <stp>Dts=H</stp>
        <tr r="I309" s="2"/>
      </tp>
      <tp t="s">
        <v>#N/A Invalid Field</v>
        <stp/>
        <stp>##V3_BDHV12</stp>
        <stp>31413QS90 Mtge</stp>
        <stp>MTG_GEN_CPR_6M</stp>
        <stp>20090610</stp>
        <stp>20090610</stp>
        <stp>[Copy of 02_cpr_main.xlsx]data!R431C9</stp>
        <stp>Dts=H</stp>
        <tr r="I431" s="2"/>
      </tp>
      <tp t="s">
        <v>#N/A Invalid Field</v>
        <stp/>
        <stp>##V3_BDHV12</stp>
        <stp>31412PEV9 Mtge</stp>
        <stp>MTG_GEN_CPR_6M</stp>
        <stp>20090331</stp>
        <stp>20090331</stp>
        <stp>[Copy of 02_cpr_main.xlsx]data!R412C6</stp>
        <stp>Dts=H</stp>
        <tr r="F412" s="2"/>
      </tp>
      <tp t="s">
        <v>#N/A Invalid Field</v>
        <stp/>
        <stp>##V3_BDHV12</stp>
        <stp>36204RN87 Mtge</stp>
        <stp>MTG_GEN_CPR_6M</stp>
        <stp>20090610</stp>
        <stp>20090610</stp>
        <stp>[Copy of 02_cpr_main.xlsx]data!R478C9</stp>
        <stp>Dts=H</stp>
        <tr r="I478" s="2"/>
      </tp>
      <tp t="s">
        <v>#N/A Invalid Field</v>
        <stp/>
        <stp>##V3_BDHV12</stp>
        <stp>31297VFX1 Mtge</stp>
        <stp>MTG_GEN_CPR_6M</stp>
        <stp>20090610</stp>
        <stp>20090610</stp>
        <stp>[Copy of 02_cpr_main.xlsx]data!R149C9</stp>
        <stp>Dts=H</stp>
        <tr r="I149" s="2"/>
      </tp>
      <tp t="s">
        <v>#N/A Invalid Field</v>
        <stp/>
        <stp>##V3_BDHV12</stp>
        <stp>31371K3A7 Mtge</stp>
        <stp>MTG_GEN_CPR_6M</stp>
        <stp>20090610</stp>
        <stp>20090610</stp>
        <stp>[Copy of 02_cpr_main.xlsx]data!R167C9</stp>
        <stp>Dts=H</stp>
        <tr r="I167" s="2"/>
      </tp>
      <tp t="s">
        <v>#N/A Invalid Field</v>
        <stp/>
        <stp>##V3_BDHV12</stp>
        <stp>31412M3C0 Mtge</stp>
        <stp>MTG_GEN_CPR_3M</stp>
        <stp>20090610</stp>
        <stp>20090610</stp>
        <stp>[Copy of 02_cpr_main.xlsx]data!R409C8</stp>
        <stp>Dts=H</stp>
        <tr r="H409" s="2"/>
      </tp>
      <tp t="s">
        <v>#N/A Invalid Field</v>
        <stp/>
        <stp>##V3_BDHV12</stp>
        <stp>31403DDR7 Mtge</stp>
        <stp>MTG_GEN_CPR_3M</stp>
        <stp>20090610</stp>
        <stp>20090610</stp>
        <stp>[Copy of 02_cpr_main.xlsx]data!R297C8</stp>
        <stp>Dts=H</stp>
        <tr r="H297" s="2"/>
      </tp>
      <tp t="s">
        <v>#N/A Invalid Field</v>
        <stp/>
        <stp>##V3_BDHV12</stp>
        <stp>36295JMQ6 Mtge</stp>
        <stp>MTG_GEN_CPR_3M</stp>
        <stp>20090610</stp>
        <stp>20090610</stp>
        <stp>[Copy of 02_cpr_main.xlsx]data!R506C8</stp>
        <stp>Dts=H</stp>
        <tr r="H506" s="2"/>
      </tp>
      <tp t="s">
        <v>#N/A Invalid Field</v>
        <stp/>
        <stp>##V3_BDHV12</stp>
        <stp>36200M6G3 Mtge</stp>
        <stp>MTG_GEN_CPR_6M</stp>
        <stp>20090610</stp>
        <stp>20090610</stp>
        <stp>[Copy of 02_cpr_main.xlsx]data!R465C9</stp>
        <stp>Dts=H</stp>
        <tr r="I465" s="2"/>
      </tp>
      <tp t="s">
        <v>#N/A Invalid Field</v>
        <stp/>
        <stp>##V3_BDHV12</stp>
        <stp>31412M4Y1 Mtge</stp>
        <stp>MTG_GEN_CPR_6M</stp>
        <stp>20090610</stp>
        <stp>20090610</stp>
        <stp>[Copy of 02_cpr_main.xlsx]data!R410C9</stp>
        <stp>Dts=H</stp>
        <tr r="I410" s="2"/>
      </tp>
      <tp t="s">
        <v>#N/A Invalid Field</v>
        <stp/>
        <stp>##V3_BDHV12</stp>
        <stp>31410KRX4 Mtge</stp>
        <stp>MTG_GEN_CPR_6M</stp>
        <stp>20090610</stp>
        <stp>20090610</stp>
        <stp>[Copy of 02_cpr_main.xlsx]data!R375C9</stp>
        <stp>Dts=H</stp>
        <tr r="I375" s="2"/>
      </tp>
      <tp t="s">
        <v>#N/A Invalid Field</v>
        <stp/>
        <stp>##V3_BDHV12</stp>
        <stp>36225BWH7 Mtge</stp>
        <stp>MTG_GEN_CPR_3M</stp>
        <stp>20090610</stp>
        <stp>20090610</stp>
        <stp>[Copy of 02_cpr_main.xlsx]data!R494C8</stp>
        <stp>Dts=H</stp>
        <tr r="H494" s="2"/>
      </tp>
      <tp t="s">
        <v>#N/A Invalid Field</v>
        <stp/>
        <stp>##V3_BDHV12</stp>
        <stp>31413ME78 Mtge</stp>
        <stp>MTG_GEN_CPR_6M</stp>
        <stp>20090331</stp>
        <stp>20090331</stp>
        <stp>[Copy of 02_cpr_main.xlsx]data!R427C6</stp>
        <stp>Dts=H</stp>
        <tr r="F427" s="2"/>
      </tp>
      <tp t="s">
        <v>#N/A Invalid Field</v>
        <stp/>
        <stp>##V3_BDHV12</stp>
        <stp>31374GNK9 Mtge</stp>
        <stp>MTG_GEN_CPR_3M</stp>
        <stp>20090331</stp>
        <stp>20090331</stp>
        <stp>[Copy of 02_cpr_main.xlsx]data!R184C5</stp>
        <stp>Dts=H</stp>
        <tr r="E184" s="2"/>
      </tp>
      <tp t="s">
        <v>#N/A Invalid Field</v>
        <stp/>
        <stp>##V3_BDHV12</stp>
        <stp>31371KNW7 Mtge</stp>
        <stp>MTG_GEN_CPR_6M</stp>
        <stp>20090610</stp>
        <stp>20090610</stp>
        <stp>[Copy of 02_cpr_main.xlsx]data!R172C9</stp>
        <stp>Dts=H</stp>
        <tr r="I172" s="2"/>
      </tp>
      <tp t="s">
        <v>#N/A Invalid Field</v>
        <stp/>
        <stp>##V3_BDHV12</stp>
        <stp>31412LZK9 Mtge</stp>
        <stp>MTG_GEN_CPR_6M</stp>
        <stp>20090331</stp>
        <stp>20090331</stp>
        <stp>[Copy of 02_cpr_main.xlsx]data!R408C6</stp>
        <stp>Dts=H</stp>
        <tr r="F408" s="2"/>
      </tp>
      <tp t="s">
        <v>#N/A Invalid Field</v>
        <stp/>
        <stp>##V3_BDHV12</stp>
        <stp>31401JUA4 Mtge</stp>
        <stp>MTG_GEN_CPR_6M</stp>
        <stp>20090610</stp>
        <stp>20090610</stp>
        <stp>[Copy of 02_cpr_main.xlsx]data!R255C9</stp>
        <stp>Dts=H</stp>
        <tr r="I255" s="2"/>
      </tp>
      <tp t="s">
        <v>#N/A Invalid Field</v>
        <stp/>
        <stp>##V3_BDHV12</stp>
        <stp>31407KGJ2 Mtge</stp>
        <stp>MTG_GEN_CPR_3M</stp>
        <stp>20090610</stp>
        <stp>20090610</stp>
        <stp>[Copy of 02_cpr_main.xlsx]data!R343C8</stp>
        <stp>Dts=H</stp>
        <tr r="H343" s="2"/>
      </tp>
      <tp t="s">
        <v>#N/A Invalid Field</v>
        <stp/>
        <stp>##V3_BDHV12</stp>
        <stp>31374F2P3 Mtge</stp>
        <stp>MTG_GEN_CPR_3M</stp>
        <stp>20090610</stp>
        <stp>20090610</stp>
        <stp>[Copy of 02_cpr_main.xlsx]data!R182C8</stp>
        <stp>Dts=H</stp>
        <tr r="H182" s="2"/>
      </tp>
      <tp t="s">
        <v>#N/A Invalid Field</v>
        <stp/>
        <stp>##V3_BDHV12</stp>
        <stp>31371HQY7 Mtge</stp>
        <stp>MTG_GEN_CPR_6M</stp>
        <stp>20090610</stp>
        <stp>20090610</stp>
        <stp>[Copy of 02_cpr_main.xlsx]data!R166C9</stp>
        <stp>Dts=H</stp>
        <tr r="I166" s="2"/>
      </tp>
      <tp t="s">
        <v>#N/A Invalid Field</v>
        <stp/>
        <stp>##V3_BDHV12</stp>
        <stp>31400JA25 Mtge</stp>
        <stp>MTG_GEN_CPR_6M</stp>
        <stp>20090610</stp>
        <stp>20090610</stp>
        <stp>[Copy of 02_cpr_main.xlsx]data!R245C9</stp>
        <stp>Dts=H</stp>
        <tr r="I245" s="2"/>
      </tp>
      <tp t="s">
        <v>#N/A Invalid Field</v>
        <stp/>
        <stp>##V3_BDHV12</stp>
        <stp>31400JBY4 Mtge</stp>
        <stp>MTG_GEN_CPR_3M</stp>
        <stp>20090610</stp>
        <stp>20090610</stp>
        <stp>[Copy of 02_cpr_main.xlsx]data!R246C8</stp>
        <stp>Dts=H</stp>
        <tr r="H246" s="2"/>
      </tp>
      <tp t="s">
        <v>#N/A Invalid Field</v>
        <stp/>
        <stp>##V3_BDHV12</stp>
        <stp>31368HM26 Mtge</stp>
        <stp>MTG_GEN_CPR_6M</stp>
        <stp>20090331</stp>
        <stp>20090331</stp>
        <stp>[Copy of 02_cpr_main.xlsx]data!R159C6</stp>
        <stp>Dts=H</stp>
        <tr r="F159" s="2"/>
      </tp>
      <tp t="s">
        <v>#N/A Invalid Field</v>
        <stp/>
        <stp>##V3_BDHV12</stp>
        <stp>31382NES7 Mtge</stp>
        <stp>MTG_GEN_CPR_6M</stp>
        <stp>20090610</stp>
        <stp>20090610</stp>
        <stp>[Copy of 02_cpr_main.xlsx]data!R200C9</stp>
        <stp>Dts=H</stp>
        <tr r="I200" s="2"/>
      </tp>
      <tp t="s">
        <v>#N/A Invalid Field</v>
        <stp/>
        <stp>##V3_BDHV12</stp>
        <stp>31405H4U9 Mtge</stp>
        <stp>MTG_GEN_CPR_6M</stp>
        <stp>20090331</stp>
        <stp>20090331</stp>
        <stp>[Copy of 02_cpr_main.xlsx]data!R325C6</stp>
        <stp>Dts=H</stp>
        <tr r="F325" s="2"/>
      </tp>
      <tp t="s">
        <v>#N/A Invalid Field</v>
        <stp/>
        <stp>##V3_BDHV12</stp>
        <stp>31292HYT5 Mtge</stp>
        <stp>MTG_GEN_CPR_3M</stp>
        <stp>20090610</stp>
        <stp>20090610</stp>
        <stp>[Copy of 02_cpr_main.xlsx]data!R118C8</stp>
        <stp>Dts=H</stp>
        <tr r="H118" s="2"/>
      </tp>
      <tp t="s">
        <v>#N/A Invalid Field</v>
        <stp/>
        <stp>##V3_BDHV12</stp>
        <stp>36213EWY8 Mtge</stp>
        <stp>MTG_GEN_CPR_6M</stp>
        <stp>20090331</stp>
        <stp>20090331</stp>
        <stp>[Copy of 02_cpr_main.xlsx]data!R487C6</stp>
        <stp>Dts=H</stp>
        <tr r="F487" s="2"/>
      </tp>
      <tp t="s">
        <v>#N/A Invalid Field</v>
        <stp/>
        <stp>##V3_BDHV12</stp>
        <stp>31405KZ20 Mtge</stp>
        <stp>MTG_GEN_CPR_3M</stp>
        <stp>20090610</stp>
        <stp>20090610</stp>
        <stp>[Copy of 02_cpr_main.xlsx]data!R327C8</stp>
        <stp>Dts=H</stp>
        <tr r="H327" s="2"/>
      </tp>
      <tp t="s">
        <v>#N/A Invalid Field</v>
        <stp/>
        <stp>##V3_BDHV12</stp>
        <stp>31402NY77 Mtge</stp>
        <stp>MTG_GEN_CPR_6M</stp>
        <stp>20090610</stp>
        <stp>20090610</stp>
        <stp>[Copy of 02_cpr_main.xlsx]data!R272C9</stp>
        <stp>Dts=H</stp>
        <tr r="I272" s="2"/>
      </tp>
      <tp t="s">
        <v>#N/A Invalid Field</v>
        <stp/>
        <stp>##V3_BDHV12</stp>
        <stp>31379C5N7 Mtge</stp>
        <stp>MTG_GEN_CPR_6M</stp>
        <stp>20090331</stp>
        <stp>20090331</stp>
        <stp>[Copy of 02_cpr_main.xlsx]data!R188C6</stp>
        <stp>Dts=H</stp>
        <tr r="F188" s="2"/>
      </tp>
      <tp t="s">
        <v>#N/A Invalid Field</v>
        <stp/>
        <stp>##V3_BDHV12</stp>
        <stp>31294KRY3 Mtge</stp>
        <stp>MTG_GEN_CPR_3M</stp>
        <stp>20090610</stp>
        <stp>20090610</stp>
        <stp>[Copy of 02_cpr_main.xlsx]data!R133C8</stp>
        <stp>Dts=H</stp>
        <tr r="H133" s="2"/>
      </tp>
      <tp t="s">
        <v>#N/A Invalid Field</v>
        <stp/>
        <stp>##V3_BDHV12</stp>
        <stp>31294JYR3 Mtge</stp>
        <stp>MTG_GEN_CPR_3M</stp>
        <stp>20090610</stp>
        <stp>20090610</stp>
        <stp>[Copy of 02_cpr_main.xlsx]data!R128C8</stp>
        <stp>Dts=H</stp>
        <tr r="H128" s="2"/>
      </tp>
      <tp t="s">
        <v>#N/A Invalid Field</v>
        <stp/>
        <stp>##V3_BDHV12</stp>
        <stp>31403ARS6 Mtge</stp>
        <stp>MTG_GEN_CPR_6M</stp>
        <stp>20090610</stp>
        <stp>20090610</stp>
        <stp>[Copy of 02_cpr_main.xlsx]data!R291C9</stp>
        <stp>Dts=H</stp>
        <tr r="I291" s="2"/>
      </tp>
      <tp t="s">
        <v>#N/A Invalid Field</v>
        <stp/>
        <stp>##V3_BDHV12</stp>
        <stp>31294KZL2 Mtge</stp>
        <stp>MTG_GEN_CPR_6M</stp>
        <stp>20090610</stp>
        <stp>20090610</stp>
        <stp>[Copy of 02_cpr_main.xlsx]data!R135C9</stp>
        <stp>Dts=H</stp>
        <tr r="I135" s="2"/>
      </tp>
      <tp t="s">
        <v>#N/A Invalid Field</v>
        <stp/>
        <stp>##V3_BDHV12</stp>
        <stp>31294J5G9 Mtge</stp>
        <stp>MTG_GEN_CPR_3M</stp>
        <stp>20090331</stp>
        <stp>20090331</stp>
        <stp>[Copy of 02_cpr_main.xlsx]data!R127C5</stp>
        <stp>Dts=H</stp>
        <tr r="E127" s="2"/>
      </tp>
      <tp t="s">
        <v>#N/A Invalid Field</v>
        <stp/>
        <stp>##V3_BDHV12</stp>
        <stp>31292J5A4 Mtge</stp>
        <stp>MTG_GEN_CPR_6M</stp>
        <stp>20090610</stp>
        <stp>20090610</stp>
        <stp>[Copy of 02_cpr_main.xlsx]data!R119C9</stp>
        <stp>Dts=H</stp>
        <tr r="I119" s="2"/>
      </tp>
      <tp t="s">
        <v>#N/A Invalid Field</v>
        <stp/>
        <stp>##V3_BDHV12</stp>
        <stp>31413JLB8 Mtge</stp>
        <stp>MTG_GEN_CPR_6M</stp>
        <stp>20090331</stp>
        <stp>20090331</stp>
        <stp>[Copy of 02_cpr_main.xlsx]data!R422C6</stp>
        <stp>Dts=H</stp>
        <tr r="F422" s="2"/>
      </tp>
      <tp t="s">
        <v>#N/A Invalid Field</v>
        <stp/>
        <stp>##V3_BDHV12</stp>
        <stp>31404JHV0 Mtge</stp>
        <stp>MTG_GEN_CPR_6M</stp>
        <stp>20090610</stp>
        <stp>20090610</stp>
        <stp>[Copy of 02_cpr_main.xlsx]data!R315C9</stp>
        <stp>Dts=H</stp>
        <tr r="I315" s="2"/>
      </tp>
      <tp t="s">
        <v>#N/A Invalid Field</v>
        <stp/>
        <stp>##V3_BDHV12</stp>
        <stp>31294KLK9 Mtge</stp>
        <stp>MTG_GEN_CPR_3M</stp>
        <stp>20090331</stp>
        <stp>20090331</stp>
        <stp>[Copy of 02_cpr_main.xlsx]data!R131C5</stp>
        <stp>Dts=H</stp>
        <tr r="E131" s="2"/>
      </tp>
      <tp t="s">
        <v>#N/A Invalid Field</v>
        <stp/>
        <stp>##V3_BDHV12</stp>
        <stp>31371MB97 Mtge</stp>
        <stp>MTG_GEN_CPR_6M</stp>
        <stp>20090610</stp>
        <stp>20090610</stp>
        <stp>[Copy of 02_cpr_main.xlsx]data!R177C9</stp>
        <stp>Dts=H</stp>
        <tr r="I177" s="2"/>
      </tp>
      <tp t="s">
        <v>#N/A Invalid Field</v>
        <stp/>
        <stp>##V3_BDHV12</stp>
        <stp>31402CZR6 Mtge</stp>
        <stp>MTG_GEN_CPR_3M</stp>
        <stp>20090610</stp>
        <stp>20090610</stp>
        <stp>[Copy of 02_cpr_main.xlsx]data!R267C8</stp>
        <stp>Dts=H</stp>
        <tr r="H267" s="2"/>
      </tp>
      <tp t="s">
        <v>#N/A Invalid Field</v>
        <stp/>
        <stp>##V3_BDHV12</stp>
        <stp>31382LKE5 Mtge</stp>
        <stp>MTG_GEN_CPR_3M</stp>
        <stp>20090610</stp>
        <stp>20090610</stp>
        <stp>[Copy of 02_cpr_main.xlsx]data!R199C8</stp>
        <stp>Dts=H</stp>
        <tr r="H199" s="2"/>
      </tp>
      <tp t="s">
        <v>#N/A Invalid Field</v>
        <stp/>
        <stp>##V3_BDHV12</stp>
        <stp>31413DGE1 Mtge</stp>
        <stp>MTG_GEN_CPR_3M</stp>
        <stp>20090610</stp>
        <stp>20090610</stp>
        <stp>[Copy of 02_cpr_main.xlsx]data!R419C8</stp>
        <stp>Dts=H</stp>
        <tr r="H419" s="2"/>
      </tp>
      <tp t="s">
        <v>#N/A Invalid Field</v>
        <stp/>
        <stp>##V3_BDHV12</stp>
        <stp>36291AM48 Mtge</stp>
        <stp>MTG_GEN_CPR_3M</stp>
        <stp>20090331</stp>
        <stp>20090331</stp>
        <stp>[Copy of 02_cpr_main.xlsx]data!R500C5</stp>
        <stp>Dts=H</stp>
        <tr r="E500" s="2"/>
      </tp>
      <tp t="s">
        <v>#N/A Invalid Field</v>
        <stp/>
        <stp>##V3_BDHV12</stp>
        <stp>31401A3J4 Mtge</stp>
        <stp>MTG_GEN_CPR_6M</stp>
        <stp>20090610</stp>
        <stp>20090610</stp>
        <stp>[Copy of 02_cpr_main.xlsx]data!R252C9</stp>
        <stp>Dts=H</stp>
        <tr r="I252" s="2"/>
      </tp>
      <tp t="s">
        <v>#N/A Invalid Field</v>
        <stp/>
        <stp>##V3_BDHV12</stp>
        <stp>31403DTT6 Mtge</stp>
        <stp>MTG_GEN_CPR_3M</stp>
        <stp>20090610</stp>
        <stp>20090610</stp>
        <stp>[Copy of 02_cpr_main.xlsx]data!R302C8</stp>
        <stp>Dts=H</stp>
        <tr r="H302" s="2"/>
      </tp>
      <tp t="s">
        <v>#N/A Invalid Field</v>
        <stp/>
        <stp>##V3_BDHV12</stp>
        <stp>31416BVN5 Mtge</stp>
        <stp>MTG_GEN_CPR_6M</stp>
        <stp>20090610</stp>
        <stp>20090610</stp>
        <stp>[Copy of 02_cpr_main.xlsx]data!R460C9</stp>
        <stp>Dts=H</stp>
        <tr r="I460" s="2"/>
      </tp>
      <tp t="s">
        <v>#N/A Invalid Field</v>
        <stp/>
        <stp>##V3_BDHV12</stp>
        <stp>31406GDY2 Mtge</stp>
        <stp>MTG_GEN_CPR_6M</stp>
        <stp>20090610</stp>
        <stp>20090610</stp>
        <stp>[Copy of 02_cpr_main.xlsx]data!R336C9</stp>
        <stp>Dts=H</stp>
        <tr r="I336" s="2"/>
      </tp>
      <tp t="s">
        <v>#N/A Invalid Field</v>
        <stp/>
        <stp>##V3_BDHV12</stp>
        <stp>31406DJV9 Mtge</stp>
        <stp>MTG_GEN_CPR_3M</stp>
        <stp>20090331</stp>
        <stp>20090331</stp>
        <stp>[Copy of 02_cpr_main.xlsx]data!R334C5</stp>
        <stp>Dts=H</stp>
        <tr r="E334" s="2"/>
      </tp>
      <tp t="s">
        <v>#N/A Invalid Field</v>
        <stp/>
        <stp>##V3_BDHV12</stp>
        <stp>31412G4H1 Mtge</stp>
        <stp>MTG_GEN_CPR_6M</stp>
        <stp>20090610</stp>
        <stp>20090610</stp>
        <stp>[Copy of 02_cpr_main.xlsx]data!R406C9</stp>
        <stp>Dts=H</stp>
        <tr r="I406" s="2"/>
      </tp>
      <tp t="s">
        <v>#N/A Invalid Field</v>
        <stp/>
        <stp>##V3_BDHV12</stp>
        <stp>36200EDN8 Mtge</stp>
        <stp>MTG_GEN_CPR_3M</stp>
        <stp>20090331</stp>
        <stp>20090331</stp>
        <stp>[Copy of 02_cpr_main.xlsx]data!R463C5</stp>
        <stp>Dts=H</stp>
        <tr r="E463" s="2"/>
      </tp>
      <tp t="s">
        <v>#N/A Invalid Field</v>
        <stp/>
        <stp>##V3_BDHV12</stp>
        <stp>31292G4V5 Mtge</stp>
        <stp>MTG_GEN_CPR_3M</stp>
        <stp>20090610</stp>
        <stp>20090610</stp>
        <stp>[Copy of 02_cpr_main.xlsx]data!R114C8</stp>
        <stp>Dts=H</stp>
        <tr r="H114" s="2"/>
      </tp>
      <tp t="s">
        <v>#N/A Invalid Field</v>
        <stp/>
        <stp>##V3_BDHV12</stp>
        <stp>31292GY34 Mtge</stp>
        <stp>MTG_GEN_CPR_6M</stp>
        <stp>20090610</stp>
        <stp>20090610</stp>
        <stp>[Copy of 02_cpr_main.xlsx]data!R116C9</stp>
        <stp>Dts=H</stp>
        <tr r="I116" s="2"/>
      </tp>
      <tp t="s">
        <v>#N/A Invalid Field</v>
        <stp/>
        <stp>##V3_BDHV12</stp>
        <stp>31376J2W8 Mtge</stp>
        <stp>MTG_GEN_CPR_6M</stp>
        <stp>20090331</stp>
        <stp>20090331</stp>
        <stp>[Copy of 02_cpr_main.xlsx]data!R186C6</stp>
        <stp>Dts=H</stp>
        <tr r="F186" s="2"/>
      </tp>
      <tp t="s">
        <v>#N/A Invalid Field</v>
        <stp/>
        <stp>##V3_BDHV12</stp>
        <stp>31412BPZ9 Mtge</stp>
        <stp>MTG_GEN_CPR_6M</stp>
        <stp>20090331</stp>
        <stp>20090331</stp>
        <stp>[Copy of 02_cpr_main.xlsx]data!R402C6</stp>
        <stp>Dts=H</stp>
        <tr r="F402" s="2"/>
      </tp>
      <tp t="s">
        <v>#N/A Invalid Field</v>
        <stp/>
        <stp>##V3_BDHV12</stp>
        <stp>31406BYJ3 Mtge</stp>
        <stp>MTG_GEN_CPR_3M</stp>
        <stp>20090610</stp>
        <stp>20090610</stp>
        <stp>[Copy of 02_cpr_main.xlsx]data!R333C8</stp>
        <stp>Dts=H</stp>
        <tr r="H333" s="2"/>
      </tp>
      <tp t="s">
        <v>#N/A Invalid Field</v>
        <stp/>
        <stp>##V3_BDHV12</stp>
        <stp>31402FFF7 Mtge</stp>
        <stp>MTG_GEN_CPR_6M</stp>
        <stp>20090610</stp>
        <stp>20090610</stp>
        <stp>[Copy of 02_cpr_main.xlsx]data!R271C9</stp>
        <stp>Dts=H</stp>
        <tr r="I271" s="2"/>
      </tp>
      <tp t="s">
        <v>#N/A Invalid Field</v>
        <stp/>
        <stp>##V3_BDHV12</stp>
        <stp>31297GXZ9 Mtge</stp>
        <stp>MTG_GEN_CPR_6M</stp>
        <stp>20090331</stp>
        <stp>20090331</stp>
        <stp>[Copy of 02_cpr_main.xlsx]data!R148C6</stp>
        <stp>Dts=H</stp>
        <tr r="F148" s="2"/>
      </tp>
      <tp t="s">
        <v>#N/A Invalid Field</v>
        <stp/>
        <stp>##V3_BDHV12</stp>
        <stp>31410GQ55 Mtge</stp>
        <stp>MTG_GEN_CPR_3M</stp>
        <stp>20090610</stp>
        <stp>20090610</stp>
        <stp>[Copy of 02_cpr_main.xlsx]data!R370C8</stp>
        <stp>Dts=H</stp>
        <tr r="H370" s="2"/>
      </tp>
      <tp t="s">
        <v>#N/A Invalid Field</v>
        <stp/>
        <stp>##V3_BDHV12</stp>
        <stp>31410GRN5 Mtge</stp>
        <stp>MTG_GEN_CPR_3M</stp>
        <stp>20090610</stp>
        <stp>20090610</stp>
        <stp>[Copy of 02_cpr_main.xlsx]data!R372C8</stp>
        <stp>Dts=H</stp>
        <tr r="H372" s="2"/>
      </tp>
      <tp t="s">
        <v>#N/A Invalid Field</v>
        <stp/>
        <stp>##V3_BDHV12</stp>
        <stp>31377KKG9 Mtge</stp>
        <stp>MTG_GEN_CPR_6M</stp>
        <stp>20090331</stp>
        <stp>20090331</stp>
        <stp>[Copy of 02_cpr_main.xlsx]data!R187C6</stp>
        <stp>Dts=H</stp>
        <tr r="F187" s="2"/>
      </tp>
      <tp t="s">
        <v>#N/A Invalid Field</v>
        <stp/>
        <stp>##V3_BDHV12</stp>
        <stp>31381JRV6 Mtge</stp>
        <stp>MTG_GEN_CPR_3M</stp>
        <stp>20090610</stp>
        <stp>20090610</stp>
        <stp>[Copy of 02_cpr_main.xlsx]data!R194C8</stp>
        <stp>Dts=H</stp>
        <tr r="H194" s="2"/>
      </tp>
      <tp t="s">
        <v>#N/A Invalid Field</v>
        <stp/>
        <stp>##V3_BDHV12</stp>
        <stp>31409D2C6 Mtge</stp>
        <stp>MTG_GEN_CPR_3M</stp>
        <stp>20090331</stp>
        <stp>20090331</stp>
        <stp>[Copy of 02_cpr_main.xlsx]data!R352C5</stp>
        <stp>Dts=H</stp>
        <tr r="E352" s="2"/>
      </tp>
      <tp t="s">
        <v>#N/A Invalid Field</v>
        <stp/>
        <stp>##V3_BDHV12</stp>
        <stp>3128GJEM5 Mtge</stp>
        <stp>MTG_GEN_CPR_12M</stp>
        <stp>20090331</stp>
        <stp>20090331</stp>
        <stp>[Copy of 02_cpr_main.xlsx]data!R58C7</stp>
        <stp>Dts=H</stp>
        <tr r="G58" s="2"/>
      </tp>
      <tp t="s">
        <v>#N/A Invalid Field</v>
        <stp/>
        <stp>##V3_BDHV12</stp>
        <stp>3128GEBA5 Mtge</stp>
        <stp>MTG_GEN_CPR_12M</stp>
        <stp>20090331</stp>
        <stp>20090331</stp>
        <stp>[Copy of 02_cpr_main.xlsx]data!R52C7</stp>
        <stp>Dts=H</stp>
        <tr r="G52" s="2"/>
      </tp>
      <tp t="s">
        <v>#N/A Invalid Field</v>
        <stp/>
        <stp>##V3_BDHV12</stp>
        <stp>3128GGGX5 Mtge</stp>
        <stp>MTG_GEN_CPR_12M</stp>
        <stp>20090331</stp>
        <stp>20090331</stp>
        <stp>[Copy of 02_cpr_main.xlsx]data!R56C7</stp>
        <stp>Dts=H</stp>
        <tr r="G56" s="2"/>
      </tp>
      <tp t="s">
        <v>#N/A Invalid Field</v>
        <stp/>
        <stp>##V3_BDHV12</stp>
        <stp>3128GCP55 Mtge</stp>
        <stp>MTG_GEN_CPR_12M</stp>
        <stp>20090331</stp>
        <stp>20090331</stp>
        <stp>[Copy of 02_cpr_main.xlsx]data!R42C7</stp>
        <stp>Dts=H</stp>
        <tr r="G42" s="2"/>
      </tp>
    </main>
    <main first="bloomberg.rtd">
      <tp t="s">
        <v>#N/A Invalid Field</v>
        <stp/>
        <stp>##V3_BDHV12</stp>
        <stp>31410UQW5 Mtge</stp>
        <stp>MTG_GEN_CPR_6M</stp>
        <stp>20090610</stp>
        <stp>20090610</stp>
        <stp>[Copy of 02_cpr_main.xlsx]data!R385C9</stp>
        <stp>Dts=H</stp>
        <tr r="I385" s="2"/>
      </tp>
      <tp>
        <v>140</v>
        <stp/>
        <stp>##V3_BDPV12</stp>
        <stp>31297VQA9 Mtge</stp>
        <stp>MTG_PREPAY_SPEED</stp>
        <stp>[Copy of 02_cpr_main.xlsx]data!R151C12</stp>
        <tr r="L151" s="2"/>
      </tp>
      <tp t="s">
        <v>#N/A Invalid Field</v>
        <stp/>
        <stp>##V3_BDHV12</stp>
        <stp>31407X2Q3 Mtge</stp>
        <stp>MTG_GEN_CPR_3M</stp>
        <stp>20090610</stp>
        <stp>20090610</stp>
        <stp>[Copy of 02_cpr_main.xlsx]data!R348C8</stp>
        <stp>Dts=H</stp>
        <tr r="H348" s="2"/>
      </tp>
      <tp>
        <v>139</v>
        <stp/>
        <stp>##V3_BDPV12</stp>
        <stp>36241KNL8 Mtge</stp>
        <stp>MTG_PREPAY_SPEED</stp>
        <stp>[Copy of 02_cpr_main.xlsx]data!R496C12</stp>
        <tr r="L496" s="2"/>
      </tp>
      <tp t="s">
        <v>#N/A Invalid Field</v>
        <stp/>
        <stp>##V3_BDHV12</stp>
        <stp>31401XSY4 Mtge</stp>
        <stp>MTG_GEN_CPR_3M</stp>
        <stp>20090610</stp>
        <stp>20090610</stp>
        <stp>[Copy of 02_cpr_main.xlsx]data!R260C8</stp>
        <stp>Dts=H</stp>
        <tr r="H260" s="2"/>
      </tp>
      <tp t="s">
        <v>#N/A Invalid Field</v>
        <stp/>
        <stp>##V3_BDHV12</stp>
        <stp>31406YB58 Mtge</stp>
        <stp>MTG_GEN_CPR_3M</stp>
        <stp>20090331</stp>
        <stp>20090331</stp>
        <stp>[Copy of 02_cpr_main.xlsx]data!R341C5</stp>
        <stp>Dts=H</stp>
        <tr r="E341" s="2"/>
      </tp>
      <tp t="s">
        <v>#N/A Invalid Field</v>
        <stp/>
        <stp>##V3_BDHV12</stp>
        <stp>36210VRS2 Mtge</stp>
        <stp>MTG_GEN_CPR_6M</stp>
        <stp>20090610</stp>
        <stp>20090610</stp>
        <stp>[Copy of 02_cpr_main.xlsx]data!R485C9</stp>
        <stp>Dts=H</stp>
        <tr r="I485" s="2"/>
      </tp>
      <tp t="s">
        <v>#N/A Invalid Field</v>
        <stp/>
        <stp>##V3_BDHV12</stp>
        <stp>31405YX48 Mtge</stp>
        <stp>MTG_GEN_CPR_6M</stp>
        <stp>20090331</stp>
        <stp>20090331</stp>
        <stp>[Copy of 02_cpr_main.xlsx]data!R331C6</stp>
        <stp>Dts=H</stp>
        <tr r="F331" s="2"/>
      </tp>
      <tp t="s">
        <v>#N/A Invalid Field</v>
        <stp/>
        <stp>##V3_BDHV12</stp>
        <stp>31385XFF9 Mtge</stp>
        <stp>MTG_GEN_CPR_6M</stp>
        <stp>20090331</stp>
        <stp>20090331</stp>
        <stp>[Copy of 02_cpr_main.xlsx]data!R222C6</stp>
        <stp>Dts=H</stp>
        <tr r="F222" s="2"/>
      </tp>
      <tp>
        <v>191</v>
        <stp/>
        <stp>##V3_BDPV12</stp>
        <stp>31292GYA8 Mtge</stp>
        <stp>MTG_PREPAY_SPEED</stp>
        <stp>[Copy of 02_cpr_main.xlsx]data!R117C12</stp>
        <tr r="L117" s="2"/>
      </tp>
      <tp t="s">
        <v>#N/A Invalid Field</v>
        <stp/>
        <stp>##V3_BDHV12</stp>
        <stp>31386Y5M2 Mtge</stp>
        <stp>MTG_GEN_CPR_6M</stp>
        <stp>20090610</stp>
        <stp>20090610</stp>
        <stp>[Copy of 02_cpr_main.xlsx]data!R227C9</stp>
        <stp>Dts=H</stp>
        <tr r="I227" s="2"/>
      </tp>
      <tp t="s">
        <v>#N/A Invalid Field</v>
        <stp/>
        <stp>##V3_BDHV12</stp>
        <stp>31405XXV0 Mtge</stp>
        <stp>MTG_GEN_CPR_6M</stp>
        <stp>20090610</stp>
        <stp>20090610</stp>
        <stp>[Copy of 02_cpr_main.xlsx]data!R330C9</stp>
        <stp>Dts=H</stp>
        <tr r="I330" s="2"/>
      </tp>
      <tp t="s">
        <v>#N/A Invalid Field</v>
        <stp/>
        <stp>##V3_BDHV12</stp>
        <stp>31402RGU7 Mtge</stp>
        <stp>MTG_GEN_CPR_3M</stp>
        <stp>20090610</stp>
        <stp>20090610</stp>
        <stp>[Copy of 02_cpr_main.xlsx]data!R283C8</stp>
        <stp>Dts=H</stp>
        <tr r="H283" s="2"/>
      </tp>
      <tp t="s">
        <v>#N/A Invalid Field</v>
        <stp/>
        <stp>##V3_BDHV12</stp>
        <stp>31404XJG0 Mtge</stp>
        <stp>MTG_GEN_CPR_3M</stp>
        <stp>20090610</stp>
        <stp>20090610</stp>
        <stp>[Copy of 02_cpr_main.xlsx]data!R321C8</stp>
        <stp>Dts=H</stp>
        <tr r="H321" s="2"/>
      </tp>
      <tp t="s">
        <v>#N/A N/A</v>
        <stp/>
        <stp>##V3_BDPV12</stp>
        <stp>31403R4H8 Mtge</stp>
        <stp>MTG_PREPAY_SPEED</stp>
        <stp>[Copy of 02_cpr_main.xlsx]data!R311C12</stp>
        <tr r="L311" s="2"/>
      </tp>
      <tp t="s">
        <v>#N/A Invalid Field</v>
        <stp/>
        <stp>##V3_BDHV12</stp>
        <stp>31385W7B9 Mtge</stp>
        <stp>MTG_GEN_CPR_6M</stp>
        <stp>20090331</stp>
        <stp>20090331</stp>
        <stp>[Copy of 02_cpr_main.xlsx]data!R217C6</stp>
        <stp>Dts=H</stp>
        <tr r="F217" s="2"/>
      </tp>
      <tp t="s">
        <v>#N/A Invalid Field</v>
        <stp/>
        <stp>##V3_BDHV12</stp>
        <stp>31407RVA9 Mtge</stp>
        <stp>MTG_GEN_CPR_3M</stp>
        <stp>20090331</stp>
        <stp>20090331</stp>
        <stp>[Copy of 02_cpr_main.xlsx]data!R346C5</stp>
        <stp>Dts=H</stp>
        <tr r="E346" s="2"/>
      </tp>
      <tp t="s">
        <v>#N/A Invalid Field</v>
        <stp/>
        <stp>##V3_BDHV12</stp>
        <stp>31406UL48 Mtge</stp>
        <stp>MTG_GEN_CPR_3M</stp>
        <stp>20090331</stp>
        <stp>20090331</stp>
        <stp>[Copy of 02_cpr_main.xlsx]data!R339C5</stp>
        <stp>Dts=H</stp>
        <tr r="E339" s="2"/>
      </tp>
      <tp t="s">
        <v>#N/A Invalid Field</v>
        <stp/>
        <stp>##V3_BDHV12</stp>
        <stp>31414QAE7 Mtge</stp>
        <stp>MTG_GEN_CPR_3M</stp>
        <stp>20090610</stp>
        <stp>20090610</stp>
        <stp>[Copy of 02_cpr_main.xlsx]data!R443C8</stp>
        <stp>Dts=H</stp>
        <tr r="H443" s="2"/>
      </tp>
      <tp t="s">
        <v>#N/A Invalid Field</v>
        <stp/>
        <stp>##V3_BDHV12</stp>
        <stp>31402RBX6 Mtge</stp>
        <stp>MTG_GEN_CPR_6M</stp>
        <stp>20090610</stp>
        <stp>20090610</stp>
        <stp>[Copy of 02_cpr_main.xlsx]data!R279C9</stp>
        <stp>Dts=H</stp>
        <tr r="I279" s="2"/>
      </tp>
      <tp t="s">
        <v>#N/A Invalid Field</v>
        <stp/>
        <stp>##V3_BDHV12</stp>
        <stp>31298SM84 Mtge</stp>
        <stp>MTG_GEN_CPR_3M</stp>
        <stp>20090331</stp>
        <stp>20090331</stp>
        <stp>[Copy of 02_cpr_main.xlsx]data!R153C5</stp>
        <stp>Dts=H</stp>
        <tr r="E153" s="2"/>
      </tp>
      <tp>
        <v>191</v>
        <stp/>
        <stp>##V3_BDPV12</stp>
        <stp>31292J5A4 Mtge</stp>
        <stp>MTG_PREPAY_SPEED</stp>
        <stp>[Copy of 02_cpr_main.xlsx]data!R119C12</stp>
        <tr r="L119" s="2"/>
      </tp>
      <tp t="s">
        <v>#N/A Invalid Field</v>
        <stp/>
        <stp>##V3_BDHV12</stp>
        <stp>31384VRC8 Mtge</stp>
        <stp>MTG_GEN_CPR_6M</stp>
        <stp>20090331</stp>
        <stp>20090331</stp>
        <stp>[Copy of 02_cpr_main.xlsx]data!R211C6</stp>
        <stp>Dts=H</stp>
        <tr r="F211" s="2"/>
      </tp>
      <tp t="s">
        <v>#N/A Invalid Field</v>
        <stp/>
        <stp>##V3_BDHV12</stp>
        <stp>31405UVD8 Mtge</stp>
        <stp>MTG_GEN_CPR_6M</stp>
        <stp>20090331</stp>
        <stp>20090331</stp>
        <stp>[Copy of 02_cpr_main.xlsx]data!R328C6</stp>
        <stp>Dts=H</stp>
        <tr r="F328" s="2"/>
      </tp>
      <tp t="s">
        <v>#N/A Invalid Field</v>
        <stp/>
        <stp>##V3_BDHV12</stp>
        <stp>31400RV24 Mtge</stp>
        <stp>MTG_GEN_CPR_6M</stp>
        <stp>20090610</stp>
        <stp>20090610</stp>
        <stp>[Copy of 02_cpr_main.xlsx]data!R250C9</stp>
        <stp>Dts=H</stp>
        <tr r="I250" s="2"/>
      </tp>
      <tp t="s">
        <v>#N/A Invalid Field</v>
        <stp/>
        <stp>##V3_BDHV12</stp>
        <stp>36291PSB3 Mtge</stp>
        <stp>MTG_GEN_CPR_3M</stp>
        <stp>20090610</stp>
        <stp>20090610</stp>
        <stp>[Copy of 02_cpr_main.xlsx]data!R504C8</stp>
        <stp>Dts=H</stp>
        <tr r="H504" s="2"/>
      </tp>
      <tp t="s">
        <v>#N/A Invalid Field</v>
        <stp/>
        <stp>##V3_BDHV12</stp>
        <stp>36200WJE2 Mtge</stp>
        <stp>MTG_GEN_CPR_6M</stp>
        <stp>20090610</stp>
        <stp>20090610</stp>
        <stp>[Copy of 02_cpr_main.xlsx]data!R470C9</stp>
        <stp>Dts=H</stp>
        <tr r="I470" s="2"/>
      </tp>
      <tp t="s">
        <v>#N/A Invalid Field</v>
        <stp/>
        <stp>##V3_BDHV12</stp>
        <stp>31402QSL6 Mtge</stp>
        <stp>MTG_GEN_CPR_6M</stp>
        <stp>20090610</stp>
        <stp>20090610</stp>
        <stp>[Copy of 02_cpr_main.xlsx]data!R276C9</stp>
        <stp>Dts=H</stp>
        <tr r="I276" s="2"/>
      </tp>
      <tp t="s">
        <v>#N/A Invalid Field</v>
        <stp/>
        <stp>##V3_BDHV12</stp>
        <stp>31385WZX0 Mtge</stp>
        <stp>MTG_GEN_CPR_3M</stp>
        <stp>20090610</stp>
        <stp>20090610</stp>
        <stp>[Copy of 02_cpr_main.xlsx]data!R219C8</stp>
        <stp>Dts=H</stp>
        <tr r="H219" s="2"/>
      </tp>
      <tp t="s">
        <v>#N/A Invalid Field</v>
        <stp/>
        <stp>##V3_BDHV12</stp>
        <stp>31293TFD4 Mtge</stp>
        <stp>MTG_GEN_CPR_6M</stp>
        <stp>20090610</stp>
        <stp>20090610</stp>
        <stp>[Copy of 02_cpr_main.xlsx]data!R122C9</stp>
        <stp>Dts=H</stp>
        <tr r="I122" s="2"/>
      </tp>
      <tp t="s">
        <v>#N/A Invalid Field</v>
        <stp/>
        <stp>##V3_BDHV12</stp>
        <stp>31407WSP9 Mtge</stp>
        <stp>MTG_GEN_CPR_3M</stp>
        <stp>20090331</stp>
        <stp>20090331</stp>
        <stp>[Copy of 02_cpr_main.xlsx]data!R347C5</stp>
        <stp>Dts=H</stp>
        <tr r="E347" s="2"/>
      </tp>
      <tp t="s">
        <v>#N/A Invalid Field</v>
        <stp/>
        <stp>##V3_BDHV12</stp>
        <stp>31413SCS1 Mtge</stp>
        <stp>MTG_GEN_CPR_6M</stp>
        <stp>20090610</stp>
        <stp>20090610</stp>
        <stp>[Copy of 02_cpr_main.xlsx]data!R432C9</stp>
        <stp>Dts=H</stp>
        <tr r="I432" s="2"/>
      </tp>
      <tp t="s">
        <v>#N/A Invalid Field</v>
        <stp/>
        <stp>##V3_BDHV12</stp>
        <stp>31410XF84 Mtge</stp>
        <stp>MTG_GEN_CPR_3M</stp>
        <stp>20090610</stp>
        <stp>20090610</stp>
        <stp>[Copy of 02_cpr_main.xlsx]data!R388C8</stp>
        <stp>Dts=H</stp>
        <tr r="H388" s="2"/>
      </tp>
      <tp t="s">
        <v>#N/A Invalid Field</v>
        <stp/>
        <stp>##V3_BDHV12</stp>
        <stp>31390SJ85 Mtge</stp>
        <stp>MTG_GEN_CPR_3M</stp>
        <stp>20090610</stp>
        <stp>20090610</stp>
        <stp>[Copy of 02_cpr_main.xlsx]data!R235C8</stp>
        <stp>Dts=H</stp>
        <tr r="H235" s="2"/>
      </tp>
      <tp t="s">
        <v>#N/A N/A</v>
        <stp/>
        <stp>##V3_BDPV12</stp>
        <stp>31335H4K6 Mtge</stp>
        <stp>MTG_PREPAY_SPEED</stp>
        <stp>[Copy of 02_cpr_main.xlsx]data!R154C12</stp>
        <tr r="L154" s="2"/>
      </tp>
      <tp t="s">
        <v>#N/A Invalid Field</v>
        <stp/>
        <stp>##V3_BDHV12</stp>
        <stp>31390P7C5 Mtge</stp>
        <stp>MTG_GEN_CPR_3M</stp>
        <stp>20090610</stp>
        <stp>20090610</stp>
        <stp>[Copy of 02_cpr_main.xlsx]data!R233C8</stp>
        <stp>Dts=H</stp>
        <tr r="H233" s="2"/>
      </tp>
      <tp t="s">
        <v>#N/A Invalid Field</v>
        <stp/>
        <stp>##V3_BDHV12</stp>
        <stp>36200QSL9 Mtge</stp>
        <stp>MTG_GEN_CPR_3M</stp>
        <stp>20090331</stp>
        <stp>20090331</stp>
        <stp>[Copy of 02_cpr_main.xlsx]data!R468C5</stp>
        <stp>Dts=H</stp>
        <tr r="E468" s="2"/>
      </tp>
      <tp t="s">
        <v>#N/A N/A</v>
        <stp/>
        <stp>##V3_BDPV12</stp>
        <stp>312962EA7 Mtge</stp>
        <stp>MTG_PREPAY_SPEED</stp>
        <stp>[Copy of 02_cpr_main.xlsx]data!R137C12</stp>
        <tr r="L137" s="2"/>
      </tp>
      <tp t="s">
        <v>#N/A Invalid Field</v>
        <stp/>
        <stp>##V3_BDHV12</stp>
        <stp>31403R2E7 Mtge</stp>
        <stp>MTG_GEN_CPR_3M</stp>
        <stp>20090610</stp>
        <stp>20090610</stp>
        <stp>[Copy of 02_cpr_main.xlsx]data!R309C8</stp>
        <stp>Dts=H</stp>
        <tr r="H309" s="2"/>
      </tp>
      <tp t="s">
        <v>#N/A Invalid Field</v>
        <stp/>
        <stp>##V3_BDHV12</stp>
        <stp>31409TRU4 Mtge</stp>
        <stp>MTG_GEN_CPR_6M</stp>
        <stp>20090331</stp>
        <stp>20090331</stp>
        <stp>[Copy of 02_cpr_main.xlsx]data!R354C6</stp>
        <stp>Dts=H</stp>
        <tr r="F354" s="2"/>
      </tp>
      <tp t="s">
        <v>#N/A Invalid Field</v>
        <stp/>
        <stp>##V3_BDHV12</stp>
        <stp>31413QS90 Mtge</stp>
        <stp>MTG_GEN_CPR_3M</stp>
        <stp>20090610</stp>
        <stp>20090610</stp>
        <stp>[Copy of 02_cpr_main.xlsx]data!R431C8</stp>
        <stp>Dts=H</stp>
        <tr r="H431" s="2"/>
      </tp>
      <tp t="s">
        <v>#N/A Invalid Field</v>
        <stp/>
        <stp>##V3_BDHV12</stp>
        <stp>36204RN87 Mtge</stp>
        <stp>MTG_GEN_CPR_3M</stp>
        <stp>20090610</stp>
        <stp>20090610</stp>
        <stp>[Copy of 02_cpr_main.xlsx]data!R478C8</stp>
        <stp>Dts=H</stp>
        <tr r="H478" s="2"/>
      </tp>
      <tp t="s">
        <v>#N/A Invalid Field</v>
        <stp/>
        <stp>##V3_BDHV12</stp>
        <stp>31297VFX1 Mtge</stp>
        <stp>MTG_GEN_CPR_3M</stp>
        <stp>20090610</stp>
        <stp>20090610</stp>
        <stp>[Copy of 02_cpr_main.xlsx]data!R149C8</stp>
        <stp>Dts=H</stp>
        <tr r="H149" s="2"/>
      </tp>
      <tp>
        <v>160</v>
        <stp/>
        <stp>##V3_BDPV12</stp>
        <stp>36225BYJ1 Mtge</stp>
        <stp>MTG_PREPAY_SPEED</stp>
        <stp>[Copy of 02_cpr_main.xlsx]data!R495C12</stp>
        <tr r="L495" s="2"/>
      </tp>
      <tp t="s">
        <v>#N/A Invalid Field</v>
        <stp/>
        <stp>##V3_BDHV12</stp>
        <stp>31371K3A7 Mtge</stp>
        <stp>MTG_GEN_CPR_3M</stp>
        <stp>20090610</stp>
        <stp>20090610</stp>
        <stp>[Copy of 02_cpr_main.xlsx]data!R167C8</stp>
        <stp>Dts=H</stp>
        <tr r="H167" s="2"/>
      </tp>
      <tp t="s">
        <v>#N/A Invalid Field</v>
        <stp/>
        <stp>##V3_BDHV12</stp>
        <stp>31412M3C0 Mtge</stp>
        <stp>MTG_GEN_CPR_6M</stp>
        <stp>20090610</stp>
        <stp>20090610</stp>
        <stp>[Copy of 02_cpr_main.xlsx]data!R409C9</stp>
        <stp>Dts=H</stp>
        <tr r="I409" s="2"/>
      </tp>
      <tp t="s">
        <v>#N/A Invalid Field</v>
        <stp/>
        <stp>##V3_BDHV12</stp>
        <stp>31403DDR7 Mtge</stp>
        <stp>MTG_GEN_CPR_6M</stp>
        <stp>20090610</stp>
        <stp>20090610</stp>
        <stp>[Copy of 02_cpr_main.xlsx]data!R297C9</stp>
        <stp>Dts=H</stp>
        <tr r="I297" s="2"/>
      </tp>
      <tp t="s">
        <v>#N/A Invalid Field</v>
        <stp/>
        <stp>##V3_BDHV12</stp>
        <stp>36295JMQ6 Mtge</stp>
        <stp>MTG_GEN_CPR_6M</stp>
        <stp>20090610</stp>
        <stp>20090610</stp>
        <stp>[Copy of 02_cpr_main.xlsx]data!R506C9</stp>
        <stp>Dts=H</stp>
        <tr r="I506" s="2"/>
      </tp>
      <tp t="s">
        <v>#N/A Invalid Field</v>
        <stp/>
        <stp>##V3_BDHV12</stp>
        <stp>36200M6G3 Mtge</stp>
        <stp>MTG_GEN_CPR_3M</stp>
        <stp>20090610</stp>
        <stp>20090610</stp>
        <stp>[Copy of 02_cpr_main.xlsx]data!R465C8</stp>
        <stp>Dts=H</stp>
        <tr r="H465" s="2"/>
      </tp>
      <tp t="s">
        <v>#N/A Invalid Field</v>
        <stp/>
        <stp>##V3_BDHV12</stp>
        <stp>31412M4Y1 Mtge</stp>
        <stp>MTG_GEN_CPR_3M</stp>
        <stp>20090610</stp>
        <stp>20090610</stp>
        <stp>[Copy of 02_cpr_main.xlsx]data!R410C8</stp>
        <stp>Dts=H</stp>
        <tr r="H410" s="2"/>
      </tp>
      <tp t="s">
        <v>#N/A Invalid Field</v>
        <stp/>
        <stp>##V3_BDHV12</stp>
        <stp>31410KRX4 Mtge</stp>
        <stp>MTG_GEN_CPR_3M</stp>
        <stp>20090610</stp>
        <stp>20090610</stp>
        <stp>[Copy of 02_cpr_main.xlsx]data!R375C8</stp>
        <stp>Dts=H</stp>
        <tr r="H375" s="2"/>
      </tp>
      <tp t="s">
        <v>#N/A Invalid Field</v>
        <stp/>
        <stp>##V3_BDHV12</stp>
        <stp>36225BWH7 Mtge</stp>
        <stp>MTG_GEN_CPR_6M</stp>
        <stp>20090610</stp>
        <stp>20090610</stp>
        <stp>[Copy of 02_cpr_main.xlsx]data!R494C9</stp>
        <stp>Dts=H</stp>
        <tr r="I494" s="2"/>
      </tp>
      <tp t="s">
        <v>#N/A Invalid Field</v>
        <stp/>
        <stp>##V3_BDHV12</stp>
        <stp>31371KNW7 Mtge</stp>
        <stp>MTG_GEN_CPR_3M</stp>
        <stp>20090610</stp>
        <stp>20090610</stp>
        <stp>[Copy of 02_cpr_main.xlsx]data!R172C8</stp>
        <stp>Dts=H</stp>
        <tr r="H172" s="2"/>
      </tp>
      <tp t="s">
        <v>#N/A Invalid Field</v>
        <stp/>
        <stp>##V3_BDHV12</stp>
        <stp>31374GLZ8 Mtge</stp>
        <stp>MTG_GEN_CPR_3M</stp>
        <stp>20090331</stp>
        <stp>20090331</stp>
        <stp>[Copy of 02_cpr_main.xlsx]data!R183C5</stp>
        <stp>Dts=H</stp>
        <tr r="E183" s="2"/>
      </tp>
      <tp t="s">
        <v>#N/A Invalid Field</v>
        <stp/>
        <stp>##V3_BDHV12</stp>
        <stp>31401JUA4 Mtge</stp>
        <stp>MTG_GEN_CPR_3M</stp>
        <stp>20090610</stp>
        <stp>20090610</stp>
        <stp>[Copy of 02_cpr_main.xlsx]data!R255C8</stp>
        <stp>Dts=H</stp>
        <tr r="H255" s="2"/>
      </tp>
      <tp t="s">
        <v>#N/A Invalid Field</v>
        <stp/>
        <stp>##V3_BDHV12</stp>
        <stp>31407KGJ2 Mtge</stp>
        <stp>MTG_GEN_CPR_6M</stp>
        <stp>20090610</stp>
        <stp>20090610</stp>
        <stp>[Copy of 02_cpr_main.xlsx]data!R343C9</stp>
        <stp>Dts=H</stp>
        <tr r="I343" s="2"/>
      </tp>
      <tp t="s">
        <v>#N/A Invalid Field</v>
        <stp/>
        <stp>##V3_BDHV12</stp>
        <stp>31374F2P3 Mtge</stp>
        <stp>MTG_GEN_CPR_6M</stp>
        <stp>20090610</stp>
        <stp>20090610</stp>
        <stp>[Copy of 02_cpr_main.xlsx]data!R182C9</stp>
        <stp>Dts=H</stp>
        <tr r="I182" s="2"/>
      </tp>
      <tp t="s">
        <v>#N/A Invalid Field</v>
        <stp/>
        <stp>##V3_BDHV12</stp>
        <stp>31371HQY7 Mtge</stp>
        <stp>MTG_GEN_CPR_3M</stp>
        <stp>20090610</stp>
        <stp>20090610</stp>
        <stp>[Copy of 02_cpr_main.xlsx]data!R166C8</stp>
        <stp>Dts=H</stp>
        <tr r="H166" s="2"/>
      </tp>
      <tp t="s">
        <v>#N/A Invalid Field</v>
        <stp/>
        <stp>##V3_BDHV12</stp>
        <stp>36210BTC9 Mtge</stp>
        <stp>MTG_GEN_CPR_3M</stp>
        <stp>20090331</stp>
        <stp>20090331</stp>
        <stp>[Copy of 02_cpr_main.xlsx]data!R483C5</stp>
        <stp>Dts=H</stp>
        <tr r="E483" s="2"/>
      </tp>
      <tp t="s">
        <v>#N/A Invalid Field</v>
        <stp/>
        <stp>##V3_BDHV12</stp>
        <stp>31295NZX9 Mtge</stp>
        <stp>MTG_GEN_CPR_3M</stp>
        <stp>20090331</stp>
        <stp>20090331</stp>
        <stp>[Copy of 02_cpr_main.xlsx]data!R136C5</stp>
        <stp>Dts=H</stp>
        <tr r="E136" s="2"/>
      </tp>
      <tp t="s">
        <v>#N/A Invalid Field</v>
        <stp/>
        <stp>##V3_BDHV12</stp>
        <stp>31408HXP5 Mtge</stp>
        <stp>MTG_GEN_CPR_6M</stp>
        <stp>20090331</stp>
        <stp>20090331</stp>
        <stp>[Copy of 02_cpr_main.xlsx]data!R351C6</stp>
        <stp>Dts=H</stp>
        <tr r="F351" s="2"/>
      </tp>
      <tp t="s">
        <v>#N/A Invalid Field</v>
        <stp/>
        <stp>##V3_BDHV12</stp>
        <stp>31413NDT9 Mtge</stp>
        <stp>MTG_GEN_CPR_6M</stp>
        <stp>20090331</stp>
        <stp>20090331</stp>
        <stp>[Copy of 02_cpr_main.xlsx]data!R430C6</stp>
        <stp>Dts=H</stp>
        <tr r="F430" s="2"/>
      </tp>
      <tp t="s">
        <v>#N/A Invalid Field</v>
        <stp/>
        <stp>##V3_BDHV12</stp>
        <stp>31400JA25 Mtge</stp>
        <stp>MTG_GEN_CPR_3M</stp>
        <stp>20090610</stp>
        <stp>20090610</stp>
        <stp>[Copy of 02_cpr_main.xlsx]data!R245C8</stp>
        <stp>Dts=H</stp>
        <tr r="H245" s="2"/>
      </tp>
      <tp t="s">
        <v>#N/A Invalid Field</v>
        <stp/>
        <stp>##V3_BDHV12</stp>
        <stp>31400JBY4 Mtge</stp>
        <stp>MTG_GEN_CPR_6M</stp>
        <stp>20090610</stp>
        <stp>20090610</stp>
        <stp>[Copy of 02_cpr_main.xlsx]data!R246C9</stp>
        <stp>Dts=H</stp>
        <tr r="I246" s="2"/>
      </tp>
      <tp t="s">
        <v>#N/A Invalid Field</v>
        <stp/>
        <stp>##V3_BDHV12</stp>
        <stp>31382NES7 Mtge</stp>
        <stp>MTG_GEN_CPR_3M</stp>
        <stp>20090610</stp>
        <stp>20090610</stp>
        <stp>[Copy of 02_cpr_main.xlsx]data!R200C8</stp>
        <stp>Dts=H</stp>
        <tr r="H200" s="2"/>
      </tp>
      <tp t="s">
        <v>#N/A Invalid Field</v>
        <stp/>
        <stp>##V3_BDHV12</stp>
        <stp>31408HJ55 Mtge</stp>
        <stp>MTG_GEN_CPR_6M</stp>
        <stp>20090331</stp>
        <stp>20090331</stp>
        <stp>[Copy of 02_cpr_main.xlsx]data!R350C6</stp>
        <stp>Dts=H</stp>
        <tr r="F350" s="2"/>
      </tp>
      <tp t="s">
        <v>#N/A Invalid Field</v>
        <stp/>
        <stp>##V3_BDHV12</stp>
        <stp>31292HYT5 Mtge</stp>
        <stp>MTG_GEN_CPR_6M</stp>
        <stp>20090610</stp>
        <stp>20090610</stp>
        <stp>[Copy of 02_cpr_main.xlsx]data!R118C9</stp>
        <stp>Dts=H</stp>
        <tr r="I118" s="2"/>
      </tp>
      <tp t="s">
        <v>#N/A Invalid Field</v>
        <stp/>
        <stp>##V3_BDHV12</stp>
        <stp>31405KZ20 Mtge</stp>
        <stp>MTG_GEN_CPR_6M</stp>
        <stp>20090610</stp>
        <stp>20090610</stp>
        <stp>[Copy of 02_cpr_main.xlsx]data!R327C9</stp>
        <stp>Dts=H</stp>
        <tr r="I327" s="2"/>
      </tp>
      <tp t="s">
        <v>#N/A Invalid Field</v>
        <stp/>
        <stp>##V3_BDHV12</stp>
        <stp>31402NY77 Mtge</stp>
        <stp>MTG_GEN_CPR_3M</stp>
        <stp>20090610</stp>
        <stp>20090610</stp>
        <stp>[Copy of 02_cpr_main.xlsx]data!R272C8</stp>
        <stp>Dts=H</stp>
        <tr r="H272" s="2"/>
      </tp>
      <tp t="s">
        <v>#N/A Invalid Field</v>
        <stp/>
        <stp>##V3_BDHV12</stp>
        <stp>31294KRY3 Mtge</stp>
        <stp>MTG_GEN_CPR_6M</stp>
        <stp>20090610</stp>
        <stp>20090610</stp>
        <stp>[Copy of 02_cpr_main.xlsx]data!R133C9</stp>
        <stp>Dts=H</stp>
        <tr r="I133" s="2"/>
      </tp>
      <tp t="s">
        <v>#N/A Invalid Field</v>
        <stp/>
        <stp>##V3_BDHV12</stp>
        <stp>31294JYR3 Mtge</stp>
        <stp>MTG_GEN_CPR_6M</stp>
        <stp>20090610</stp>
        <stp>20090610</stp>
        <stp>[Copy of 02_cpr_main.xlsx]data!R128C9</stp>
        <stp>Dts=H</stp>
        <tr r="I128" s="2"/>
      </tp>
      <tp t="s">
        <v>#N/A Invalid Field</v>
        <stp/>
        <stp>##V3_BDHV12</stp>
        <stp>31403ARS6 Mtge</stp>
        <stp>MTG_GEN_CPR_3M</stp>
        <stp>20090610</stp>
        <stp>20090610</stp>
        <stp>[Copy of 02_cpr_main.xlsx]data!R291C8</stp>
        <stp>Dts=H</stp>
        <tr r="H291" s="2"/>
      </tp>
      <tp t="s">
        <v>#N/A Invalid Field</v>
        <stp/>
        <stp>##V3_BDHV12</stp>
        <stp>31294KZL2 Mtge</stp>
        <stp>MTG_GEN_CPR_3M</stp>
        <stp>20090610</stp>
        <stp>20090610</stp>
        <stp>[Copy of 02_cpr_main.xlsx]data!R135C8</stp>
        <stp>Dts=H</stp>
        <tr r="H135" s="2"/>
      </tp>
      <tp t="s">
        <v>#N/A Invalid Field</v>
        <stp/>
        <stp>##V3_BDHV12</stp>
        <stp>31385JD39 Mtge</stp>
        <stp>MTG_GEN_CPR_6M</stp>
        <stp>20090331</stp>
        <stp>20090331</stp>
        <stp>[Copy of 02_cpr_main.xlsx]data!R214C6</stp>
        <stp>Dts=H</stp>
        <tr r="F214" s="2"/>
      </tp>
      <tp t="s">
        <v>#N/A Invalid Field</v>
        <stp/>
        <stp>##V3_BDHV12</stp>
        <stp>31292J5A4 Mtge</stp>
        <stp>MTG_GEN_CPR_3M</stp>
        <stp>20090610</stp>
        <stp>20090610</stp>
        <stp>[Copy of 02_cpr_main.xlsx]data!R119C8</stp>
        <stp>Dts=H</stp>
        <tr r="H119" s="2"/>
      </tp>
      <tp t="s">
        <v>#N/A Invalid Field</v>
        <stp/>
        <stp>##V3_BDHV12</stp>
        <stp>31294KSM8 Mtge</stp>
        <stp>MTG_GEN_CPR_3M</stp>
        <stp>20090331</stp>
        <stp>20090331</stp>
        <stp>[Copy of 02_cpr_main.xlsx]data!R134C5</stp>
        <stp>Dts=H</stp>
        <tr r="E134" s="2"/>
      </tp>
      <tp t="s">
        <v>#N/A Invalid Field</v>
        <stp/>
        <stp>##V3_BDHV12</stp>
        <stp>31404JHV0 Mtge</stp>
        <stp>MTG_GEN_CPR_3M</stp>
        <stp>20090610</stp>
        <stp>20090610</stp>
        <stp>[Copy of 02_cpr_main.xlsx]data!R315C8</stp>
        <stp>Dts=H</stp>
        <tr r="H315" s="2"/>
      </tp>
      <tp t="s">
        <v>#N/A Invalid Field</v>
        <stp/>
        <stp>##V3_BDHV12</stp>
        <stp>31371MB97 Mtge</stp>
        <stp>MTG_GEN_CPR_3M</stp>
        <stp>20090610</stp>
        <stp>20090610</stp>
        <stp>[Copy of 02_cpr_main.xlsx]data!R177C8</stp>
        <stp>Dts=H</stp>
        <tr r="H177" s="2"/>
      </tp>
      <tp t="s">
        <v>#N/A Invalid Field</v>
        <stp/>
        <stp>##V3_BDHV12</stp>
        <stp>31402CZR6 Mtge</stp>
        <stp>MTG_GEN_CPR_6M</stp>
        <stp>20090610</stp>
        <stp>20090610</stp>
        <stp>[Copy of 02_cpr_main.xlsx]data!R267C9</stp>
        <stp>Dts=H</stp>
        <tr r="I267" s="2"/>
      </tp>
      <tp t="s">
        <v>#N/A Invalid Field</v>
        <stp/>
        <stp>##V3_BDHV12</stp>
        <stp>31382LKE5 Mtge</stp>
        <stp>MTG_GEN_CPR_6M</stp>
        <stp>20090610</stp>
        <stp>20090610</stp>
        <stp>[Copy of 02_cpr_main.xlsx]data!R199C9</stp>
        <stp>Dts=H</stp>
        <tr r="I199" s="2"/>
      </tp>
      <tp t="s">
        <v>#N/A Invalid Field</v>
        <stp/>
        <stp>##V3_BDHV12</stp>
        <stp>31413DGE1 Mtge</stp>
        <stp>MTG_GEN_CPR_6M</stp>
        <stp>20090610</stp>
        <stp>20090610</stp>
        <stp>[Copy of 02_cpr_main.xlsx]data!R419C9</stp>
        <stp>Dts=H</stp>
        <tr r="I419" s="2"/>
      </tp>
      <tp t="s">
        <v>#N/A Invalid Field</v>
        <stp/>
        <stp>##V3_BDHV12</stp>
        <stp>31401A3J4 Mtge</stp>
        <stp>MTG_GEN_CPR_3M</stp>
        <stp>20090610</stp>
        <stp>20090610</stp>
        <stp>[Copy of 02_cpr_main.xlsx]data!R252C8</stp>
        <stp>Dts=H</stp>
        <tr r="H252" s="2"/>
      </tp>
      <tp t="s">
        <v>#N/A Invalid Field</v>
        <stp/>
        <stp>##V3_BDHV12</stp>
        <stp>31403DTT6 Mtge</stp>
        <stp>MTG_GEN_CPR_6M</stp>
        <stp>20090610</stp>
        <stp>20090610</stp>
        <stp>[Copy of 02_cpr_main.xlsx]data!R302C9</stp>
        <stp>Dts=H</stp>
        <tr r="I302" s="2"/>
      </tp>
      <tp t="s">
        <v>#N/A Invalid Field</v>
        <stp/>
        <stp>##V3_BDHV12</stp>
        <stp>31416BVN5 Mtge</stp>
        <stp>MTG_GEN_CPR_3M</stp>
        <stp>20090610</stp>
        <stp>20090610</stp>
        <stp>[Copy of 02_cpr_main.xlsx]data!R460C8</stp>
        <stp>Dts=H</stp>
        <tr r="H460" s="2"/>
      </tp>
      <tp t="s">
        <v>#N/A Invalid Field</v>
        <stp/>
        <stp>##V3_BDHV12</stp>
        <stp>31406GDY2 Mtge</stp>
        <stp>MTG_GEN_CPR_3M</stp>
        <stp>20090610</stp>
        <stp>20090610</stp>
        <stp>[Copy of 02_cpr_main.xlsx]data!R336C8</stp>
        <stp>Dts=H</stp>
        <tr r="H336" s="2"/>
      </tp>
      <tp t="s">
        <v>#N/A Invalid Field</v>
        <stp/>
        <stp>##V3_BDHV12</stp>
        <stp>31412G4H1 Mtge</stp>
        <stp>MTG_GEN_CPR_3M</stp>
        <stp>20090610</stp>
        <stp>20090610</stp>
        <stp>[Copy of 02_cpr_main.xlsx]data!R406C8</stp>
        <stp>Dts=H</stp>
        <tr r="H406" s="2"/>
      </tp>
      <tp t="s">
        <v>#N/A Invalid Field</v>
        <stp/>
        <stp>##V3_BDHV12</stp>
        <stp>31404EVB9 Mtge</stp>
        <stp>MTG_GEN_CPR_6M</stp>
        <stp>20090331</stp>
        <stp>20090331</stp>
        <stp>[Copy of 02_cpr_main.xlsx]data!R312C6</stp>
        <stp>Dts=H</stp>
        <tr r="F312" s="2"/>
      </tp>
      <tp t="s">
        <v>#N/A Invalid Field</v>
        <stp/>
        <stp>##V3_BDHV12</stp>
        <stp>31292G4V5 Mtge</stp>
        <stp>MTG_GEN_CPR_6M</stp>
        <stp>20090610</stp>
        <stp>20090610</stp>
        <stp>[Copy of 02_cpr_main.xlsx]data!R114C9</stp>
        <stp>Dts=H</stp>
        <tr r="I114" s="2"/>
      </tp>
      <tp t="s">
        <v>#N/A Invalid Field</v>
        <stp/>
        <stp>##V3_BDHV12</stp>
        <stp>31292GY34 Mtge</stp>
        <stp>MTG_GEN_CPR_3M</stp>
        <stp>20090610</stp>
        <stp>20090610</stp>
        <stp>[Copy of 02_cpr_main.xlsx]data!R116C8</stp>
        <stp>Dts=H</stp>
        <tr r="H116" s="2"/>
      </tp>
      <tp t="s">
        <v>#N/A Invalid Field</v>
        <stp/>
        <stp>##V3_BDHV12</stp>
        <stp>36241KNL8 Mtge</stp>
        <stp>MTG_GEN_CPR_3M</stp>
        <stp>20090331</stp>
        <stp>20090331</stp>
        <stp>[Copy of 02_cpr_main.xlsx]data!R496C5</stp>
        <stp>Dts=H</stp>
        <tr r="E496" s="2"/>
      </tp>
      <tp t="s">
        <v>#N/A Invalid Field</v>
        <stp/>
        <stp>##V3_BDHV12</stp>
        <stp>31413GMM9 Mtge</stp>
        <stp>MTG_GEN_CPR_6M</stp>
        <stp>20090331</stp>
        <stp>20090331</stp>
        <stp>[Copy of 02_cpr_main.xlsx]data!R420C6</stp>
        <stp>Dts=H</stp>
        <tr r="F420" s="2"/>
      </tp>
      <tp t="s">
        <v>#N/A Invalid Field</v>
        <stp/>
        <stp>##V3_BDHV12</stp>
        <stp>31406BYJ3 Mtge</stp>
        <stp>MTG_GEN_CPR_6M</stp>
        <stp>20090610</stp>
        <stp>20090610</stp>
        <stp>[Copy of 02_cpr_main.xlsx]data!R333C9</stp>
        <stp>Dts=H</stp>
        <tr r="I333" s="2"/>
      </tp>
      <tp t="s">
        <v>#N/A Invalid Field</v>
        <stp/>
        <stp>##V3_BDHV12</stp>
        <stp>31402FFF7 Mtge</stp>
        <stp>MTG_GEN_CPR_3M</stp>
        <stp>20090610</stp>
        <stp>20090610</stp>
        <stp>[Copy of 02_cpr_main.xlsx]data!R271C8</stp>
        <stp>Dts=H</stp>
        <tr r="H271" s="2"/>
      </tp>
      <tp t="s">
        <v>#N/A Invalid Field</v>
        <stp/>
        <stp>##V3_BDHV12</stp>
        <stp>31413CCD9 Mtge</stp>
        <stp>MTG_GEN_CPR_6M</stp>
        <stp>20090331</stp>
        <stp>20090331</stp>
        <stp>[Copy of 02_cpr_main.xlsx]data!R418C6</stp>
        <stp>Dts=H</stp>
        <tr r="F418" s="2"/>
      </tp>
      <tp t="s">
        <v>#N/A Invalid Field</v>
        <stp/>
        <stp>##V3_BDHV12</stp>
        <stp>31410GQ55 Mtge</stp>
        <stp>MTG_GEN_CPR_6M</stp>
        <stp>20090610</stp>
        <stp>20090610</stp>
        <stp>[Copy of 02_cpr_main.xlsx]data!R370C9</stp>
        <stp>Dts=H</stp>
        <tr r="I370" s="2"/>
      </tp>
      <tp t="s">
        <v>#N/A Invalid Field</v>
        <stp/>
        <stp>##V3_BDHV12</stp>
        <stp>31410GRN5 Mtge</stp>
        <stp>MTG_GEN_CPR_6M</stp>
        <stp>20090610</stp>
        <stp>20090610</stp>
        <stp>[Copy of 02_cpr_main.xlsx]data!R372C9</stp>
        <stp>Dts=H</stp>
        <tr r="I372" s="2"/>
      </tp>
      <tp t="s">
        <v>#N/A Invalid Field</v>
        <stp/>
        <stp>##V3_BDHV12</stp>
        <stp>31381JRV6 Mtge</stp>
        <stp>MTG_GEN_CPR_6M</stp>
        <stp>20090610</stp>
        <stp>20090610</stp>
        <stp>[Copy of 02_cpr_main.xlsx]data!R194C9</stp>
        <stp>Dts=H</stp>
        <tr r="I194" s="2"/>
      </tp>
      <tp t="s">
        <v>#N/A Invalid Field</v>
        <stp/>
        <stp>##V3_BDHV12</stp>
        <stp>3128GVEA4 Mtge</stp>
        <stp>MTG_GEN_CPR_12M</stp>
        <stp>20090331</stp>
        <stp>20090331</stp>
        <stp>[Copy of 02_cpr_main.xlsx]data!R61C7</stp>
        <stp>Dts=H</stp>
        <tr r="G61" s="2"/>
      </tp>
      <tp t="s">
        <v>#N/A Invalid Field</v>
        <stp/>
        <stp>##V3_BDHV12</stp>
        <stp>312967ME9 Mtge</stp>
        <stp>MTG_GEN_CPR_6M</stp>
        <stp>20090331</stp>
        <stp>20090331</stp>
        <stp>[Copy of 02_cpr_main.xlsx]data!R141C6</stp>
        <stp>Dts=H</stp>
        <tr r="F141" s="2"/>
      </tp>
      <tp t="s">
        <v>#N/A Invalid Field</v>
        <stp/>
        <stp>##V3_BDHV12</stp>
        <stp>312962KF9 Mtge</stp>
        <stp>MTG_GEN_CPR_6M</stp>
        <stp>20090331</stp>
        <stp>20090331</stp>
        <stp>[Copy of 02_cpr_main.xlsx]data!R138C6</stp>
        <stp>Dts=H</stp>
        <tr r="F138" s="2"/>
      </tp>
      <tp t="s">
        <v>#N/A Invalid Field</v>
        <stp/>
        <stp>##V3_BDHV12</stp>
        <stp>3128JLW39 Mtge</stp>
        <stp>MTG_GEN_CPR_12M</stp>
        <stp>20090331</stp>
        <stp>20090331</stp>
        <stp>[Copy of 02_cpr_main.xlsx]data!R67C7</stp>
        <stp>Dts=H</stp>
        <tr r="G67" s="2"/>
      </tp>
    </main>
    <main first="bloomberg.rtd">
      <tp t="s">
        <v>#N/A Invalid Field</v>
        <stp/>
        <stp>##V3_BDHV12</stp>
        <stp>31402WMC9 Mtge</stp>
        <stp>MTG_GEN_CPR_6M</stp>
        <stp>20090331</stp>
        <stp>20090331</stp>
        <stp>[Copy of 02_cpr_main.xlsx]data!R290C6</stp>
        <stp>Dts=H</stp>
        <tr r="F290" s="2"/>
      </tp>
      <tp t="s">
        <v>#N/A N/A</v>
        <stp/>
        <stp>##V3_BDPV12</stp>
        <stp>31385XNG8 Mtge</stp>
        <stp>MTG_PREPAY_SPEED</stp>
        <stp>[Copy of 02_cpr_main.xlsx]data!R226C12</stp>
        <tr r="L226" s="2"/>
      </tp>
      <tp t="s">
        <v>#N/A N/A</v>
        <stp/>
        <stp>##V3_BDPV12</stp>
        <stp>312962KF9 Mtge</stp>
        <stp>MTG_PREPAY_SPEED</stp>
        <stp>[Copy of 02_cpr_main.xlsx]data!R138C12</stp>
        <tr r="L138" s="2"/>
      </tp>
      <tp t="s">
        <v>#N/A Invalid Field</v>
        <stp/>
        <stp>##V3_BDHV12</stp>
        <stp>31402TVS1 Mtge</stp>
        <stp>MTG_GEN_CPR_6M</stp>
        <stp>20090610</stp>
        <stp>20090610</stp>
        <stp>[Copy of 02_cpr_main.xlsx]data!R288C9</stp>
        <stp>Dts=H</stp>
        <tr r="I288" s="2"/>
      </tp>
      <tp t="s">
        <v>#N/A Invalid Field</v>
        <stp/>
        <stp>##V3_BDHV12</stp>
        <stp>31411UDL2 Mtge</stp>
        <stp>MTG_GEN_CPR_3M</stp>
        <stp>20090610</stp>
        <stp>20090610</stp>
        <stp>[Copy of 02_cpr_main.xlsx]data!R395C8</stp>
        <stp>Dts=H</stp>
        <tr r="H395" s="2"/>
      </tp>
      <tp t="s">
        <v>#N/A Invalid Field</v>
        <stp/>
        <stp>##V3_BDHV12</stp>
        <stp>31417YAY3 Mtge</stp>
        <stp>MTG_GEN_CPR_3M</stp>
        <stp>20090610</stp>
        <stp>20090610</stp>
        <stp>[Copy of 02_cpr_main.xlsx]data!R462C8</stp>
        <stp>Dts=H</stp>
        <tr r="H462" s="2"/>
      </tp>
      <tp t="s">
        <v>#N/A Invalid Field</v>
        <stp/>
        <stp>##V3_BDHV12</stp>
        <stp>31410V2L3 Mtge</stp>
        <stp>MTG_GEN_CPR_3M</stp>
        <stp>20090610</stp>
        <stp>20090610</stp>
        <stp>[Copy of 02_cpr_main.xlsx]data!R386C8</stp>
        <stp>Dts=H</stp>
        <tr r="H386" s="2"/>
      </tp>
      <tp t="s">
        <v>#N/A Invalid Field</v>
        <stp/>
        <stp>##V3_BDHV12</stp>
        <stp>31412XSV7 Mtge</stp>
        <stp>MTG_GEN_CPR_6M</stp>
        <stp>20090610</stp>
        <stp>20090610</stp>
        <stp>[Copy of 02_cpr_main.xlsx]data!R414C9</stp>
        <stp>Dts=H</stp>
        <tr r="I414" s="2"/>
      </tp>
      <tp t="s">
        <v>#N/A Invalid Field</v>
        <stp/>
        <stp>##V3_BDHV12</stp>
        <stp>31410RP29 Mtge</stp>
        <stp>MTG_GEN_CPR_3M</stp>
        <stp>20090331</stp>
        <stp>20090331</stp>
        <stp>[Copy of 02_cpr_main.xlsx]data!R382C5</stp>
        <stp>Dts=H</stp>
        <tr r="E382" s="2"/>
      </tp>
      <tp t="s">
        <v>#N/A Invalid Field</v>
        <stp/>
        <stp>##V3_BDHV12</stp>
        <stp>31410QPT2 Mtge</stp>
        <stp>MTG_GEN_CPR_6M</stp>
        <stp>20090610</stp>
        <stp>20090610</stp>
        <stp>[Copy of 02_cpr_main.xlsx]data!R381C9</stp>
        <stp>Dts=H</stp>
        <tr r="I381" s="2"/>
      </tp>
      <tp t="s">
        <v>#N/A Invalid Field</v>
        <stp/>
        <stp>##V3_BDHV12</stp>
        <stp>31411YGA5 Mtge</stp>
        <stp>MTG_GEN_CPR_3M</stp>
        <stp>20090610</stp>
        <stp>20090610</stp>
        <stp>[Copy of 02_cpr_main.xlsx]data!R400C8</stp>
        <stp>Dts=H</stp>
        <tr r="H400" s="2"/>
      </tp>
      <tp t="s">
        <v>#N/A Invalid Field</v>
        <stp/>
        <stp>##V3_BDHV12</stp>
        <stp>31402REL9 Mtge</stp>
        <stp>MTG_GEN_CPR_6M</stp>
        <stp>20090331</stp>
        <stp>20090331</stp>
        <stp>[Copy of 02_cpr_main.xlsx]data!R282C6</stp>
        <stp>Dts=H</stp>
        <tr r="F282" s="2"/>
      </tp>
      <tp t="s">
        <v>#N/A Invalid Field</v>
        <stp/>
        <stp>##V3_BDHV12</stp>
        <stp>31402RCV9 Mtge</stp>
        <stp>MTG_GEN_CPR_6M</stp>
        <stp>20090331</stp>
        <stp>20090331</stp>
        <stp>[Copy of 02_cpr_main.xlsx]data!R280C6</stp>
        <stp>Dts=H</stp>
        <tr r="F280" s="2"/>
      </tp>
      <tp t="s">
        <v>#N/A Invalid Field</v>
        <stp/>
        <stp>##V3_BDHV12</stp>
        <stp>36201YC95 Mtge</stp>
        <stp>MTG_GEN_CPR_3M</stp>
        <stp>20090610</stp>
        <stp>20090610</stp>
        <stp>[Copy of 02_cpr_main.xlsx]data!R474C8</stp>
        <stp>Dts=H</stp>
        <tr r="H474" s="2"/>
      </tp>
      <tp t="s">
        <v>#N/A Invalid Field</v>
        <stp/>
        <stp>##V3_BDHV12</stp>
        <stp>31402RLV9 Mtge</stp>
        <stp>MTG_GEN_CPR_6M</stp>
        <stp>20090331</stp>
        <stp>20090331</stp>
        <stp>[Copy of 02_cpr_main.xlsx]data!R286C6</stp>
        <stp>Dts=H</stp>
        <tr r="F286" s="2"/>
      </tp>
      <tp t="s">
        <v>#N/A Invalid Field</v>
        <stp/>
        <stp>##V3_BDHV12</stp>
        <stp>31410S5Y9 Mtge</stp>
        <stp>MTG_GEN_CPR_3M</stp>
        <stp>20090331</stp>
        <stp>20090331</stp>
        <stp>[Copy of 02_cpr_main.xlsx]data!R383C5</stp>
        <stp>Dts=H</stp>
        <tr r="E383" s="2"/>
      </tp>
      <tp t="s">
        <v>#N/A Invalid Field</v>
        <stp/>
        <stp>##V3_BDHV12</stp>
        <stp>36290V5G5 Mtge</stp>
        <stp>MTG_GEN_CPR_6M</stp>
        <stp>20090610</stp>
        <stp>20090610</stp>
        <stp>[Copy of 02_cpr_main.xlsx]data!R497C9</stp>
        <stp>Dts=H</stp>
        <tr r="I497" s="2"/>
      </tp>
      <tp t="s">
        <v>#N/A Invalid Field</v>
        <stp/>
        <stp>##V3_BDHV12</stp>
        <stp>31412YFJ6 Mtge</stp>
        <stp>MTG_GEN_CPR_3M</stp>
        <stp>20090610</stp>
        <stp>20090610</stp>
        <stp>[Copy of 02_cpr_main.xlsx]data!R415C8</stp>
        <stp>Dts=H</stp>
        <tr r="H415" s="2"/>
      </tp>
      <tp t="s">
        <v>#N/A Invalid Field</v>
        <stp/>
        <stp>##V3_BDHV12</stp>
        <stp>31410PYM9 Mtge</stp>
        <stp>MTG_GEN_CPR_3M</stp>
        <stp>20090331</stp>
        <stp>20090331</stp>
        <stp>[Copy of 02_cpr_main.xlsx]data!R380C5</stp>
        <stp>Dts=H</stp>
        <tr r="E380" s="2"/>
      </tp>
      <tp t="s">
        <v>#N/A Invalid Field</v>
        <stp/>
        <stp>##V3_BDHV12</stp>
        <stp>3128M6LZ9 Mtge</stp>
        <stp>MTG_GEN_CPR_12M</stp>
        <stp>20090331</stp>
        <stp>20090331</stp>
        <stp>[Copy of 02_cpr_main.xlsx]data!R88C7</stp>
        <stp>Dts=H</stp>
        <tr r="G88" s="2"/>
      </tp>
      <tp t="s">
        <v>#N/A Invalid Field</v>
        <stp/>
        <stp>##V3_BDHV12</stp>
        <stp>31380RMS1 Mtge</stp>
        <stp>MTG_GEN_CPR_3M</stp>
        <stp>20090610</stp>
        <stp>20090610</stp>
        <stp>[Copy of 02_cpr_main.xlsx]data!R192C8</stp>
        <stp>Dts=H</stp>
        <tr r="H192" s="2"/>
      </tp>
      <tp t="s">
        <v>#N/A Invalid Field</v>
        <stp/>
        <stp>##V3_BDHV12</stp>
        <stp>3128M6RS9 Mtge</stp>
        <stp>MTG_GEN_CPR_12M</stp>
        <stp>20090331</stp>
        <stp>20090331</stp>
        <stp>[Copy of 02_cpr_main.xlsx]data!R90C7</stp>
        <stp>Dts=H</stp>
        <tr r="G90" s="2"/>
      </tp>
      <tp t="s">
        <v>#N/A Invalid Field</v>
        <stp/>
        <stp>##V3_BDHV12</stp>
        <stp>31402RD30 Mtge</stp>
        <stp>MTG_GEN_CPR_3M</stp>
        <stp>20090610</stp>
        <stp>20090610</stp>
        <stp>[Copy of 02_cpr_main.xlsx]data!R281C8</stp>
        <stp>Dts=H</stp>
        <tr r="H281" s="2"/>
      </tp>
      <tp t="s">
        <v>#N/A Invalid Field</v>
        <stp/>
        <stp>##V3_BDHV12</stp>
        <stp>31385XEC7 Mtge</stp>
        <stp>MTG_GEN_CPR_3M</stp>
        <stp>20090610</stp>
        <stp>20090610</stp>
        <stp>[Copy of 02_cpr_main.xlsx]data!R221C8</stp>
        <stp>Dts=H</stp>
        <tr r="H221" s="2"/>
      </tp>
      <tp t="s">
        <v>#N/A Invalid Field</v>
        <stp/>
        <stp>##V3_BDHV12</stp>
        <stp>31385XLM7 Mtge</stp>
        <stp>MTG_GEN_CPR_3M</stp>
        <stp>20090610</stp>
        <stp>20090610</stp>
        <stp>[Copy of 02_cpr_main.xlsx]data!R224C8</stp>
        <stp>Dts=H</stp>
        <tr r="H224" s="2"/>
      </tp>
      <tp t="s">
        <v>#N/A Invalid Field</v>
        <stp/>
        <stp>##V3_BDHV12</stp>
        <stp>31385XLV7 Mtge</stp>
        <stp>MTG_GEN_CPR_3M</stp>
        <stp>20090610</stp>
        <stp>20090610</stp>
        <stp>[Copy of 02_cpr_main.xlsx]data!R225C8</stp>
        <stp>Dts=H</stp>
        <tr r="H225" s="2"/>
      </tp>
      <tp t="s">
        <v>#N/A Invalid Field</v>
        <stp/>
        <stp>##V3_BDHV12</stp>
        <stp>31402Q4R9 Mtge</stp>
        <stp>MTG_GEN_CPR_6M</stp>
        <stp>20090331</stp>
        <stp>20090331</stp>
        <stp>[Copy of 02_cpr_main.xlsx]data!R274C6</stp>
        <stp>Dts=H</stp>
        <tr r="F274" s="2"/>
      </tp>
      <tp t="s">
        <v>#N/A Invalid Field</v>
        <stp/>
        <stp>##V3_BDHV12</stp>
        <stp>31391QTJ3 Mtge</stp>
        <stp>MTG_GEN_CPR_3M</stp>
        <stp>20090610</stp>
        <stp>20090610</stp>
        <stp>[Copy of 02_cpr_main.xlsx]data!R240C8</stp>
        <stp>Dts=H</stp>
        <tr r="H240" s="2"/>
      </tp>
      <tp t="s">
        <v>#N/A Invalid Field</v>
        <stp/>
        <stp>##V3_BDHV12</stp>
        <stp>36208YF46 Mtge</stp>
        <stp>MTG_GEN_CPR_3M</stp>
        <stp>20090331</stp>
        <stp>20090331</stp>
        <stp>[Copy of 02_cpr_main.xlsx]data!R480C5</stp>
        <stp>Dts=H</stp>
        <tr r="E480" s="2"/>
      </tp>
      <tp t="s">
        <v>#N/A Invalid Field</v>
        <stp/>
        <stp>##V3_BDHV12</stp>
        <stp>31382VHM9 Mtge</stp>
        <stp>MTG_GEN_CPR_6M</stp>
        <stp>20090331</stp>
        <stp>20090331</stp>
        <stp>[Copy of 02_cpr_main.xlsx]data!R205C6</stp>
        <stp>Dts=H</stp>
        <tr r="F205" s="2"/>
      </tp>
      <tp t="s">
        <v>#N/A N/A</v>
        <stp/>
        <stp>##V3_BDPV12</stp>
        <stp>31416BVN5 Mtge</stp>
        <stp>MTG_PREPAY_SPEED</stp>
        <stp>[Copy of 02_cpr_main.xlsx]data!R460C12</stp>
        <tr r="L460" s="2"/>
      </tp>
      <tp t="s">
        <v>#N/A Invalid Field</v>
        <stp/>
        <stp>##V3_BDHV12</stp>
        <stp>31382TUC1 Mtge</stp>
        <stp>MTG_GEN_CPR_6M</stp>
        <stp>20090610</stp>
        <stp>20090610</stp>
        <stp>[Copy of 02_cpr_main.xlsx]data!R204C9</stp>
        <stp>Dts=H</stp>
        <tr r="I204" s="2"/>
      </tp>
      <tp t="s">
        <v>#N/A Invalid Field</v>
        <stp/>
        <stp>##V3_BDHV12</stp>
        <stp>31400RXM8 Mtge</stp>
        <stp>MTG_GEN_CPR_3M</stp>
        <stp>20090331</stp>
        <stp>20090331</stp>
        <stp>[Copy of 02_cpr_main.xlsx]data!R251C5</stp>
        <stp>Dts=H</stp>
        <tr r="E251" s="2"/>
      </tp>
      <tp t="s">
        <v>#N/A Invalid Field</v>
        <stp/>
        <stp>##V3_BDHV12</stp>
        <stp>31405VG76 Mtge</stp>
        <stp>MTG_GEN_CPR_3M</stp>
        <stp>20090610</stp>
        <stp>20090610</stp>
        <stp>[Copy of 02_cpr_main.xlsx]data!R329C8</stp>
        <stp>Dts=H</stp>
        <tr r="H329" s="2"/>
      </tp>
      <tp>
        <v>161</v>
        <stp/>
        <stp>##V3_BDPV12</stp>
        <stp>31410GRN5 Mtge</stp>
        <stp>MTG_PREPAY_SPEED</stp>
        <stp>[Copy of 02_cpr_main.xlsx]data!R372C12</stp>
        <tr r="L372" s="2"/>
      </tp>
      <tp t="s">
        <v>#N/A N/A</v>
        <stp/>
        <stp>##V3_BDPV12</stp>
        <stp>312967HF2 Mtge</stp>
        <stp>MTG_PREPAY_SPEED</stp>
        <stp>[Copy of 02_cpr_main.xlsx]data!R140C12</stp>
        <tr r="L140" s="2"/>
      </tp>
      <tp t="s">
        <v>#N/A Invalid Field</v>
        <stp/>
        <stp>##V3_BDHV12</stp>
        <stp>31415RR30 Mtge</stp>
        <stp>MTG_GEN_CPR_6M</stp>
        <stp>20090610</stp>
        <stp>20090610</stp>
        <stp>[Copy of 02_cpr_main.xlsx]data!R453C9</stp>
        <stp>Dts=H</stp>
        <tr r="I453" s="2"/>
      </tp>
      <tp t="s">
        <v>#N/A Invalid Field</v>
        <stp/>
        <stp>##V3_BDHV12</stp>
        <stp>31293UAS3 Mtge</stp>
        <stp>MTG_GEN_CPR_6M</stp>
        <stp>20090610</stp>
        <stp>20090610</stp>
        <stp>[Copy of 02_cpr_main.xlsx]data!R123C9</stp>
        <stp>Dts=H</stp>
        <tr r="I123" s="2"/>
      </tp>
      <tp t="s">
        <v>#N/A Invalid Field</v>
        <stp/>
        <stp>##V3_BDHV12</stp>
        <stp>31415PGB8 Mtge</stp>
        <stp>MTG_GEN_CPR_6M</stp>
        <stp>20090331</stp>
        <stp>20090331</stp>
        <stp>[Copy of 02_cpr_main.xlsx]data!R449C6</stp>
        <stp>Dts=H</stp>
        <tr r="F449" s="2"/>
      </tp>
      <tp>
        <v>169</v>
        <stp/>
        <stp>##V3_BDPV12</stp>
        <stp>31410GHN6 Mtge</stp>
        <stp>MTG_PREPAY_SPEED</stp>
        <stp>[Copy of 02_cpr_main.xlsx]data!R368C12</stp>
        <tr r="L368" s="2"/>
      </tp>
      <tp>
        <v>160</v>
        <stp/>
        <stp>##V3_BDPV12</stp>
        <stp>36225BPM4 Mtge</stp>
        <stp>MTG_PREPAY_SPEED</stp>
        <stp>[Copy of 02_cpr_main.xlsx]data!R493C12</stp>
        <tr r="L493" s="2"/>
      </tp>
      <tp t="s">
        <v>#N/A Invalid Field</v>
        <stp/>
        <stp>##V3_BDHV12</stp>
        <stp>31385W6V6 Mtge</stp>
        <stp>MTG_GEN_CPR_6M</stp>
        <stp>20090610</stp>
        <stp>20090610</stp>
        <stp>[Copy of 02_cpr_main.xlsx]data!R216C9</stp>
        <stp>Dts=H</stp>
        <tr r="I216" s="2"/>
      </tp>
      <tp t="s">
        <v>#N/A Invalid Field</v>
        <stp/>
        <stp>##V3_BDHV12</stp>
        <stp>31385WYC7 Mtge</stp>
        <stp>MTG_GEN_CPR_3M</stp>
        <stp>20090610</stp>
        <stp>20090610</stp>
        <stp>[Copy of 02_cpr_main.xlsx]data!R218C8</stp>
        <stp>Dts=H</stp>
        <tr r="H218" s="2"/>
      </tp>
      <tp t="s">
        <v>#N/A Invalid Field</v>
        <stp/>
        <stp>##V3_BDHV12</stp>
        <stp>31413UWD7 Mtge</stp>
        <stp>MTG_GEN_CPR_3M</stp>
        <stp>20090610</stp>
        <stp>20090610</stp>
        <stp>[Copy of 02_cpr_main.xlsx]data!R434C8</stp>
        <stp>Dts=H</stp>
        <tr r="H434" s="2"/>
      </tp>
      <tp t="s">
        <v>#N/A Invalid Field</v>
        <stp/>
        <stp>##V3_BDHV12</stp>
        <stp>31384VQR6 Mtge</stp>
        <stp>MTG_GEN_CPR_3M</stp>
        <stp>20090610</stp>
        <stp>20090610</stp>
        <stp>[Copy of 02_cpr_main.xlsx]data!R209C8</stp>
        <stp>Dts=H</stp>
        <tr r="H209" s="2"/>
      </tp>
      <tp t="s">
        <v>#N/A Invalid Field</v>
        <stp/>
        <stp>##V3_BDHV12</stp>
        <stp>31415SCE0 Mtge</stp>
        <stp>MTG_GEN_CPR_6M</stp>
        <stp>20090610</stp>
        <stp>20090610</stp>
        <stp>[Copy of 02_cpr_main.xlsx]data!R454C9</stp>
        <stp>Dts=H</stp>
        <tr r="I454" s="2"/>
      </tp>
      <tp t="s">
        <v>#N/A Invalid Field</v>
        <stp/>
        <stp>##V3_BDHV12</stp>
        <stp>31415PMH8 Mtge</stp>
        <stp>MTG_GEN_CPR_6M</stp>
        <stp>20090331</stp>
        <stp>20090331</stp>
        <stp>[Copy of 02_cpr_main.xlsx]data!R450C6</stp>
        <stp>Dts=H</stp>
        <tr r="F450" s="2"/>
      </tp>
      <tp t="s">
        <v>#N/A N/A</v>
        <stp/>
        <stp>##V3_BDPV12</stp>
        <stp>31382TTG4 Mtge</stp>
        <stp>MTG_PREPAY_SPEED</stp>
        <stp>[Copy of 02_cpr_main.xlsx]data!R203C12</stp>
        <tr r="L203" s="2"/>
      </tp>
      <tp t="s">
        <v>#N/A Invalid Field</v>
        <stp/>
        <stp>##V3_BDHV12</stp>
        <stp>31411X6Z3 Mtge</stp>
        <stp>MTG_GEN_CPR_6M</stp>
        <stp>20090610</stp>
        <stp>20090610</stp>
        <stp>[Copy of 02_cpr_main.xlsx]data!R398C9</stp>
        <stp>Dts=H</stp>
        <tr r="I398" s="2"/>
      </tp>
      <tp t="s">
        <v>#N/A Invalid Field</v>
        <stp/>
        <stp>##V3_BDHV12</stp>
        <stp>31415TF70 Mtge</stp>
        <stp>MTG_GEN_CPR_6M</stp>
        <stp>20090610</stp>
        <stp>20090610</stp>
        <stp>[Copy of 02_cpr_main.xlsx]data!R455C9</stp>
        <stp>Dts=H</stp>
        <tr r="I455" s="2"/>
      </tp>
      <tp t="s">
        <v>#N/A Invalid Field</v>
        <stp/>
        <stp>##V3_BDHV12</stp>
        <stp>31388PCR0 Mtge</stp>
        <stp>MTG_GEN_CPR_3M</stp>
        <stp>20090331</stp>
        <stp>20090331</stp>
        <stp>[Copy of 02_cpr_main.xlsx]data!R228C5</stp>
        <stp>Dts=H</stp>
        <tr r="E228" s="2"/>
      </tp>
      <tp t="s">
        <v>#N/A Invalid Field</v>
        <stp/>
        <stp>##V3_BDHV12</stp>
        <stp>31415TLM0 Mtge</stp>
        <stp>MTG_GEN_CPR_6M</stp>
        <stp>20090610</stp>
        <stp>20090610</stp>
        <stp>[Copy of 02_cpr_main.xlsx]data!R456C9</stp>
        <stp>Dts=H</stp>
        <tr r="I456" s="2"/>
      </tp>
      <tp t="s">
        <v>#N/A Invalid Field</v>
        <stp/>
        <stp>##V3_BDHV12</stp>
        <stp>31349UFK9 Mtge</stp>
        <stp>MTG_GEN_CPR_6M</stp>
        <stp>20090610</stp>
        <stp>20090610</stp>
        <stp>[Copy of 02_cpr_main.xlsx]data!R158C9</stp>
        <stp>Dts=H</stp>
        <tr r="I158" s="2"/>
      </tp>
      <tp t="s">
        <v>#N/A Invalid Field</v>
        <stp/>
        <stp>##V3_BDHV12</stp>
        <stp>36202SBN7 Mtge</stp>
        <stp>MTG_GEN_CPR_6M</stp>
        <stp>20090610</stp>
        <stp>20090610</stp>
        <stp>[Copy of 02_cpr_main.xlsx]data!R475C9</stp>
        <stp>Dts=H</stp>
        <tr r="I475" s="2"/>
      </tp>
      <tp>
        <v>1.63</v>
        <stp/>
        <stp>##V3_BDPV12</stp>
        <stp>31349UFK9 Mtge</stp>
        <stp>MTG_PREPAY_SPEED</stp>
        <stp>[Copy of 02_cpr_main.xlsx]data!R158C12</stp>
        <tr r="L158" s="2"/>
      </tp>
      <tp t="s">
        <v>#N/A N/A</v>
        <stp/>
        <stp>##V3_BDPV12</stp>
        <stp>31410KUN2 Mtge</stp>
        <stp>MTG_PREPAY_SPEED</stp>
        <stp>[Copy of 02_cpr_main.xlsx]data!R377C12</stp>
        <tr r="L377" s="2"/>
      </tp>
      <tp t="s">
        <v>#N/A Invalid Field</v>
        <stp/>
        <stp>##V3_BDHV12</stp>
        <stp>31415WQC0 Mtge</stp>
        <stp>MTG_GEN_CPR_6M</stp>
        <stp>20090610</stp>
        <stp>20090610</stp>
        <stp>[Copy of 02_cpr_main.xlsx]data!R457C9</stp>
        <stp>Dts=H</stp>
        <tr r="I457" s="2"/>
      </tp>
      <tp t="s">
        <v>#N/A Invalid Field</v>
        <stp/>
        <stp>##V3_BDHV12</stp>
        <stp>31406VQ74 Mtge</stp>
        <stp>MTG_GEN_CPR_6M</stp>
        <stp>20090610</stp>
        <stp>20090610</stp>
        <stp>[Copy of 02_cpr_main.xlsx]data!R340C9</stp>
        <stp>Dts=H</stp>
        <tr r="I340" s="2"/>
      </tp>
      <tp>
        <v>161</v>
        <stp/>
        <stp>##V3_BDPV12</stp>
        <stp>31371KWH0 Mtge</stp>
        <stp>MTG_PREPAY_SPEED</stp>
        <stp>[Copy of 02_cpr_main.xlsx]data!R173C12</stp>
        <tr r="L173" s="2"/>
      </tp>
      <tp t="s">
        <v>#N/A Invalid Field</v>
        <stp/>
        <stp>##V3_BDHV12</stp>
        <stp>31335HUZ4 Mtge</stp>
        <stp>MTG_GEN_CPR_3M</stp>
        <stp>20090610</stp>
        <stp>20090610</stp>
        <stp>[Copy of 02_cpr_main.xlsx]data!R155C8</stp>
        <stp>Dts=H</stp>
        <tr r="H155" s="2"/>
      </tp>
      <tp t="s">
        <v>#N/A Invalid Field</v>
        <stp/>
        <stp>##V3_BDHV12</stp>
        <stp>31401KR49 Mtge</stp>
        <stp>MTG_GEN_CPR_3M</stp>
        <stp>20090331</stp>
        <stp>20090331</stp>
        <stp>[Copy of 02_cpr_main.xlsx]data!R257C5</stp>
        <stp>Dts=H</stp>
        <tr r="E257" s="2"/>
      </tp>
      <tp t="s">
        <v>#N/A Invalid Field</v>
        <stp/>
        <stp>##V3_BDHV12</stp>
        <stp>31403DDL0 Mtge</stp>
        <stp>MTG_GEN_CPR_6M</stp>
        <stp>20090610</stp>
        <stp>20090610</stp>
        <stp>[Copy of 02_cpr_main.xlsx]data!R296C9</stp>
        <stp>Dts=H</stp>
        <tr r="I296" s="2"/>
      </tp>
      <tp t="s">
        <v>#N/A Invalid Field</v>
        <stp/>
        <stp>##V3_BDHV12</stp>
        <stp>31368HME0 Mtge</stp>
        <stp>MTG_GEN_CPR_6M</stp>
        <stp>20090331</stp>
        <stp>20090331</stp>
        <stp>[Copy of 02_cpr_main.xlsx]data!R161C6</stp>
        <stp>Dts=H</stp>
        <tr r="F161" s="2"/>
      </tp>
      <tp t="s">
        <v>#N/A Invalid Field</v>
        <stp/>
        <stp>##V3_BDHV12</stp>
        <stp>31368HMH3 Mtge</stp>
        <stp>MTG_GEN_CPR_3M</stp>
        <stp>20090331</stp>
        <stp>20090331</stp>
        <stp>[Copy of 02_cpr_main.xlsx]data!R162C5</stp>
        <stp>Dts=H</stp>
        <tr r="E162" s="2"/>
      </tp>
      <tp t="s">
        <v>#N/A Invalid Field</v>
        <stp/>
        <stp>##V3_BDHV12</stp>
        <stp>31410KR22 Mtge</stp>
        <stp>MTG_GEN_CPR_6M</stp>
        <stp>20090610</stp>
        <stp>20090610</stp>
        <stp>[Copy of 02_cpr_main.xlsx]data!R374C9</stp>
        <stp>Dts=H</stp>
        <tr r="I374" s="2"/>
      </tp>
      <tp t="s">
        <v>#N/A Invalid Field</v>
        <stp/>
        <stp>##V3_BDHV12</stp>
        <stp>31371KWH0 Mtge</stp>
        <stp>MTG_GEN_CPR_3M</stp>
        <stp>20090610</stp>
        <stp>20090610</stp>
        <stp>[Copy of 02_cpr_main.xlsx]data!R173C8</stp>
        <stp>Dts=H</stp>
        <tr r="H173" s="2"/>
      </tp>
      <tp t="s">
        <v>#N/A Invalid Field</v>
        <stp/>
        <stp>##V3_BDHV12</stp>
        <stp>31410KUN2 Mtge</stp>
        <stp>MTG_GEN_CPR_6M</stp>
        <stp>20090610</stp>
        <stp>20090610</stp>
        <stp>[Copy of 02_cpr_main.xlsx]data!R377C9</stp>
        <stp>Dts=H</stp>
        <tr r="I377" s="2"/>
      </tp>
      <tp t="s">
        <v>#N/A Invalid Field</v>
        <stp/>
        <stp>##V3_BDHV12</stp>
        <stp>36225BYJ1 Mtge</stp>
        <stp>MTG_GEN_CPR_3M</stp>
        <stp>20090610</stp>
        <stp>20090610</stp>
        <stp>[Copy of 02_cpr_main.xlsx]data!R495C8</stp>
        <stp>Dts=H</stp>
        <tr r="H495" s="2"/>
      </tp>
      <tp t="s">
        <v>#N/A Invalid Field</v>
        <stp/>
        <stp>##V3_BDHV12</stp>
        <stp>36225BB31 Mtge</stp>
        <stp>MTG_GEN_CPR_3M</stp>
        <stp>20090610</stp>
        <stp>20090610</stp>
        <stp>[Copy of 02_cpr_main.xlsx]data!R491C8</stp>
        <stp>Dts=H</stp>
        <tr r="H491" s="2"/>
      </tp>
      <tp t="s">
        <v>#N/A Invalid Field</v>
        <stp/>
        <stp>##V3_BDHV12</stp>
        <stp>31404ML97 Mtge</stp>
        <stp>MTG_GEN_CPR_3M</stp>
        <stp>20090610</stp>
        <stp>20090610</stp>
        <stp>[Copy of 02_cpr_main.xlsx]data!R317C8</stp>
        <stp>Dts=H</stp>
        <tr r="H317" s="2"/>
      </tp>
      <tp t="s">
        <v>#N/A Invalid Field</v>
        <stp/>
        <stp>##V3_BDHV12</stp>
        <stp>31413NCZ6 Mtge</stp>
        <stp>MTG_GEN_CPR_6M</stp>
        <stp>20090610</stp>
        <stp>20090610</stp>
        <stp>[Copy of 02_cpr_main.xlsx]data!R429C9</stp>
        <stp>Dts=H</stp>
        <tr r="I429" s="2"/>
      </tp>
      <tp t="s">
        <v>#N/A Invalid Field</v>
        <stp/>
        <stp>##V3_BDHV12</stp>
        <stp>31371HQS0 Mtge</stp>
        <stp>MTG_GEN_CPR_3M</stp>
        <stp>20090610</stp>
        <stp>20090610</stp>
        <stp>[Copy of 02_cpr_main.xlsx]data!R165C8</stp>
        <stp>Dts=H</stp>
        <tr r="H165" s="2"/>
      </tp>
      <tp t="s">
        <v>#N/A Invalid Field</v>
        <stp/>
        <stp>##V3_BDHV12</stp>
        <stp>31411GDL3 Mtge</stp>
        <stp>MTG_GEN_CPR_6M</stp>
        <stp>20090610</stp>
        <stp>20090610</stp>
        <stp>[Copy of 02_cpr_main.xlsx]data!R391C9</stp>
        <stp>Dts=H</stp>
        <tr r="I391" s="2"/>
      </tp>
      <tp t="s">
        <v>#N/A Invalid Field</v>
        <stp/>
        <stp>##V3_BDHV12</stp>
        <stp>31407JBC5 Mtge</stp>
        <stp>MTG_GEN_CPR_6M</stp>
        <stp>20090610</stp>
        <stp>20090610</stp>
        <stp>[Copy of 02_cpr_main.xlsx]data!R342C9</stp>
        <stp>Dts=H</stp>
        <tr r="I342" s="2"/>
      </tp>
      <tp t="s">
        <v>#N/A Invalid Field</v>
        <stp/>
        <stp>##V3_BDHV12</stp>
        <stp>31403DGG8 Mtge</stp>
        <stp>MTG_GEN_CPR_6M</stp>
        <stp>20090331</stp>
        <stp>20090331</stp>
        <stp>[Copy of 02_cpr_main.xlsx]data!R299C6</stp>
        <stp>Dts=H</stp>
        <tr r="F299" s="2"/>
      </tp>
      <tp t="s">
        <v>#N/A Invalid Field</v>
        <stp/>
        <stp>##V3_BDHV12</stp>
        <stp>31368HMA8 Mtge</stp>
        <stp>MTG_GEN_CPR_6M</stp>
        <stp>20090610</stp>
        <stp>20090610</stp>
        <stp>[Copy of 02_cpr_main.xlsx]data!R160C9</stp>
        <stp>Dts=H</stp>
        <tr r="I160" s="2"/>
      </tp>
      <tp t="s">
        <v>#N/A Invalid Field</v>
        <stp/>
        <stp>##V3_BDHV12</stp>
        <stp>31410MYP9 Mtge</stp>
        <stp>MTG_GEN_CPR_3M</stp>
        <stp>20090331</stp>
        <stp>20090331</stp>
        <stp>[Copy of 02_cpr_main.xlsx]data!R379C5</stp>
        <stp>Dts=H</stp>
        <tr r="E379" s="2"/>
      </tp>
      <tp t="s">
        <v>#N/A Invalid Field</v>
        <stp/>
        <stp>##V3_BDHV12</stp>
        <stp>31413KKF7 Mtge</stp>
        <stp>MTG_GEN_CPR_3M</stp>
        <stp>20090610</stp>
        <stp>20090610</stp>
        <stp>[Copy of 02_cpr_main.xlsx]data!R425C8</stp>
        <stp>Dts=H</stp>
        <tr r="H425" s="2"/>
      </tp>
      <tp t="s">
        <v>#N/A Invalid Field</v>
        <stp/>
        <stp>##V3_BDHV12</stp>
        <stp>36213GSU6 Mtge</stp>
        <stp>MTG_GEN_CPR_6M</stp>
        <stp>20090610</stp>
        <stp>20090610</stp>
        <stp>[Copy of 02_cpr_main.xlsx]data!R488C9</stp>
        <stp>Dts=H</stp>
        <tr r="I488" s="2"/>
      </tp>
      <tp t="s">
        <v>#N/A Invalid Field</v>
        <stp/>
        <stp>##V3_BDHV12</stp>
        <stp>31414LAH1 Mtge</stp>
        <stp>MTG_GEN_CPR_6M</stp>
        <stp>20090610</stp>
        <stp>20090610</stp>
        <stp>[Copy of 02_cpr_main.xlsx]data!R441C9</stp>
        <stp>Dts=H</stp>
        <tr r="I441" s="2"/>
      </tp>
      <tp t="s">
        <v>#N/A Invalid Field</v>
        <stp/>
        <stp>##V3_BDHV12</stp>
        <stp>31401MDP3 Mtge</stp>
        <stp>MTG_GEN_CPR_3M</stp>
        <stp>20090610</stp>
        <stp>20090610</stp>
        <stp>[Copy of 02_cpr_main.xlsx]data!R258C8</stp>
        <stp>Dts=H</stp>
        <tr r="H258" s="2"/>
      </tp>
      <tp t="s">
        <v>#N/A Invalid Field</v>
        <stp/>
        <stp>##V3_BDHV12</stp>
        <stp>31294KJS5 Mtge</stp>
        <stp>MTG_GEN_CPR_3M</stp>
        <stp>20090610</stp>
        <stp>20090610</stp>
        <stp>[Copy of 02_cpr_main.xlsx]data!R130C8</stp>
        <stp>Dts=H</stp>
        <tr r="H130" s="2"/>
      </tp>
      <tp t="s">
        <v>#N/A Invalid Field</v>
        <stp/>
        <stp>##V3_BDHV12</stp>
        <stp>31413JJ96 Mtge</stp>
        <stp>MTG_GEN_CPR_6M</stp>
        <stp>20090610</stp>
        <stp>20090610</stp>
        <stp>[Copy of 02_cpr_main.xlsx]data!R421C9</stp>
        <stp>Dts=H</stp>
        <tr r="I421" s="2"/>
      </tp>
      <tp t="s">
        <v>#N/A Invalid Field</v>
        <stp/>
        <stp>##V3_BDHV12</stp>
        <stp>31403KRB1 Mtge</stp>
        <stp>MTG_GEN_CPR_6M</stp>
        <stp>20090610</stp>
        <stp>20090610</stp>
        <stp>[Copy of 02_cpr_main.xlsx]data!R308C9</stp>
        <stp>Dts=H</stp>
        <tr r="I308" s="2"/>
      </tp>
      <tp t="s">
        <v>#N/A Invalid Field</v>
        <stp/>
        <stp>##V3_BDHV12</stp>
        <stp>31391HFQ2 Mtge</stp>
        <stp>MTG_GEN_CPR_6M</stp>
        <stp>20090610</stp>
        <stp>20090610</stp>
        <stp>[Copy of 02_cpr_main.xlsx]data!R236C9</stp>
        <stp>Dts=H</stp>
        <tr r="I236" s="2"/>
      </tp>
      <tp t="s">
        <v>#N/A Invalid Field</v>
        <stp/>
        <stp>##V3_BDHV12</stp>
        <stp>31371LBD0 Mtge</stp>
        <stp>MTG_GEN_CPR_3M</stp>
        <stp>20090610</stp>
        <stp>20090610</stp>
        <stp>[Copy of 02_cpr_main.xlsx]data!R174C8</stp>
        <stp>Dts=H</stp>
        <tr r="H174" s="2"/>
      </tp>
      <tp t="s">
        <v>#N/A Invalid Field</v>
        <stp/>
        <stp>##V3_BDHV12</stp>
        <stp>31414HDB0 Mtge</stp>
        <stp>MTG_GEN_CPR_3M</stp>
        <stp>20090610</stp>
        <stp>20090610</stp>
        <stp>[Copy of 02_cpr_main.xlsx]data!R439C8</stp>
        <stp>Dts=H</stp>
        <tr r="H439" s="2"/>
      </tp>
      <tp t="s">
        <v>#N/A Invalid Field</v>
        <stp/>
        <stp>##V3_BDHV12</stp>
        <stp>31385JJF6 Mtge</stp>
        <stp>MTG_GEN_CPR_6M</stp>
        <stp>20090610</stp>
        <stp>20090610</stp>
        <stp>[Copy of 02_cpr_main.xlsx]data!R215C9</stp>
        <stp>Dts=H</stp>
        <tr r="I215" s="2"/>
      </tp>
      <tp t="s">
        <v>#N/A Invalid Field</v>
        <stp/>
        <stp>##V3_BDHV12</stp>
        <stp>31403C6L0 Mtge</stp>
        <stp>MTG_GEN_CPR_6M</stp>
        <stp>20090610</stp>
        <stp>20090610</stp>
        <stp>[Copy of 02_cpr_main.xlsx]data!R293C9</stp>
        <stp>Dts=H</stp>
        <tr r="I293" s="2"/>
      </tp>
      <tp t="s">
        <v>#N/A Invalid Field</v>
        <stp/>
        <stp>##V3_BDHV12</stp>
        <stp>36201JFW4 Mtge</stp>
        <stp>MTG_GEN_CPR_6M</stp>
        <stp>20090610</stp>
        <stp>20090610</stp>
        <stp>[Copy of 02_cpr_main.xlsx]data!R472C9</stp>
        <stp>Dts=H</stp>
        <tr r="I472" s="2"/>
      </tp>
      <tp t="s">
        <v>#N/A Invalid Field</v>
        <stp/>
        <stp>##V3_BDHV12</stp>
        <stp>31402CPL0 Mtge</stp>
        <stp>MTG_GEN_CPR_3M</stp>
        <stp>20090610</stp>
        <stp>20090610</stp>
        <stp>[Copy of 02_cpr_main.xlsx]data!R264C8</stp>
        <stp>Dts=H</stp>
        <tr r="H264" s="2"/>
      </tp>
      <tp t="s">
        <v>#N/A Invalid Field</v>
        <stp/>
        <stp>##V3_BDHV12</stp>
        <stp>31400AMX3 Mtge</stp>
        <stp>MTG_GEN_CPR_6M</stp>
        <stp>20090610</stp>
        <stp>20090610</stp>
        <stp>[Copy of 02_cpr_main.xlsx]data!R244C9</stp>
        <stp>Dts=H</stp>
        <tr r="I244" s="2"/>
      </tp>
      <tp t="s">
        <v>#N/A Invalid Field</v>
        <stp/>
        <stp>##V3_BDHV12</stp>
        <stp>31402BGQ1 Mtge</stp>
        <stp>MTG_GEN_CPR_6M</stp>
        <stp>20090610</stp>
        <stp>20090610</stp>
        <stp>[Copy of 02_cpr_main.xlsx]data!R262C9</stp>
        <stp>Dts=H</stp>
        <tr r="I262" s="2"/>
      </tp>
      <tp t="s">
        <v>#N/A Invalid Field</v>
        <stp/>
        <stp>##V3_BDHV12</stp>
        <stp>31403DWU9 Mtge</stp>
        <stp>MTG_GEN_CPR_6M</stp>
        <stp>20090331</stp>
        <stp>20090331</stp>
        <stp>[Copy of 02_cpr_main.xlsx]data!R304C6</stp>
        <stp>Dts=H</stp>
        <tr r="F304" s="2"/>
      </tp>
      <tp t="s">
        <v>#N/A Invalid Field</v>
        <stp/>
        <stp>##V3_BDHV12</stp>
        <stp>31403DQT9 Mtge</stp>
        <stp>MTG_GEN_CPR_6M</stp>
        <stp>20090331</stp>
        <stp>20090331</stp>
        <stp>[Copy of 02_cpr_main.xlsx]data!R300C6</stp>
        <stp>Dts=H</stp>
        <tr r="F300" s="2"/>
      </tp>
      <tp t="s">
        <v>#N/A Invalid Field</v>
        <stp/>
        <stp>##V3_BDHV12</stp>
        <stp>31416BZ68 Mtge</stp>
        <stp>MTG_GEN_CPR_3M</stp>
        <stp>20090331</stp>
        <stp>20090331</stp>
        <stp>[Copy of 02_cpr_main.xlsx]data!R461C5</stp>
        <stp>Dts=H</stp>
        <tr r="E461" s="2"/>
      </tp>
      <tp t="s">
        <v>#N/A Invalid Field</v>
        <stp/>
        <stp>##V3_BDHV12</stp>
        <stp>31406DJX5 Mtge</stp>
        <stp>MTG_GEN_CPR_3M</stp>
        <stp>20090610</stp>
        <stp>20090610</stp>
        <stp>[Copy of 02_cpr_main.xlsx]data!R335C8</stp>
        <stp>Dts=H</stp>
        <tr r="H335" s="2"/>
      </tp>
      <tp t="s">
        <v>#N/A Invalid Field</v>
        <stp/>
        <stp>##V3_BDHV12</stp>
        <stp>31410C3Q3 Mtge</stp>
        <stp>MTG_GEN_CPR_3M</stp>
        <stp>20090610</stp>
        <stp>20090610</stp>
        <stp>[Copy of 02_cpr_main.xlsx]data!R357C8</stp>
        <stp>Dts=H</stp>
        <tr r="H357" s="2"/>
      </tp>
      <tp t="s">
        <v>#N/A Invalid Field</v>
        <stp/>
        <stp>##V3_BDHV12</stp>
        <stp>31402CTT9 Mtge</stp>
        <stp>MTG_GEN_CPR_6M</stp>
        <stp>20090331</stp>
        <stp>20090331</stp>
        <stp>[Copy of 02_cpr_main.xlsx]data!R266C6</stp>
        <stp>Dts=H</stp>
        <tr r="F266" s="2"/>
      </tp>
      <tp t="s">
        <v>#N/A Invalid Field</v>
        <stp/>
        <stp>##V3_BDHV12</stp>
        <stp>31415BNG0 Mtge</stp>
        <stp>MTG_GEN_CPR_6M</stp>
        <stp>20090610</stp>
        <stp>20090610</stp>
        <stp>[Copy of 02_cpr_main.xlsx]data!R448C9</stp>
        <stp>Dts=H</stp>
        <tr r="I448" s="2"/>
      </tp>
      <tp t="s">
        <v>#N/A Invalid Field</v>
        <stp/>
        <stp>##V3_BDHV12</stp>
        <stp>31401GLF9 Mtge</stp>
        <stp>MTG_GEN_CPR_3M</stp>
        <stp>20090331</stp>
        <stp>20090331</stp>
        <stp>[Copy of 02_cpr_main.xlsx]data!R253C5</stp>
        <stp>Dts=H</stp>
        <tr r="E253" s="2"/>
      </tp>
      <tp t="s">
        <v>#N/A Invalid Field</v>
        <stp/>
        <stp>##V3_BDHV12</stp>
        <stp>31402DP79 Mtge</stp>
        <stp>MTG_GEN_CPR_6M</stp>
        <stp>20090331</stp>
        <stp>20090331</stp>
        <stp>[Copy of 02_cpr_main.xlsx]data!R270C6</stp>
        <stp>Dts=H</stp>
        <tr r="F270" s="2"/>
      </tp>
      <tp t="s">
        <v>#N/A Invalid Field</v>
        <stp/>
        <stp>##V3_BDHV12</stp>
        <stp>31413AGJ6 Mtge</stp>
        <stp>MTG_GEN_CPR_6M</stp>
        <stp>20090610</stp>
        <stp>20090610</stp>
        <stp>[Copy of 02_cpr_main.xlsx]data!R416C9</stp>
        <stp>Dts=H</stp>
        <tr r="I416" s="2"/>
      </tp>
      <tp t="s">
        <v>#N/A Invalid Field</v>
        <stp/>
        <stp>##V3_BDHV12</stp>
        <stp>31410F6J9 Mtge</stp>
        <stp>MTG_GEN_CPR_3M</stp>
        <stp>20090331</stp>
        <stp>20090331</stp>
        <stp>[Copy of 02_cpr_main.xlsx]data!R363C5</stp>
        <stp>Dts=H</stp>
        <tr r="E363" s="2"/>
      </tp>
      <tp t="s">
        <v>#N/A Invalid Field</v>
        <stp/>
        <stp>##V3_BDHV12</stp>
        <stp>31409EW80 Mtge</stp>
        <stp>MTG_GEN_CPR_3M</stp>
        <stp>20090331</stp>
        <stp>20090331</stp>
        <stp>[Copy of 02_cpr_main.xlsx]data!R353C5</stp>
        <stp>Dts=H</stp>
        <tr r="E353" s="2"/>
      </tp>
      <tp t="s">
        <v>#N/A Invalid Field</v>
        <stp/>
        <stp>##V3_BDHV12</stp>
        <stp>31410EPE2 Mtge</stp>
        <stp>MTG_GEN_CPR_6M</stp>
        <stp>20090610</stp>
        <stp>20090610</stp>
        <stp>[Copy of 02_cpr_main.xlsx]data!R361C9</stp>
        <stp>Dts=H</stp>
        <tr r="I361" s="2"/>
      </tp>
      <tp t="s">
        <v>#N/A Invalid Field</v>
        <stp/>
        <stp>##V3_BDHV12</stp>
        <stp>31298EZD0 Mtge</stp>
        <stp>MTG_GEN_CPR_6M</stp>
        <stp>20090331</stp>
        <stp>20090331</stp>
        <stp>[Copy of 02_cpr_main.xlsx]data!R152C6</stp>
        <stp>Dts=H</stp>
        <tr r="F152" s="2"/>
      </tp>
      <tp t="s">
        <v>#N/A Invalid Field</v>
        <stp/>
        <stp>##V3_BDHV12</stp>
        <stp>31405AZR7 Mtge</stp>
        <stp>MTG_GEN_CPR_6M</stp>
        <stp>20090610</stp>
        <stp>20090610</stp>
        <stp>[Copy of 02_cpr_main.xlsx]data!R323C9</stp>
        <stp>Dts=H</stp>
        <tr r="I323" s="2"/>
      </tp>
      <tp t="s">
        <v>#N/A Invalid Field</v>
        <stp/>
        <stp>##V3_BDHV12</stp>
        <stp>31413BEW7 Mtge</stp>
        <stp>MTG_GEN_CPR_3M</stp>
        <stp>20090610</stp>
        <stp>20090610</stp>
        <stp>[Copy of 02_cpr_main.xlsx]data!R417C8</stp>
        <stp>Dts=H</stp>
        <tr r="H417" s="2"/>
      </tp>
      <tp t="s">
        <v>#N/A Invalid Field</v>
        <stp/>
        <stp>##V3_BDHV12</stp>
        <stp>31412B2P6 Mtge</stp>
        <stp>MTG_GEN_CPR_3M</stp>
        <stp>20090610</stp>
        <stp>20090610</stp>
        <stp>[Copy of 02_cpr_main.xlsx]data!R401C8</stp>
        <stp>Dts=H</stp>
        <tr r="H401" s="2"/>
      </tp>
      <tp t="s">
        <v>#N/A Invalid Field</v>
        <stp/>
        <stp>##V3_BDHV12</stp>
        <stp>31376J2J7 Mtge</stp>
        <stp>MTG_GEN_CPR_3M</stp>
        <stp>20090610</stp>
        <stp>20090610</stp>
        <stp>[Copy of 02_cpr_main.xlsx]data!R185C8</stp>
        <stp>Dts=H</stp>
        <tr r="H185" s="2"/>
      </tp>
      <tp t="s">
        <v>#N/A Invalid Field</v>
        <stp/>
        <stp>##V3_BDHV12</stp>
        <stp>31402D7K0 Mtge</stp>
        <stp>MTG_GEN_CPR_3M</stp>
        <stp>20090610</stp>
        <stp>20090610</stp>
        <stp>[Copy of 02_cpr_main.xlsx]data!R268C8</stp>
        <stp>Dts=H</stp>
        <tr r="H268" s="2"/>
      </tp>
      <tp t="s">
        <v>#N/A Invalid Field</v>
        <stp/>
        <stp>##V3_BDHV12</stp>
        <stp>31382KQ43 Mtge</stp>
        <stp>MTG_GEN_CPR_3M</stp>
        <stp>20090610</stp>
        <stp>20090610</stp>
        <stp>[Copy of 02_cpr_main.xlsx]data!R197C8</stp>
        <stp>Dts=H</stp>
        <tr r="H197" s="2"/>
      </tp>
      <tp t="s">
        <v>#N/A Invalid Field</v>
        <stp/>
        <stp>##V3_BDHV12</stp>
        <stp>31410DVM9 Mtge</stp>
        <stp>MTG_GEN_CPR_3M</stp>
        <stp>20090331</stp>
        <stp>20090331</stp>
        <stp>[Copy of 02_cpr_main.xlsx]data!R359C5</stp>
        <stp>Dts=H</stp>
        <tr r="E359" s="2"/>
      </tp>
      <tp t="s">
        <v>#N/A Invalid Field</v>
        <stp/>
        <stp>##V3_BDHV12</stp>
        <stp>31408EN81 Mtge</stp>
        <stp>MTG_GEN_CPR_3M</stp>
        <stp>20090331</stp>
        <stp>20090331</stp>
        <stp>[Copy of 02_cpr_main.xlsx]data!R349C5</stp>
        <stp>Dts=H</stp>
        <tr r="E349" s="2"/>
      </tp>
      <tp>
        <v>1.82</v>
        <stp/>
        <stp>##V3_BDPV12</stp>
        <stp>3128QS6G6 Mtge</stp>
        <stp>MTG_PREPAY_SPEED</stp>
        <stp>[Copy of 02_cpr_main.xlsx]data!R110C12</stp>
        <tr r="L110" s="2"/>
      </tp>
      <tp t="s">
        <v>#N/A Invalid Field</v>
        <stp/>
        <stp>##V3_BDHV12</stp>
        <stp>312965L87 Mtge</stp>
        <stp>MTG_GEN_CPR_3M</stp>
        <stp>20090610</stp>
        <stp>20090610</stp>
        <stp>[Copy of 02_cpr_main.xlsx]data!R139C8</stp>
        <stp>Dts=H</stp>
        <tr r="H139" s="2"/>
      </tp>
      <tp t="s">
        <v>#N/A Invalid Field</v>
        <stp/>
        <stp>##V3_BDHV12</stp>
        <stp>312962EA7 Mtge</stp>
        <stp>MTG_GEN_CPR_3M</stp>
        <stp>20090610</stp>
        <stp>20090610</stp>
        <stp>[Copy of 02_cpr_main.xlsx]data!R137C8</stp>
        <stp>Dts=H</stp>
        <tr r="H137" s="2"/>
      </tp>
      <tp>
        <v>11.64</v>
        <stp/>
        <stp>##V3_BDPV12</stp>
        <stp>3128Q2GG2 Mtge</stp>
        <stp>MTG_PREPAY_SPEED</stp>
        <stp>[Copy of 02_cpr_main.xlsx]data!R106C12</stp>
        <tr r="L106" s="2"/>
      </tp>
      <tp t="s">
        <v>#N/A Invalid Field</v>
        <stp/>
        <stp>##V3_BDHV12</stp>
        <stp>312967XJ6 Mtge</stp>
        <stp>MTG_GEN_CPR_6M</stp>
        <stp>20090610</stp>
        <stp>20090610</stp>
        <stp>[Copy of 02_cpr_main.xlsx]data!R142C9</stp>
        <stp>Dts=H</stp>
        <tr r="I142" s="2"/>
      </tp>
      <tp t="s">
        <v>#N/A Invalid Field</v>
        <stp/>
        <stp>##V3_BDHV12</stp>
        <stp>3128GHCL3 Mtge</stp>
        <stp>MTG_GEN_CPR_12M</stp>
        <stp>20090331</stp>
        <stp>20090331</stp>
        <stp>[Copy of 02_cpr_main.xlsx]data!R57C7</stp>
        <stp>Dts=H</stp>
        <tr r="G57" s="2"/>
      </tp>
      <tp t="s">
        <v>#N/A Invalid Field</v>
        <stp/>
        <stp>##V3_BDHV12</stp>
        <stp>3128GDQW3 Mtge</stp>
        <stp>MTG_GEN_CPR_12M</stp>
        <stp>20090331</stp>
        <stp>20090331</stp>
        <stp>[Copy of 02_cpr_main.xlsx]data!R47C7</stp>
        <stp>Dts=H</stp>
        <tr r="G47" s="2"/>
      </tp>
      <tp t="s">
        <v>#N/A Invalid Field</v>
        <stp/>
        <stp>##V3_BDHV12</stp>
        <stp>3128GDAZ3 Mtge</stp>
        <stp>MTG_GEN_CPR_12M</stp>
        <stp>20090331</stp>
        <stp>20090331</stp>
        <stp>[Copy of 02_cpr_main.xlsx]data!R44C7</stp>
        <stp>Dts=H</stp>
        <tr r="G44" s="2"/>
      </tp>
    </main>
    <main first="bloomberg.rtd">
      <tp>
        <v>129</v>
        <stp/>
        <stp>##V3_BDPV12</stp>
        <stp>01F050643 Mtge</stp>
        <stp>MTG_PREPAY_SPEED</stp>
        <stp>[Copy of 02_cpr_main.xlsx]data!R6C12</stp>
        <tr r="L6" s="2"/>
      </tp>
      <tp>
        <v>129</v>
        <stp/>
        <stp>##V3_BDPV12</stp>
        <stp>01F050650 Mtge</stp>
        <stp>MTG_PREPAY_SPEED</stp>
        <stp>[Copy of 02_cpr_main.xlsx]data!R7C12</stp>
        <tr r="L7" s="2"/>
      </tp>
      <tp>
        <v>195</v>
        <stp/>
        <stp>##V3_BDPV12</stp>
        <stp>01F050445 Mtge</stp>
        <stp>MTG_PREPAY_SPEED</stp>
        <stp>[Copy of 02_cpr_main.xlsx]data!R4C12</stp>
        <tr r="L4" s="2"/>
      </tp>
      <tp>
        <v>151</v>
        <stp/>
        <stp>##V3_BDPV12</stp>
        <stp>01F040446 Mtge</stp>
        <stp>MTG_PREPAY_SPEED</stp>
        <stp>[Copy of 02_cpr_main.xlsx]data!R2C12</stp>
        <tr r="L2" s="2"/>
      </tp>
      <tp>
        <v>195</v>
        <stp/>
        <stp>##V3_BDPV12</stp>
        <stp>01F050452 Mtge</stp>
        <stp>MTG_PREPAY_SPEED</stp>
        <stp>[Copy of 02_cpr_main.xlsx]data!R5C12</stp>
        <tr r="L5" s="2"/>
      </tp>
    </main>
    <main first="bloomberg.rtd">
      <tp t="s">
        <v>#N/A Invalid Field</v>
        <stp/>
        <stp>##V3_BDHV12</stp>
        <stp>31411WA49 Mtge</stp>
        <stp>MTG_GEN_CPR_3M</stp>
        <stp>20090331</stp>
        <stp>20090331</stp>
        <stp>[Copy of 02_cpr_main.xlsx]data!R397C5</stp>
        <stp>Dts=H</stp>
        <tr r="E397" s="2"/>
      </tp>
      <tp t="s">
        <v>#N/A Invalid Field</v>
        <stp/>
        <stp>##V3_BDHV12</stp>
        <stp>31380V6X9 Mtge</stp>
        <stp>MTG_GEN_CPR_6M</stp>
        <stp>20090331</stp>
        <stp>20090331</stp>
        <stp>[Copy of 02_cpr_main.xlsx]data!R193C6</stp>
        <stp>Dts=H</stp>
        <tr r="F193" s="2"/>
      </tp>
      <tp t="s">
        <v>#N/A Invalid Field</v>
        <stp/>
        <stp>##V3_BDHV12</stp>
        <stp>31402TVS1 Mtge</stp>
        <stp>MTG_GEN_CPR_3M</stp>
        <stp>20090610</stp>
        <stp>20090610</stp>
        <stp>[Copy of 02_cpr_main.xlsx]data!R288C8</stp>
        <stp>Dts=H</stp>
        <tr r="H288" s="2"/>
      </tp>
      <tp t="s">
        <v>#N/A Invalid Field</v>
        <stp/>
        <stp>##V3_BDHV12</stp>
        <stp>31411UDL2 Mtge</stp>
        <stp>MTG_GEN_CPR_6M</stp>
        <stp>20090610</stp>
        <stp>20090610</stp>
        <stp>[Copy of 02_cpr_main.xlsx]data!R395C9</stp>
        <stp>Dts=H</stp>
        <tr r="I395" s="2"/>
      </tp>
      <tp>
        <v>0</v>
        <stp/>
        <stp>##V3_BDPV12</stp>
        <stp>31385XFF9 Mtge</stp>
        <stp>MTG_PREPAY_SPEED</stp>
        <stp>[Copy of 02_cpr_main.xlsx]data!R222C12</stp>
        <tr r="L222" s="2"/>
      </tp>
      <tp t="s">
        <v>#N/A Invalid Field</v>
        <stp/>
        <stp>##V3_BDHV12</stp>
        <stp>31410TVY8 Mtge</stp>
        <stp>MTG_GEN_CPR_3M</stp>
        <stp>20090331</stp>
        <stp>20090331</stp>
        <stp>[Copy of 02_cpr_main.xlsx]data!R384C5</stp>
        <stp>Dts=H</stp>
        <tr r="E384" s="2"/>
      </tp>
      <tp t="s">
        <v>#N/A Invalid Field</v>
        <stp/>
        <stp>##V3_BDHV12</stp>
        <stp>31417YAY3 Mtge</stp>
        <stp>MTG_GEN_CPR_6M</stp>
        <stp>20090610</stp>
        <stp>20090610</stp>
        <stp>[Copy of 02_cpr_main.xlsx]data!R462C9</stp>
        <stp>Dts=H</stp>
        <tr r="I462" s="2"/>
      </tp>
      <tp t="s">
        <v>#N/A Invalid Field</v>
        <stp/>
        <stp>##V3_BDHV12</stp>
        <stp>31410V2L3 Mtge</stp>
        <stp>MTG_GEN_CPR_6M</stp>
        <stp>20090610</stp>
        <stp>20090610</stp>
        <stp>[Copy of 02_cpr_main.xlsx]data!R386C9</stp>
        <stp>Dts=H</stp>
        <tr r="I386" s="2"/>
      </tp>
      <tp t="s">
        <v>#N/A Invalid Field</v>
        <stp/>
        <stp>##V3_BDHV12</stp>
        <stp>31402UHZ8 Mtge</stp>
        <stp>MTG_GEN_CPR_6M</stp>
        <stp>20090331</stp>
        <stp>20090331</stp>
        <stp>[Copy of 02_cpr_main.xlsx]data!R289C6</stp>
        <stp>Dts=H</stp>
        <tr r="F289" s="2"/>
      </tp>
      <tp t="s">
        <v>#N/A Invalid Field</v>
        <stp/>
        <stp>##V3_BDHV12</stp>
        <stp>31409XHN2 Mtge</stp>
        <stp>MTG_GEN_CPR_6M</stp>
        <stp>20090331</stp>
        <stp>20090331</stp>
        <stp>[Copy of 02_cpr_main.xlsx]data!R356C6</stp>
        <stp>Dts=H</stp>
        <tr r="F356" s="2"/>
      </tp>
      <tp>
        <v>123</v>
        <stp/>
        <stp>##V3_BDPV12</stp>
        <stp>36200EDN8 Mtge</stp>
        <stp>MTG_PREPAY_SPEED</stp>
        <stp>[Copy of 02_cpr_main.xlsx]data!R463C12</stp>
        <tr r="L463" s="2"/>
      </tp>
      <tp t="s">
        <v>#N/A N/A</v>
        <stp/>
        <stp>##V3_BDPV12</stp>
        <stp>31294J5G9 Mtge</stp>
        <stp>MTG_PREPAY_SPEED</stp>
        <stp>[Copy of 02_cpr_main.xlsx]data!R127C12</stp>
        <tr r="L127" s="2"/>
      </tp>
      <tp t="s">
        <v>#N/A Invalid Field</v>
        <stp/>
        <stp>##V3_BDHV12</stp>
        <stp>31412XSV7 Mtge</stp>
        <stp>MTG_GEN_CPR_3M</stp>
        <stp>20090610</stp>
        <stp>20090610</stp>
        <stp>[Copy of 02_cpr_main.xlsx]data!R414C8</stp>
        <stp>Dts=H</stp>
        <tr r="H414" s="2"/>
      </tp>
      <tp t="s">
        <v>#N/A Invalid Field</v>
        <stp/>
        <stp>##V3_BDHV12</stp>
        <stp>31410QPT2 Mtge</stp>
        <stp>MTG_GEN_CPR_3M</stp>
        <stp>20090610</stp>
        <stp>20090610</stp>
        <stp>[Copy of 02_cpr_main.xlsx]data!R381C8</stp>
        <stp>Dts=H</stp>
        <tr r="H381" s="2"/>
      </tp>
      <tp t="s">
        <v>#N/A Invalid Field</v>
        <stp/>
        <stp>##V3_BDHV12</stp>
        <stp>31411YGA5 Mtge</stp>
        <stp>MTG_GEN_CPR_6M</stp>
        <stp>20090610</stp>
        <stp>20090610</stp>
        <stp>[Copy of 02_cpr_main.xlsx]data!R400C9</stp>
        <stp>Dts=H</stp>
        <tr r="I400" s="2"/>
      </tp>
      <tp t="s">
        <v>#N/A Invalid Field</v>
        <stp/>
        <stp>##V3_BDHV12</stp>
        <stp>36201YC95 Mtge</stp>
        <stp>MTG_GEN_CPR_6M</stp>
        <stp>20090610</stp>
        <stp>20090610</stp>
        <stp>[Copy of 02_cpr_main.xlsx]data!R474C9</stp>
        <stp>Dts=H</stp>
        <tr r="I474" s="2"/>
      </tp>
      <tp t="s">
        <v>#N/A Invalid Field</v>
        <stp/>
        <stp>##V3_BDHV12</stp>
        <stp>31402RH28 Mtge</stp>
        <stp>MTG_GEN_CPR_6M</stp>
        <stp>20090331</stp>
        <stp>20090331</stp>
        <stp>[Copy of 02_cpr_main.xlsx]data!R284C6</stp>
        <stp>Dts=H</stp>
        <tr r="F284" s="2"/>
      </tp>
      <tp t="s">
        <v>#N/A Invalid Field</v>
        <stp/>
        <stp>##V3_BDHV12</stp>
        <stp>3128M4NJ8 Mtge</stp>
        <stp>MTG_GEN_CPR_12M</stp>
        <stp>20090331</stp>
        <stp>20090331</stp>
        <stp>[Copy of 02_cpr_main.xlsx]data!R84C7</stp>
        <stp>Dts=H</stp>
        <tr r="G84" s="2"/>
      </tp>
      <tp t="s">
        <v>#N/A Invalid Field</v>
        <stp/>
        <stp>##V3_BDHV12</stp>
        <stp>31411SNF9 Mtge</stp>
        <stp>MTG_GEN_CPR_3M</stp>
        <stp>20090331</stp>
        <stp>20090331</stp>
        <stp>[Copy of 02_cpr_main.xlsx]data!R394C5</stp>
        <stp>Dts=H</stp>
        <tr r="E394" s="2"/>
      </tp>
      <tp t="s">
        <v>PSA</v>
        <stp/>
        <stp>##V3_BDPV12</stp>
        <stp>31283H4W2 Mtge</stp>
        <stp>MTG_PREPAY_TYP</stp>
        <stp>[Copy of 02_cpr_main.xlsx]data!R2C11</stp>
        <tr r="K2" s="2"/>
      </tp>
      <tp t="s">
        <v>PSA</v>
        <stp/>
        <stp>##V3_BDPV12</stp>
        <stp>31283H4W2 Mtge</stp>
        <stp>MTG_PREPAY_TYP</stp>
        <stp>[Copy of 02_cpr_main.xlsx]data!R3C11</stp>
        <tr r="K3" s="2"/>
      </tp>
      <tp t="s">
        <v>PSA</v>
        <stp/>
        <stp>##V3_BDPV12</stp>
        <stp>31283H4W2 Mtge</stp>
        <stp>MTG_PREPAY_TYP</stp>
        <stp>[Copy of 02_cpr_main.xlsx]data!R4C11</stp>
        <tr r="K4" s="2"/>
      </tp>
      <tp t="s">
        <v>PSA</v>
        <stp/>
        <stp>##V3_BDPV12</stp>
        <stp>31283H4W2 Mtge</stp>
        <stp>MTG_PREPAY_TYP</stp>
        <stp>[Copy of 02_cpr_main.xlsx]data!R5C11</stp>
        <tr r="K5" s="2"/>
      </tp>
      <tp t="s">
        <v>PSA</v>
        <stp/>
        <stp>##V3_BDPV12</stp>
        <stp>31283H4W2 Mtge</stp>
        <stp>MTG_PREPAY_TYP</stp>
        <stp>[Copy of 02_cpr_main.xlsx]data!R6C11</stp>
        <tr r="K6" s="2"/>
      </tp>
      <tp t="s">
        <v>PSA</v>
        <stp/>
        <stp>##V3_BDPV12</stp>
        <stp>31283H4W2 Mtge</stp>
        <stp>MTG_PREPAY_TYP</stp>
        <stp>[Copy of 02_cpr_main.xlsx]data!R7C11</stp>
        <tr r="K7" s="2"/>
      </tp>
      <tp t="s">
        <v>PSA</v>
        <stp/>
        <stp>##V3_BDPV12</stp>
        <stp>31283H4W2 Mtge</stp>
        <stp>MTG_PREPAY_TYP</stp>
        <stp>[Copy of 02_cpr_main.xlsx]data!R8C11</stp>
        <tr r="K8" s="2"/>
      </tp>
      <tp t="s">
        <v>PSA</v>
        <stp/>
        <stp>##V3_BDPV12</stp>
        <stp>31283H4W2 Mtge</stp>
        <stp>MTG_PREPAY_TYP</stp>
        <stp>[Copy of 02_cpr_main.xlsx]data!R9C11</stp>
        <tr r="K9" s="2"/>
      </tp>
      <tp t="s">
        <v>#N/A Invalid Field</v>
        <stp/>
        <stp>##V3_BDHV12</stp>
        <stp>36290V5G5 Mtge</stp>
        <stp>MTG_GEN_CPR_3M</stp>
        <stp>20090610</stp>
        <stp>20090610</stp>
        <stp>[Copy of 02_cpr_main.xlsx]data!R497C8</stp>
        <stp>Dts=H</stp>
        <tr r="H497" s="2"/>
      </tp>
      <tp t="s">
        <v>#N/A Invalid Field</v>
        <stp/>
        <stp>##V3_BDHV12</stp>
        <stp>31412YFJ6 Mtge</stp>
        <stp>MTG_GEN_CPR_6M</stp>
        <stp>20090610</stp>
        <stp>20090610</stp>
        <stp>[Copy of 02_cpr_main.xlsx]data!R415C9</stp>
        <stp>Dts=H</stp>
        <tr r="I415" s="2"/>
      </tp>
      <tp t="s">
        <v>#N/A Invalid Field</v>
        <stp/>
        <stp>##V3_BDHV12</stp>
        <stp>3128M5ED8 Mtge</stp>
        <stp>MTG_GEN_CPR_12M</stp>
        <stp>20090331</stp>
        <stp>20090331</stp>
        <stp>[Copy of 02_cpr_main.xlsx]data!R86C7</stp>
        <stp>Dts=H</stp>
        <tr r="G86" s="2"/>
      </tp>
      <tp t="s">
        <v>#N/A Invalid Field</v>
        <stp/>
        <stp>##V3_BDHV12</stp>
        <stp>31411RCQ9 Mtge</stp>
        <stp>MTG_GEN_CPR_3M</stp>
        <stp>20090331</stp>
        <stp>20090331</stp>
        <stp>[Copy of 02_cpr_main.xlsx]data!R393C5</stp>
        <stp>Dts=H</stp>
        <tr r="E393" s="2"/>
      </tp>
      <tp>
        <v>125</v>
        <stp/>
        <stp>##V3_BDPV12</stp>
        <stp>31368HMH3 Mtge</stp>
        <stp>MTG_PREPAY_SPEED</stp>
        <stp>[Copy of 02_cpr_main.xlsx]data!R162C12</stp>
        <tr r="L162" s="2"/>
      </tp>
      <tp t="s">
        <v>#N/A Invalid Field</v>
        <stp/>
        <stp>##V3_BDHV12</stp>
        <stp>31380RMS1 Mtge</stp>
        <stp>MTG_GEN_CPR_6M</stp>
        <stp>20090610</stp>
        <stp>20090610</stp>
        <stp>[Copy of 02_cpr_main.xlsx]data!R192C9</stp>
        <stp>Dts=H</stp>
        <tr r="I192" s="2"/>
      </tp>
      <tp t="s">
        <v>#N/A Invalid Field</v>
        <stp/>
        <stp>##V3_BDHV12</stp>
        <stp>31402RD30 Mtge</stp>
        <stp>MTG_GEN_CPR_6M</stp>
        <stp>20090610</stp>
        <stp>20090610</stp>
        <stp>[Copy of 02_cpr_main.xlsx]data!R281C9</stp>
        <stp>Dts=H</stp>
        <tr r="I281" s="2"/>
      </tp>
      <tp t="s">
        <v>#N/A Invalid Field</v>
        <stp/>
        <stp>##V3_BDHV12</stp>
        <stp>31385XEC7 Mtge</stp>
        <stp>MTG_GEN_CPR_6M</stp>
        <stp>20090610</stp>
        <stp>20090610</stp>
        <stp>[Copy of 02_cpr_main.xlsx]data!R221C9</stp>
        <stp>Dts=H</stp>
        <tr r="I221" s="2"/>
      </tp>
      <tp t="s">
        <v>#N/A Invalid Field</v>
        <stp/>
        <stp>##V3_BDHV12</stp>
        <stp>31385XLM7 Mtge</stp>
        <stp>MTG_GEN_CPR_6M</stp>
        <stp>20090610</stp>
        <stp>20090610</stp>
        <stp>[Copy of 02_cpr_main.xlsx]data!R224C9</stp>
        <stp>Dts=H</stp>
        <tr r="I224" s="2"/>
      </tp>
      <tp t="s">
        <v>#N/A Invalid Field</v>
        <stp/>
        <stp>##V3_BDHV12</stp>
        <stp>31385XLV7 Mtge</stp>
        <stp>MTG_GEN_CPR_6M</stp>
        <stp>20090610</stp>
        <stp>20090610</stp>
        <stp>[Copy of 02_cpr_main.xlsx]data!R225C9</stp>
        <stp>Dts=H</stp>
        <tr r="I225" s="2"/>
      </tp>
      <tp>
        <v>169</v>
        <stp/>
        <stp>##V3_BDPV12</stp>
        <stp>31409XHN2 Mtge</stp>
        <stp>MTG_PREPAY_SPEED</stp>
        <stp>[Copy of 02_cpr_main.xlsx]data!R356C12</stp>
        <tr r="L356" s="2"/>
      </tp>
      <tp t="s">
        <v>#N/A Invalid Field</v>
        <stp/>
        <stp>##V3_BDHV12</stp>
        <stp>31402Q2X8 Mtge</stp>
        <stp>MTG_GEN_CPR_6M</stp>
        <stp>20090331</stp>
        <stp>20090331</stp>
        <stp>[Copy of 02_cpr_main.xlsx]data!R273C6</stp>
        <stp>Dts=H</stp>
        <tr r="F273" s="2"/>
      </tp>
      <tp t="s">
        <v>#N/A Invalid Field</v>
        <stp/>
        <stp>##V3_BDHV12</stp>
        <stp>31391QTJ3 Mtge</stp>
        <stp>MTG_GEN_CPR_6M</stp>
        <stp>20090610</stp>
        <stp>20090610</stp>
        <stp>[Copy of 02_cpr_main.xlsx]data!R240C9</stp>
        <stp>Dts=H</stp>
        <tr r="I240" s="2"/>
      </tp>
      <tp t="s">
        <v>#N/A Invalid Field</v>
        <stp/>
        <stp>##V3_BDHV12</stp>
        <stp>31402QYZ8 Mtge</stp>
        <stp>MTG_GEN_CPR_6M</stp>
        <stp>20090331</stp>
        <stp>20090331</stp>
        <stp>[Copy of 02_cpr_main.xlsx]data!R278C6</stp>
        <stp>Dts=H</stp>
        <tr r="F278" s="2"/>
      </tp>
      <tp t="s">
        <v>#N/A Invalid Field</v>
        <stp/>
        <stp>##V3_BDHV12</stp>
        <stp>31349SF40 Mtge</stp>
        <stp>MTG_GEN_CPR_6M</stp>
        <stp>20090331</stp>
        <stp>20090331</stp>
        <stp>[Copy of 02_cpr_main.xlsx]data!R157C6</stp>
        <stp>Dts=H</stp>
        <tr r="F157" s="2"/>
      </tp>
      <tp t="s">
        <v>#N/A Invalid Field</v>
        <stp/>
        <stp>##V3_BDHV12</stp>
        <stp>31391REW8 Mtge</stp>
        <stp>MTG_GEN_CPR_3M</stp>
        <stp>20090331</stp>
        <stp>20090331</stp>
        <stp>[Copy of 02_cpr_main.xlsx]data!R241C5</stp>
        <stp>Dts=H</stp>
        <tr r="E241" s="2"/>
      </tp>
      <tp t="s">
        <v>#N/A Invalid Field</v>
        <stp/>
        <stp>##V3_BDHV12</stp>
        <stp>31382TUC1 Mtge</stp>
        <stp>MTG_GEN_CPR_3M</stp>
        <stp>20090610</stp>
        <stp>20090610</stp>
        <stp>[Copy of 02_cpr_main.xlsx]data!R204C8</stp>
        <stp>Dts=H</stp>
        <tr r="H204" s="2"/>
      </tp>
      <tp t="s">
        <v>#N/A Invalid Field</v>
        <stp/>
        <stp>##V3_BDHV12</stp>
        <stp>31405VG76 Mtge</stp>
        <stp>MTG_GEN_CPR_6M</stp>
        <stp>20090610</stp>
        <stp>20090610</stp>
        <stp>[Copy of 02_cpr_main.xlsx]data!R329C9</stp>
        <stp>Dts=H</stp>
        <tr r="I329" s="2"/>
      </tp>
      <tp t="s">
        <v>#N/A Invalid Field</v>
        <stp/>
        <stp>##V3_BDHV12</stp>
        <stp>31415RR30 Mtge</stp>
        <stp>MTG_GEN_CPR_3M</stp>
        <stp>20090610</stp>
        <stp>20090610</stp>
        <stp>[Copy of 02_cpr_main.xlsx]data!R453C8</stp>
        <stp>Dts=H</stp>
        <tr r="H453" s="2"/>
      </tp>
      <tp t="s">
        <v>#N/A Invalid Field</v>
        <stp/>
        <stp>##V3_BDHV12</stp>
        <stp>31293UAS3 Mtge</stp>
        <stp>MTG_GEN_CPR_3M</stp>
        <stp>20090610</stp>
        <stp>20090610</stp>
        <stp>[Copy of 02_cpr_main.xlsx]data!R123C8</stp>
        <stp>Dts=H</stp>
        <tr r="H123" s="2"/>
      </tp>
      <tp t="s">
        <v>#N/A Invalid Field</v>
        <stp/>
        <stp>##V3_BDHV12</stp>
        <stp>31385W6V6 Mtge</stp>
        <stp>MTG_GEN_CPR_3M</stp>
        <stp>20090610</stp>
        <stp>20090610</stp>
        <stp>[Copy of 02_cpr_main.xlsx]data!R216C8</stp>
        <stp>Dts=H</stp>
        <tr r="H216" s="2"/>
      </tp>
      <tp t="s">
        <v>#N/A Invalid Field</v>
        <stp/>
        <stp>##V3_BDHV12</stp>
        <stp>31385WYC7 Mtge</stp>
        <stp>MTG_GEN_CPR_6M</stp>
        <stp>20090610</stp>
        <stp>20090610</stp>
        <stp>[Copy of 02_cpr_main.xlsx]data!R218C9</stp>
        <stp>Dts=H</stp>
        <tr r="I218" s="2"/>
      </tp>
      <tp t="s">
        <v>#N/A Invalid Field</v>
        <stp/>
        <stp>##V3_BDHV12</stp>
        <stp>31413UWD7 Mtge</stp>
        <stp>MTG_GEN_CPR_6M</stp>
        <stp>20090610</stp>
        <stp>20090610</stp>
        <stp>[Copy of 02_cpr_main.xlsx]data!R434C9</stp>
        <stp>Dts=H</stp>
        <tr r="I434" s="2"/>
      </tp>
      <tp t="s">
        <v>#N/A Invalid Field</v>
        <stp/>
        <stp>##V3_BDHV12</stp>
        <stp>31384VQR6 Mtge</stp>
        <stp>MTG_GEN_CPR_6M</stp>
        <stp>20090610</stp>
        <stp>20090610</stp>
        <stp>[Copy of 02_cpr_main.xlsx]data!R209C9</stp>
        <stp>Dts=H</stp>
        <tr r="I209" s="2"/>
      </tp>
      <tp t="s">
        <v>#N/A Invalid Field</v>
        <stp/>
        <stp>##V3_BDHV12</stp>
        <stp>31415SCE0 Mtge</stp>
        <stp>MTG_GEN_CPR_3M</stp>
        <stp>20090610</stp>
        <stp>20090610</stp>
        <stp>[Copy of 02_cpr_main.xlsx]data!R454C8</stp>
        <stp>Dts=H</stp>
        <tr r="H454" s="2"/>
      </tp>
      <tp t="s">
        <v>#N/A N/A</v>
        <stp/>
        <stp>##V3_BDPV12</stp>
        <stp>31385CHF3 Mtge</stp>
        <stp>MTG_PREPAY_SPEED</stp>
        <stp>[Copy of 02_cpr_main.xlsx]data!R213C12</stp>
        <tr r="L213" s="2"/>
      </tp>
      <tp t="s">
        <v>#N/A Invalid Field</v>
        <stp/>
        <stp>##V3_BDHV12</stp>
        <stp>31411X6Z3 Mtge</stp>
        <stp>MTG_GEN_CPR_3M</stp>
        <stp>20090610</stp>
        <stp>20090610</stp>
        <stp>[Copy of 02_cpr_main.xlsx]data!R398C8</stp>
        <stp>Dts=H</stp>
        <tr r="H398" s="2"/>
      </tp>
      <tp t="s">
        <v>#N/A Invalid Field</v>
        <stp/>
        <stp>##V3_BDHV12</stp>
        <stp>31382RRH8 Mtge</stp>
        <stp>MTG_GEN_CPR_6M</stp>
        <stp>20090331</stp>
        <stp>20090331</stp>
        <stp>[Copy of 02_cpr_main.xlsx]data!R202C6</stp>
        <stp>Dts=H</stp>
        <tr r="F202" s="2"/>
      </tp>
      <tp t="s">
        <v>#N/A Invalid Field</v>
        <stp/>
        <stp>##V3_BDHV12</stp>
        <stp>31415TF70 Mtge</stp>
        <stp>MTG_GEN_CPR_3M</stp>
        <stp>20090610</stp>
        <stp>20090610</stp>
        <stp>[Copy of 02_cpr_main.xlsx]data!R455C8</stp>
        <stp>Dts=H</stp>
        <tr r="H455" s="2"/>
      </tp>
      <tp t="s">
        <v>#N/A Invalid Field</v>
        <stp/>
        <stp>##V3_BDHV12</stp>
        <stp>31401WKE8 Mtge</stp>
        <stp>MTG_GEN_CPR_3M</stp>
        <stp>20090331</stp>
        <stp>20090331</stp>
        <stp>[Copy of 02_cpr_main.xlsx]data!R259C5</stp>
        <stp>Dts=H</stp>
        <tr r="E259" s="2"/>
      </tp>
      <tp t="s">
        <v>#N/A Invalid Field</v>
        <stp/>
        <stp>##V3_BDHV12</stp>
        <stp>31415TLM0 Mtge</stp>
        <stp>MTG_GEN_CPR_3M</stp>
        <stp>20090610</stp>
        <stp>20090610</stp>
        <stp>[Copy of 02_cpr_main.xlsx]data!R456C8</stp>
        <stp>Dts=H</stp>
        <tr r="H456" s="2"/>
      </tp>
      <tp t="s">
        <v>#N/A N/A</v>
        <stp/>
        <stp>##V3_BDPV12</stp>
        <stp>31404M5N4 Mtge</stp>
        <stp>MTG_PREPAY_SPEED</stp>
        <stp>[Copy of 02_cpr_main.xlsx]data!R316C12</stp>
        <tr r="L316" s="2"/>
      </tp>
      <tp t="s">
        <v>#N/A Invalid Field</v>
        <stp/>
        <stp>##V3_BDHV12</stp>
        <stp>31403R4H8 Mtge</stp>
        <stp>MTG_GEN_CPR_6M</stp>
        <stp>20090331</stp>
        <stp>20090331</stp>
        <stp>[Copy of 02_cpr_main.xlsx]data!R311C6</stp>
        <stp>Dts=H</stp>
        <tr r="F311" s="2"/>
      </tp>
      <tp t="s">
        <v>#N/A Invalid Field</v>
        <stp/>
        <stp>##V3_BDHV12</stp>
        <stp>31349UFK9 Mtge</stp>
        <stp>MTG_GEN_CPR_3M</stp>
        <stp>20090610</stp>
        <stp>20090610</stp>
        <stp>[Copy of 02_cpr_main.xlsx]data!R158C8</stp>
        <stp>Dts=H</stp>
        <tr r="H158" s="2"/>
      </tp>
      <tp t="s">
        <v>#N/A N/A</v>
        <stp/>
        <stp>##V3_BDPV12</stp>
        <stp>31404GGN5 Mtge</stp>
        <stp>MTG_PREPAY_SPEED</stp>
        <stp>[Copy of 02_cpr_main.xlsx]data!R313C12</stp>
        <tr r="L313" s="2"/>
      </tp>
      <tp t="s">
        <v>#N/A Invalid Field</v>
        <stp/>
        <stp>##V3_BDHV12</stp>
        <stp>31414TSB8 Mtge</stp>
        <stp>MTG_GEN_CPR_6M</stp>
        <stp>20090331</stp>
        <stp>20090331</stp>
        <stp>[Copy of 02_cpr_main.xlsx]data!R445C6</stp>
        <stp>Dts=H</stp>
        <tr r="F445" s="2"/>
      </tp>
      <tp t="s">
        <v>#N/A Invalid Field</v>
        <stp/>
        <stp>##V3_BDHV12</stp>
        <stp>36202SBN7 Mtge</stp>
        <stp>MTG_GEN_CPR_3M</stp>
        <stp>20090610</stp>
        <stp>20090610</stp>
        <stp>[Copy of 02_cpr_main.xlsx]data!R475C8</stp>
        <stp>Dts=H</stp>
        <tr r="H475" s="2"/>
      </tp>
      <tp t="s">
        <v>#N/A Invalid Field</v>
        <stp/>
        <stp>##V3_BDHV12</stp>
        <stp>31411YDS9 Mtge</stp>
        <stp>MTG_GEN_CPR_3M</stp>
        <stp>20090331</stp>
        <stp>20090331</stp>
        <stp>[Copy of 02_cpr_main.xlsx]data!R399C5</stp>
        <stp>Dts=H</stp>
        <tr r="E399" s="2"/>
      </tp>
      <tp t="s">
        <v>#N/A Invalid Field</v>
        <stp/>
        <stp>##V3_BDHV12</stp>
        <stp>31414TNR8 Mtge</stp>
        <stp>MTG_GEN_CPR_6M</stp>
        <stp>20090331</stp>
        <stp>20090331</stp>
        <stp>[Copy of 02_cpr_main.xlsx]data!R444C6</stp>
        <stp>Dts=H</stp>
        <tr r="F444" s="2"/>
      </tp>
      <tp>
        <v>150</v>
        <stp/>
        <stp>##V3_BDPV12</stp>
        <stp>36202SBN7 Mtge</stp>
        <stp>MTG_PREPAY_SPEED</stp>
        <stp>[Copy of 02_cpr_main.xlsx]data!R475C12</stp>
        <tr r="L475" s="2"/>
      </tp>
      <tp>
        <v>123</v>
        <stp/>
        <stp>##V3_BDPV12</stp>
        <stp>36290V5G5 Mtge</stp>
        <stp>MTG_PREPAY_SPEED</stp>
        <stp>[Copy of 02_cpr_main.xlsx]data!R497C12</stp>
        <tr r="L497" s="2"/>
      </tp>
      <tp>
        <v>182</v>
        <stp/>
        <stp>##V3_BDPV12</stp>
        <stp>31385JJF6 Mtge</stp>
        <stp>MTG_PREPAY_SPEED</stp>
        <stp>[Copy of 02_cpr_main.xlsx]data!R215C12</stp>
        <tr r="L215" s="2"/>
      </tp>
      <tp t="s">
        <v>#N/A Invalid Field</v>
        <stp/>
        <stp>##V3_BDHV12</stp>
        <stp>31415WQC0 Mtge</stp>
        <stp>MTG_GEN_CPR_3M</stp>
        <stp>20090610</stp>
        <stp>20090610</stp>
        <stp>[Copy of 02_cpr_main.xlsx]data!R457C8</stp>
        <stp>Dts=H</stp>
        <tr r="H457" s="2"/>
      </tp>
      <tp t="s">
        <v>#N/A Invalid Field</v>
        <stp/>
        <stp>##V3_BDHV12</stp>
        <stp>31406VQ74 Mtge</stp>
        <stp>MTG_GEN_CPR_3M</stp>
        <stp>20090610</stp>
        <stp>20090610</stp>
        <stp>[Copy of 02_cpr_main.xlsx]data!R340C8</stp>
        <stp>Dts=H</stp>
        <tr r="H340" s="2"/>
      </tp>
      <tp t="s">
        <v>#N/A Invalid Field</v>
        <stp/>
        <stp>##V3_BDHV12</stp>
        <stp>31409TUG1 Mtge</stp>
        <stp>MTG_GEN_CPR_3M</stp>
        <stp>20090331</stp>
        <stp>20090331</stp>
        <stp>[Copy of 02_cpr_main.xlsx]data!R355C5</stp>
        <stp>Dts=H</stp>
        <tr r="E355" s="2"/>
      </tp>
      <tp t="s">
        <v>#N/A Invalid Field</v>
        <stp/>
        <stp>##V3_BDHV12</stp>
        <stp>31335HUZ4 Mtge</stp>
        <stp>MTG_GEN_CPR_6M</stp>
        <stp>20090610</stp>
        <stp>20090610</stp>
        <stp>[Copy of 02_cpr_main.xlsx]data!R155C9</stp>
        <stp>Dts=H</stp>
        <tr r="I155" s="2"/>
      </tp>
      <tp t="s">
        <v>#N/A Invalid Field</v>
        <stp/>
        <stp>##V3_BDHV12</stp>
        <stp>31403DDL0 Mtge</stp>
        <stp>MTG_GEN_CPR_3M</stp>
        <stp>20090610</stp>
        <stp>20090610</stp>
        <stp>[Copy of 02_cpr_main.xlsx]data!R296C8</stp>
        <stp>Dts=H</stp>
        <tr r="H296" s="2"/>
      </tp>
      <tp t="s">
        <v>#N/A Invalid Field</v>
        <stp/>
        <stp>##V3_BDHV12</stp>
        <stp>31380GNU9 Mtge</stp>
        <stp>MTG_GEN_CPR_6M</stp>
        <stp>20090331</stp>
        <stp>20090331</stp>
        <stp>[Copy of 02_cpr_main.xlsx]data!R191C6</stp>
        <stp>Dts=H</stp>
        <tr r="F191" s="2"/>
      </tp>
      <tp t="s">
        <v>#N/A Invalid Field</v>
        <stp/>
        <stp>##V3_BDHV12</stp>
        <stp>31410KR22 Mtge</stp>
        <stp>MTG_GEN_CPR_3M</stp>
        <stp>20090610</stp>
        <stp>20090610</stp>
        <stp>[Copy of 02_cpr_main.xlsx]data!R374C8</stp>
        <stp>Dts=H</stp>
        <tr r="H374" s="2"/>
      </tp>
      <tp t="s">
        <v>#N/A Invalid Field</v>
        <stp/>
        <stp>##V3_BDHV12</stp>
        <stp>31371KWH0 Mtge</stp>
        <stp>MTG_GEN_CPR_6M</stp>
        <stp>20090610</stp>
        <stp>20090610</stp>
        <stp>[Copy of 02_cpr_main.xlsx]data!R173C9</stp>
        <stp>Dts=H</stp>
        <tr r="I173" s="2"/>
      </tp>
      <tp t="s">
        <v>#N/A Invalid Field</v>
        <stp/>
        <stp>##V3_BDHV12</stp>
        <stp>31410KUN2 Mtge</stp>
        <stp>MTG_GEN_CPR_3M</stp>
        <stp>20090610</stp>
        <stp>20090610</stp>
        <stp>[Copy of 02_cpr_main.xlsx]data!R377C8</stp>
        <stp>Dts=H</stp>
        <tr r="H377" s="2"/>
      </tp>
      <tp t="s">
        <v>#N/A Invalid Field</v>
        <stp/>
        <stp>##V3_BDHV12</stp>
        <stp>36225BYJ1 Mtge</stp>
        <stp>MTG_GEN_CPR_6M</stp>
        <stp>20090610</stp>
        <stp>20090610</stp>
        <stp>[Copy of 02_cpr_main.xlsx]data!R495C9</stp>
        <stp>Dts=H</stp>
        <tr r="I495" s="2"/>
      </tp>
      <tp t="s">
        <v>#N/A Invalid Field</v>
        <stp/>
        <stp>##V3_BDHV12</stp>
        <stp>36225BB31 Mtge</stp>
        <stp>MTG_GEN_CPR_6M</stp>
        <stp>20090610</stp>
        <stp>20090610</stp>
        <stp>[Copy of 02_cpr_main.xlsx]data!R491C9</stp>
        <stp>Dts=H</stp>
        <tr r="I491" s="2"/>
      </tp>
      <tp t="s">
        <v>#N/A Invalid Field</v>
        <stp/>
        <stp>##V3_BDHV12</stp>
        <stp>31404ML97 Mtge</stp>
        <stp>MTG_GEN_CPR_6M</stp>
        <stp>20090610</stp>
        <stp>20090610</stp>
        <stp>[Copy of 02_cpr_main.xlsx]data!R317C9</stp>
        <stp>Dts=H</stp>
        <tr r="I317" s="2"/>
      </tp>
      <tp t="s">
        <v>#N/A Invalid Field</v>
        <stp/>
        <stp>##V3_BDHV12</stp>
        <stp>31413NCZ6 Mtge</stp>
        <stp>MTG_GEN_CPR_3M</stp>
        <stp>20090610</stp>
        <stp>20090610</stp>
        <stp>[Copy of 02_cpr_main.xlsx]data!R429C8</stp>
        <stp>Dts=H</stp>
        <tr r="H429" s="2"/>
      </tp>
      <tp t="s">
        <v>#N/A Invalid Field</v>
        <stp/>
        <stp>##V3_BDHV12</stp>
        <stp>31371HQS0 Mtge</stp>
        <stp>MTG_GEN_CPR_6M</stp>
        <stp>20090610</stp>
        <stp>20090610</stp>
        <stp>[Copy of 02_cpr_main.xlsx]data!R165C9</stp>
        <stp>Dts=H</stp>
        <tr r="I165" s="2"/>
      </tp>
      <tp t="s">
        <v>#N/A Invalid Field</v>
        <stp/>
        <stp>##V3_BDHV12</stp>
        <stp>31382DQ98 Mtge</stp>
        <stp>MTG_GEN_CPR_3M</stp>
        <stp>20090331</stp>
        <stp>20090331</stp>
        <stp>[Copy of 02_cpr_main.xlsx]data!R195C5</stp>
        <stp>Dts=H</stp>
        <tr r="E195" s="2"/>
      </tp>
      <tp t="s">
        <v>#N/A Invalid Field</v>
        <stp/>
        <stp>##V3_BDHV12</stp>
        <stp>31411GDL3 Mtge</stp>
        <stp>MTG_GEN_CPR_3M</stp>
        <stp>20090610</stp>
        <stp>20090610</stp>
        <stp>[Copy of 02_cpr_main.xlsx]data!R391C8</stp>
        <stp>Dts=H</stp>
        <tr r="H391" s="2"/>
      </tp>
      <tp t="s">
        <v>#N/A Invalid Field</v>
        <stp/>
        <stp>##V3_BDHV12</stp>
        <stp>31407JBC5 Mtge</stp>
        <stp>MTG_GEN_CPR_3M</stp>
        <stp>20090610</stp>
        <stp>20090610</stp>
        <stp>[Copy of 02_cpr_main.xlsx]data!R342C8</stp>
        <stp>Dts=H</stp>
        <tr r="H342" s="2"/>
      </tp>
      <tp t="s">
        <v>#N/A Invalid Field</v>
        <stp/>
        <stp>##V3_BDHV12</stp>
        <stp>31368HMA8 Mtge</stp>
        <stp>MTG_GEN_CPR_3M</stp>
        <stp>20090610</stp>
        <stp>20090610</stp>
        <stp>[Copy of 02_cpr_main.xlsx]data!R160C8</stp>
        <stp>Dts=H</stp>
        <tr r="H160" s="2"/>
      </tp>
      <tp t="s">
        <v>#N/A Invalid Field</v>
        <stp/>
        <stp>##V3_BDHV12</stp>
        <stp>36209EX56 Mtge</stp>
        <stp>MTG_GEN_CPR_3M</stp>
        <stp>20090331</stp>
        <stp>20090331</stp>
        <stp>[Copy of 02_cpr_main.xlsx]data!R481C5</stp>
        <stp>Dts=H</stp>
        <tr r="E481" s="2"/>
      </tp>
      <tp t="s">
        <v>#N/A Invalid Field</v>
        <stp/>
        <stp>##V3_BDHV12</stp>
        <stp>31413KKF7 Mtge</stp>
        <stp>MTG_GEN_CPR_6M</stp>
        <stp>20090610</stp>
        <stp>20090610</stp>
        <stp>[Copy of 02_cpr_main.xlsx]data!R425C9</stp>
        <stp>Dts=H</stp>
        <tr r="I425" s="2"/>
      </tp>
      <tp t="s">
        <v>#N/A Invalid Field</v>
        <stp/>
        <stp>##V3_BDHV12</stp>
        <stp>36213GSU6 Mtge</stp>
        <stp>MTG_GEN_CPR_3M</stp>
        <stp>20090610</stp>
        <stp>20090610</stp>
        <stp>[Copy of 02_cpr_main.xlsx]data!R488C8</stp>
        <stp>Dts=H</stp>
        <tr r="H488" s="2"/>
      </tp>
      <tp t="s">
        <v>#N/A Invalid Field</v>
        <stp/>
        <stp>##V3_BDHV12</stp>
        <stp>31414LAH1 Mtge</stp>
        <stp>MTG_GEN_CPR_3M</stp>
        <stp>20090610</stp>
        <stp>20090610</stp>
        <stp>[Copy of 02_cpr_main.xlsx]data!R441C8</stp>
        <stp>Dts=H</stp>
        <tr r="H441" s="2"/>
      </tp>
      <tp t="s">
        <v>#N/A Invalid Field</v>
        <stp/>
        <stp>##V3_BDHV12</stp>
        <stp>31401MDP3 Mtge</stp>
        <stp>MTG_GEN_CPR_6M</stp>
        <stp>20090610</stp>
        <stp>20090610</stp>
        <stp>[Copy of 02_cpr_main.xlsx]data!R258C9</stp>
        <stp>Dts=H</stp>
        <tr r="I258" s="2"/>
      </tp>
      <tp t="s">
        <v>#N/A Invalid Field</v>
        <stp/>
        <stp>##V3_BDHV12</stp>
        <stp>31294KJS5 Mtge</stp>
        <stp>MTG_GEN_CPR_6M</stp>
        <stp>20090610</stp>
        <stp>20090610</stp>
        <stp>[Copy of 02_cpr_main.xlsx]data!R130C9</stp>
        <stp>Dts=H</stp>
        <tr r="I130" s="2"/>
      </tp>
      <tp t="s">
        <v>#N/A Invalid Field</v>
        <stp/>
        <stp>##V3_BDHV12</stp>
        <stp>31413JJ96 Mtge</stp>
        <stp>MTG_GEN_CPR_3M</stp>
        <stp>20090610</stp>
        <stp>20090610</stp>
        <stp>[Copy of 02_cpr_main.xlsx]data!R421C8</stp>
        <stp>Dts=H</stp>
        <tr r="H421" s="2"/>
      </tp>
      <tp t="s">
        <v>#N/A Invalid Field</v>
        <stp/>
        <stp>##V3_BDHV12</stp>
        <stp>31292J5V8 Mtge</stp>
        <stp>MTG_GEN_CPR_3M</stp>
        <stp>20090331</stp>
        <stp>20090331</stp>
        <stp>[Copy of 02_cpr_main.xlsx]data!R120C5</stp>
        <stp>Dts=H</stp>
        <tr r="E120" s="2"/>
      </tp>
      <tp t="s">
        <v>#N/A Invalid Field</v>
        <stp/>
        <stp>##V3_BDHV12</stp>
        <stp>31403KRB1 Mtge</stp>
        <stp>MTG_GEN_CPR_3M</stp>
        <stp>20090610</stp>
        <stp>20090610</stp>
        <stp>[Copy of 02_cpr_main.xlsx]data!R308C8</stp>
        <stp>Dts=H</stp>
        <tr r="H308" s="2"/>
      </tp>
      <tp t="s">
        <v>#N/A Invalid Field</v>
        <stp/>
        <stp>##V3_BDHV12</stp>
        <stp>31391HFQ2 Mtge</stp>
        <stp>MTG_GEN_CPR_3M</stp>
        <stp>20090610</stp>
        <stp>20090610</stp>
        <stp>[Copy of 02_cpr_main.xlsx]data!R236C8</stp>
        <stp>Dts=H</stp>
        <tr r="H236" s="2"/>
      </tp>
      <tp t="s">
        <v>#N/A Invalid Field</v>
        <stp/>
        <stp>##V3_BDHV12</stp>
        <stp>31371LBD0 Mtge</stp>
        <stp>MTG_GEN_CPR_6M</stp>
        <stp>20090610</stp>
        <stp>20090610</stp>
        <stp>[Copy of 02_cpr_main.xlsx]data!R174C9</stp>
        <stp>Dts=H</stp>
        <tr r="I174" s="2"/>
      </tp>
      <tp t="s">
        <v>#N/A Invalid Field</v>
        <stp/>
        <stp>##V3_BDHV12</stp>
        <stp>31414HDB0 Mtge</stp>
        <stp>MTG_GEN_CPR_6M</stp>
        <stp>20090610</stp>
        <stp>20090610</stp>
        <stp>[Copy of 02_cpr_main.xlsx]data!R439C9</stp>
        <stp>Dts=H</stp>
        <tr r="I439" s="2"/>
      </tp>
      <tp t="s">
        <v>#N/A Invalid Field</v>
        <stp/>
        <stp>##V3_BDHV12</stp>
        <stp>31385JJF6 Mtge</stp>
        <stp>MTG_GEN_CPR_3M</stp>
        <stp>20090610</stp>
        <stp>20090610</stp>
        <stp>[Copy of 02_cpr_main.xlsx]data!R215C8</stp>
        <stp>Dts=H</stp>
        <tr r="H215" s="2"/>
      </tp>
      <tp t="s">
        <v>#N/A Invalid Field</v>
        <stp/>
        <stp>##V3_BDHV12</stp>
        <stp>31403C6L0 Mtge</stp>
        <stp>MTG_GEN_CPR_3M</stp>
        <stp>20090610</stp>
        <stp>20090610</stp>
        <stp>[Copy of 02_cpr_main.xlsx]data!R293C8</stp>
        <stp>Dts=H</stp>
        <tr r="H293" s="2"/>
      </tp>
      <tp t="s">
        <v>#N/A Invalid Field</v>
        <stp/>
        <stp>##V3_BDHV12</stp>
        <stp>36201JFW4 Mtge</stp>
        <stp>MTG_GEN_CPR_3M</stp>
        <stp>20090610</stp>
        <stp>20090610</stp>
        <stp>[Copy of 02_cpr_main.xlsx]data!R472C8</stp>
        <stp>Dts=H</stp>
        <tr r="H472" s="2"/>
      </tp>
      <tp t="s">
        <v>#N/A Invalid Field</v>
        <stp/>
        <stp>##V3_BDHV12</stp>
        <stp>31292G6T8 Mtge</stp>
        <stp>MTG_GEN_CPR_3M</stp>
        <stp>20090331</stp>
        <stp>20090331</stp>
        <stp>[Copy of 02_cpr_main.xlsx]data!R115C5</stp>
        <stp>Dts=H</stp>
        <tr r="E115" s="2"/>
      </tp>
      <tp t="s">
        <v>#N/A Invalid Field</v>
        <stp/>
        <stp>##V3_BDHV12</stp>
        <stp>31403F6S8 Mtge</stp>
        <stp>MTG_GEN_CPR_6M</stp>
        <stp>20090331</stp>
        <stp>20090331</stp>
        <stp>[Copy of 02_cpr_main.xlsx]data!R306C6</stp>
        <stp>Dts=H</stp>
        <tr r="F306" s="2"/>
      </tp>
      <tp t="s">
        <v>#N/A Invalid Field</v>
        <stp/>
        <stp>##V3_BDHV12</stp>
        <stp>31402CPL0 Mtge</stp>
        <stp>MTG_GEN_CPR_6M</stp>
        <stp>20090610</stp>
        <stp>20090610</stp>
        <stp>[Copy of 02_cpr_main.xlsx]data!R264C9</stp>
        <stp>Dts=H</stp>
        <tr r="I264" s="2"/>
      </tp>
      <tp t="s">
        <v>#N/A Invalid Field</v>
        <stp/>
        <stp>##V3_BDHV12</stp>
        <stp>31292GYA8 Mtge</stp>
        <stp>MTG_GEN_CPR_3M</stp>
        <stp>20090331</stp>
        <stp>20090331</stp>
        <stp>[Copy of 02_cpr_main.xlsx]data!R117C5</stp>
        <stp>Dts=H</stp>
        <tr r="E117" s="2"/>
      </tp>
      <tp t="s">
        <v>#N/A Invalid Field</v>
        <stp/>
        <stp>##V3_BDHV12</stp>
        <stp>31371NJD8 Mtge</stp>
        <stp>MTG_GEN_CPR_6M</stp>
        <stp>20090331</stp>
        <stp>20090331</stp>
        <stp>[Copy of 02_cpr_main.xlsx]data!R181C6</stp>
        <stp>Dts=H</stp>
        <tr r="F181" s="2"/>
      </tp>
      <tp t="s">
        <v>#N/A Invalid Field</v>
        <stp/>
        <stp>##V3_BDHV12</stp>
        <stp>31390EJB9 Mtge</stp>
        <stp>MTG_GEN_CPR_3M</stp>
        <stp>20090331</stp>
        <stp>20090331</stp>
        <stp>[Copy of 02_cpr_main.xlsx]data!R231C5</stp>
        <stp>Dts=H</stp>
        <tr r="E231" s="2"/>
      </tp>
      <tp t="s">
        <v>#N/A Invalid Field</v>
        <stp/>
        <stp>##V3_BDHV12</stp>
        <stp>31400AMX3 Mtge</stp>
        <stp>MTG_GEN_CPR_3M</stp>
        <stp>20090610</stp>
        <stp>20090610</stp>
        <stp>[Copy of 02_cpr_main.xlsx]data!R244C8</stp>
        <stp>Dts=H</stp>
        <tr r="H244" s="2"/>
      </tp>
      <tp t="s">
        <v>#N/A Invalid Field</v>
        <stp/>
        <stp>##V3_BDHV12</stp>
        <stp>31402BGQ1 Mtge</stp>
        <stp>MTG_GEN_CPR_3M</stp>
        <stp>20090610</stp>
        <stp>20090610</stp>
        <stp>[Copy of 02_cpr_main.xlsx]data!R262C8</stp>
        <stp>Dts=H</stp>
        <tr r="H262" s="2"/>
      </tp>
      <tp t="s">
        <v>#N/A Invalid Field</v>
        <stp/>
        <stp>##V3_BDHV12</stp>
        <stp>31403DR68 Mtge</stp>
        <stp>MTG_GEN_CPR_6M</stp>
        <stp>20090331</stp>
        <stp>20090331</stp>
        <stp>[Copy of 02_cpr_main.xlsx]data!R301C6</stp>
        <stp>Dts=H</stp>
        <tr r="F301" s="2"/>
      </tp>
      <tp t="s">
        <v>#N/A Invalid Field</v>
        <stp/>
        <stp>##V3_BDHV12</stp>
        <stp>31406DJX5 Mtge</stp>
        <stp>MTG_GEN_CPR_6M</stp>
        <stp>20090610</stp>
        <stp>20090610</stp>
        <stp>[Copy of 02_cpr_main.xlsx]data!R335C9</stp>
        <stp>Dts=H</stp>
        <tr r="I335" s="2"/>
      </tp>
      <tp t="s">
        <v>#N/A Invalid Field</v>
        <stp/>
        <stp>##V3_BDHV12</stp>
        <stp>31402C5E8 Mtge</stp>
        <stp>MTG_GEN_CPR_6M</stp>
        <stp>20090331</stp>
        <stp>20090331</stp>
        <stp>[Copy of 02_cpr_main.xlsx]data!R263C6</stp>
        <stp>Dts=H</stp>
        <tr r="F263" s="2"/>
      </tp>
      <tp t="s">
        <v>#N/A Invalid Field</v>
        <stp/>
        <stp>##V3_BDHV12</stp>
        <stp>31410C3Q3 Mtge</stp>
        <stp>MTG_GEN_CPR_6M</stp>
        <stp>20090610</stp>
        <stp>20090610</stp>
        <stp>[Copy of 02_cpr_main.xlsx]data!R357C9</stp>
        <stp>Dts=H</stp>
        <tr r="I357" s="2"/>
      </tp>
      <tp t="s">
        <v>#N/A Invalid Field</v>
        <stp/>
        <stp>##V3_BDHV12</stp>
        <stp>31402CQZ8 Mtge</stp>
        <stp>MTG_GEN_CPR_6M</stp>
        <stp>20090331</stp>
        <stp>20090331</stp>
        <stp>[Copy of 02_cpr_main.xlsx]data!R265C6</stp>
        <stp>Dts=H</stp>
        <tr r="F265" s="2"/>
      </tp>
      <tp t="s">
        <v>#N/A Invalid Field</v>
        <stp/>
        <stp>##V3_BDHV12</stp>
        <stp>31414FPH8 Mtge</stp>
        <stp>MTG_GEN_CPR_6M</stp>
        <stp>20090331</stp>
        <stp>20090331</stp>
        <stp>[Copy of 02_cpr_main.xlsx]data!R438C6</stp>
        <stp>Dts=H</stp>
        <tr r="F438" s="2"/>
      </tp>
      <tp t="s">
        <v>#N/A Invalid Field</v>
        <stp/>
        <stp>##V3_BDHV12</stp>
        <stp>31415BNG0 Mtge</stp>
        <stp>MTG_GEN_CPR_3M</stp>
        <stp>20090610</stp>
        <stp>20090610</stp>
        <stp>[Copy of 02_cpr_main.xlsx]data!R448C8</stp>
        <stp>Dts=H</stp>
        <tr r="H448" s="2"/>
      </tp>
      <tp t="s">
        <v>#N/A Invalid Field</v>
        <stp/>
        <stp>##V3_BDHV12</stp>
        <stp>31403EDC8 Mtge</stp>
        <stp>MTG_GEN_CPR_6M</stp>
        <stp>20090331</stp>
        <stp>20090331</stp>
        <stp>[Copy of 02_cpr_main.xlsx]data!R305C6</stp>
        <stp>Dts=H</stp>
        <tr r="F305" s="2"/>
      </tp>
      <tp t="s">
        <v>#N/A Invalid Field</v>
        <stp/>
        <stp>##V3_BDHV12</stp>
        <stp>31410DXZ8 Mtge</stp>
        <stp>MTG_GEN_CPR_3M</stp>
        <stp>20090331</stp>
        <stp>20090331</stp>
        <stp>[Copy of 02_cpr_main.xlsx]data!R360C5</stp>
        <stp>Dts=H</stp>
        <tr r="E360" s="2"/>
      </tp>
      <tp t="s">
        <v>#N/A Invalid Field</v>
        <stp/>
        <stp>##V3_BDHV12</stp>
        <stp>31413AGJ6 Mtge</stp>
        <stp>MTG_GEN_CPR_3M</stp>
        <stp>20090610</stp>
        <stp>20090610</stp>
        <stp>[Copy of 02_cpr_main.xlsx]data!R416C8</stp>
        <stp>Dts=H</stp>
        <tr r="H416" s="2"/>
      </tp>
      <tp t="s">
        <v>#N/A Invalid Field</v>
        <stp/>
        <stp>##V3_BDHV12</stp>
        <stp>31414CV88 Mtge</stp>
        <stp>MTG_GEN_CPR_6M</stp>
        <stp>20090331</stp>
        <stp>20090331</stp>
        <stp>[Copy of 02_cpr_main.xlsx]data!R435C6</stp>
        <stp>Dts=H</stp>
        <tr r="F435" s="2"/>
      </tp>
      <tp t="s">
        <v>#N/A Invalid Field</v>
        <stp/>
        <stp>##V3_BDHV12</stp>
        <stp>31410EPE2 Mtge</stp>
        <stp>MTG_GEN_CPR_3M</stp>
        <stp>20090610</stp>
        <stp>20090610</stp>
        <stp>[Copy of 02_cpr_main.xlsx]data!R361C8</stp>
        <stp>Dts=H</stp>
        <tr r="H361" s="2"/>
      </tp>
      <tp t="s">
        <v>#N/A Invalid Field</v>
        <stp/>
        <stp>##V3_BDHV12</stp>
        <stp>31405AZR7 Mtge</stp>
        <stp>MTG_GEN_CPR_3M</stp>
        <stp>20090610</stp>
        <stp>20090610</stp>
        <stp>[Copy of 02_cpr_main.xlsx]data!R323C8</stp>
        <stp>Dts=H</stp>
        <tr r="H323" s="2"/>
      </tp>
      <tp t="s">
        <v>#N/A Invalid Field</v>
        <stp/>
        <stp>##V3_BDHV12</stp>
        <stp>31413BEW7 Mtge</stp>
        <stp>MTG_GEN_CPR_6M</stp>
        <stp>20090610</stp>
        <stp>20090610</stp>
        <stp>[Copy of 02_cpr_main.xlsx]data!R417C9</stp>
        <stp>Dts=H</stp>
        <tr r="I417" s="2"/>
      </tp>
      <tp t="s">
        <v>#N/A Invalid Field</v>
        <stp/>
        <stp>##V3_BDHV12</stp>
        <stp>31412B2P6 Mtge</stp>
        <stp>MTG_GEN_CPR_6M</stp>
        <stp>20090610</stp>
        <stp>20090610</stp>
        <stp>[Copy of 02_cpr_main.xlsx]data!R401C9</stp>
        <stp>Dts=H</stp>
        <tr r="I401" s="2"/>
      </tp>
      <tp t="s">
        <v>#N/A Invalid Field</v>
        <stp/>
        <stp>##V3_BDHV12</stp>
        <stp>31376J2J7 Mtge</stp>
        <stp>MTG_GEN_CPR_6M</stp>
        <stp>20090610</stp>
        <stp>20090610</stp>
        <stp>[Copy of 02_cpr_main.xlsx]data!R185C9</stp>
        <stp>Dts=H</stp>
        <tr r="I185" s="2"/>
      </tp>
      <tp t="s">
        <v>#N/A Invalid Field</v>
        <stp/>
        <stp>##V3_BDHV12</stp>
        <stp>31402D7K0 Mtge</stp>
        <stp>MTG_GEN_CPR_6M</stp>
        <stp>20090610</stp>
        <stp>20090610</stp>
        <stp>[Copy of 02_cpr_main.xlsx]data!R268C9</stp>
        <stp>Dts=H</stp>
        <tr r="I268" s="2"/>
      </tp>
      <tp t="s">
        <v>#N/A Invalid Field</v>
        <stp/>
        <stp>##V3_BDHV12</stp>
        <stp>31382KQ43 Mtge</stp>
        <stp>MTG_GEN_CPR_6M</stp>
        <stp>20090610</stp>
        <stp>20090610</stp>
        <stp>[Copy of 02_cpr_main.xlsx]data!R197C9</stp>
        <stp>Dts=H</stp>
        <tr r="I197" s="2"/>
      </tp>
      <tp t="s">
        <v>#N/A Invalid Field</v>
        <stp/>
        <stp>##V3_BDHV12</stp>
        <stp>312965L87 Mtge</stp>
        <stp>MTG_GEN_CPR_6M</stp>
        <stp>20090610</stp>
        <stp>20090610</stp>
        <stp>[Copy of 02_cpr_main.xlsx]data!R139C9</stp>
        <stp>Dts=H</stp>
        <tr r="I139" s="2"/>
      </tp>
      <tp t="s">
        <v>#N/A Invalid Field</v>
        <stp/>
        <stp>##V3_BDHV12</stp>
        <stp>312962EA7 Mtge</stp>
        <stp>MTG_GEN_CPR_6M</stp>
        <stp>20090610</stp>
        <stp>20090610</stp>
        <stp>[Copy of 02_cpr_main.xlsx]data!R137C9</stp>
        <stp>Dts=H</stp>
        <tr r="I137" s="2"/>
      </tp>
      <tp t="s">
        <v>#N/A Invalid Field</v>
        <stp/>
        <stp>##V3_BDHV12</stp>
        <stp>312967XJ6 Mtge</stp>
        <stp>MTG_GEN_CPR_3M</stp>
        <stp>20090610</stp>
        <stp>20090610</stp>
        <stp>[Copy of 02_cpr_main.xlsx]data!R142C8</stp>
        <stp>Dts=H</stp>
        <tr r="H142" s="2"/>
      </tp>
      <tp t="s">
        <v>#N/A Invalid Field</v>
        <stp/>
        <stp>##V3_BDHV12</stp>
        <stp>3128MB5P8 Mtge</stp>
        <stp>MTG_GEN_CPR_12M</stp>
        <stp>20090331</stp>
        <stp>20090331</stp>
        <stp>[Copy of 02_cpr_main.xlsx]data!R93C7</stp>
        <stp>Dts=H</stp>
        <tr r="G93" s="2"/>
      </tp>
      <tp t="s">
        <v>#N/A Invalid Field</v>
        <stp/>
        <stp>##V3_BDHV12</stp>
        <stp>3128GDQJ2 Mtge</stp>
        <stp>MTG_GEN_CPR_12M</stp>
        <stp>20090331</stp>
        <stp>20090331</stp>
        <stp>[Copy of 02_cpr_main.xlsx]data!R46C7</stp>
        <stp>Dts=H</stp>
        <tr r="G46" s="2"/>
      </tp>
      <tp t="s">
        <v>#N/A Invalid Field</v>
        <stp/>
        <stp>##V3_BDHV12</stp>
        <stp>3128GFA62 Mtge</stp>
        <stp>MTG_GEN_CPR_12M</stp>
        <stp>20090331</stp>
        <stp>20090331</stp>
        <stp>[Copy of 02_cpr_main.xlsx]data!R53C7</stp>
        <stp>Dts=H</stp>
        <tr r="G53" s="2"/>
      </tp>
    </main>
    <main first="bloomberg.rtd">
      <tp t="s">
        <v>#N/A Invalid Field</v>
        <stp/>
        <stp>##V3_BDHV12</stp>
        <stp>31391YTH0 Mtge</stp>
        <stp>MTG_GEN_CPR_6M</stp>
        <stp>20090610</stp>
        <stp>20090610</stp>
        <stp>[Copy of 02_cpr_main.xlsx]data!R243C9</stp>
        <stp>Dts=H</stp>
        <tr r="I243" s="2"/>
      </tp>
      <tp t="s">
        <v>#N/A Invalid Field</v>
        <stp/>
        <stp>##V3_BDHV12</stp>
        <stp>31411WA49 Mtge</stp>
        <stp>MTG_GEN_CPR_6M</stp>
        <stp>20090331</stp>
        <stp>20090331</stp>
        <stp>[Copy of 02_cpr_main.xlsx]data!R397C6</stp>
        <stp>Dts=H</stp>
        <tr r="F397" s="2"/>
      </tp>
      <tp t="s">
        <v>#N/A Invalid Field</v>
        <stp/>
        <stp>##V3_BDHV12</stp>
        <stp>31415XJE2 Mtge</stp>
        <stp>MTG_GEN_CPR_6M</stp>
        <stp>20090610</stp>
        <stp>20090610</stp>
        <stp>[Copy of 02_cpr_main.xlsx]data!R458C9</stp>
        <stp>Dts=H</stp>
        <tr r="I458" s="2"/>
      </tp>
      <tp t="s">
        <v>#N/A N/A</v>
        <stp/>
        <stp>##V3_BDPV12</stp>
        <stp>31404WTM8 Mtge</stp>
        <stp>MTG_PREPAY_SPEED</stp>
        <stp>[Copy of 02_cpr_main.xlsx]data!R320C12</stp>
        <tr r="L320" s="2"/>
      </tp>
      <tp t="s">
        <v>#N/A Invalid Field</v>
        <stp/>
        <stp>##V3_BDHV12</stp>
        <stp>31380V6X9 Mtge</stp>
        <stp>MTG_GEN_CPR_3M</stp>
        <stp>20090331</stp>
        <stp>20090331</stp>
        <stp>[Copy of 02_cpr_main.xlsx]data!R193C5</stp>
        <stp>Dts=H</stp>
        <tr r="E193" s="2"/>
      </tp>
      <tp t="s">
        <v>#N/A Invalid Field</v>
        <stp/>
        <stp>##V3_BDHV12</stp>
        <stp>31410TVY8 Mtge</stp>
        <stp>MTG_GEN_CPR_6M</stp>
        <stp>20090331</stp>
        <stp>20090331</stp>
        <stp>[Copy of 02_cpr_main.xlsx]data!R384C6</stp>
        <stp>Dts=H</stp>
        <tr r="F384" s="2"/>
      </tp>
      <tp t="s">
        <v>#N/A Invalid Field</v>
        <stp/>
        <stp>##V3_BDHV12</stp>
        <stp>31402UHZ8 Mtge</stp>
        <stp>MTG_GEN_CPR_3M</stp>
        <stp>20090331</stp>
        <stp>20090331</stp>
        <stp>[Copy of 02_cpr_main.xlsx]data!R289C5</stp>
        <stp>Dts=H</stp>
        <tr r="E289" s="2"/>
      </tp>
      <tp t="s">
        <v>#N/A Invalid Field</v>
        <stp/>
        <stp>##V3_BDHV12</stp>
        <stp>31409XHN2 Mtge</stp>
        <stp>MTG_GEN_CPR_3M</stp>
        <stp>20090331</stp>
        <stp>20090331</stp>
        <stp>[Copy of 02_cpr_main.xlsx]data!R356C5</stp>
        <stp>Dts=H</stp>
        <tr r="E356" s="2"/>
      </tp>
      <tp t="s">
        <v>#N/A N/A</v>
        <stp/>
        <stp>##V3_BDPV12</stp>
        <stp>31379Q6J4 Mtge</stp>
        <stp>MTG_PREPAY_SPEED</stp>
        <stp>[Copy of 02_cpr_main.xlsx]data!R189C12</stp>
        <tr r="L189" s="2"/>
      </tp>
      <tp t="s">
        <v>#N/A Invalid Field</v>
        <stp/>
        <stp>##V3_BDHV12</stp>
        <stp>36290W3Y6 Mtge</stp>
        <stp>MTG_GEN_CPR_3M</stp>
        <stp>20090610</stp>
        <stp>20090610</stp>
        <stp>[Copy of 02_cpr_main.xlsx]data!R498C8</stp>
        <stp>Dts=H</stp>
        <tr r="H498" s="2"/>
      </tp>
      <tp t="s">
        <v>#N/A Invalid Field</v>
        <stp/>
        <stp>##V3_BDHV12</stp>
        <stp>31402RH28 Mtge</stp>
        <stp>MTG_GEN_CPR_3M</stp>
        <stp>20090331</stp>
        <stp>20090331</stp>
        <stp>[Copy of 02_cpr_main.xlsx]data!R284C5</stp>
        <stp>Dts=H</stp>
        <tr r="E284" s="2"/>
      </tp>
      <tp t="s">
        <v>#N/A Invalid Field</v>
        <stp/>
        <stp>##V3_BDHV12</stp>
        <stp>31411SNF9 Mtge</stp>
        <stp>MTG_GEN_CPR_6M</stp>
        <stp>20090331</stp>
        <stp>20090331</stp>
        <stp>[Copy of 02_cpr_main.xlsx]data!R394C6</stp>
        <stp>Dts=H</stp>
        <tr r="F394" s="2"/>
      </tp>
      <tp t="s">
        <v>#N/A Invalid Field</v>
        <stp/>
        <stp>##V3_BDHV12</stp>
        <stp>31382XQE3 Mtge</stp>
        <stp>MTG_GEN_CPR_6M</stp>
        <stp>20090610</stp>
        <stp>20090610</stp>
        <stp>[Copy of 02_cpr_main.xlsx]data!R206C9</stp>
        <stp>Dts=H</stp>
        <tr r="I206" s="2"/>
      </tp>
      <tp t="s">
        <v>#N/A Invalid Field</v>
        <stp/>
        <stp>##V3_BDHV12</stp>
        <stp>31411RCQ9 Mtge</stp>
        <stp>MTG_GEN_CPR_6M</stp>
        <stp>20090331</stp>
        <stp>20090331</stp>
        <stp>[Copy of 02_cpr_main.xlsx]data!R393C6</stp>
        <stp>Dts=H</stp>
        <tr r="F393" s="2"/>
      </tp>
      <tp>
        <v>169</v>
        <stp/>
        <stp>##V3_BDPV12</stp>
        <stp>31400RXM8 Mtge</stp>
        <stp>MTG_PREPAY_SPEED</stp>
        <stp>[Copy of 02_cpr_main.xlsx]data!R251C12</stp>
        <tr r="L251" s="2"/>
      </tp>
      <tp t="s">
        <v>#N/A Invalid Field</v>
        <stp/>
        <stp>##V3_BDHV12</stp>
        <stp>31404YDK5 Mtge</stp>
        <stp>MTG_GEN_CPR_3M</stp>
        <stp>20090610</stp>
        <stp>20090610</stp>
        <stp>[Copy of 02_cpr_main.xlsx]data!R322C8</stp>
        <stp>Dts=H</stp>
        <tr r="H322" s="2"/>
      </tp>
      <tp t="s">
        <v>#N/A N/A</v>
        <stp/>
        <stp>##V3_BDPV12</stp>
        <stp>31298EZD0 Mtge</stp>
        <stp>MTG_PREPAY_SPEED</stp>
        <stp>[Copy of 02_cpr_main.xlsx]data!R152C12</stp>
        <tr r="L152" s="2"/>
      </tp>
      <tp t="s">
        <v>#N/A Invalid Field</v>
        <stp/>
        <stp>##V3_BDHV12</stp>
        <stp>31405YXX4 Mtge</stp>
        <stp>MTG_GEN_CPR_3M</stp>
        <stp>20090610</stp>
        <stp>20090610</stp>
        <stp>[Copy of 02_cpr_main.xlsx]data!R332C8</stp>
        <stp>Dts=H</stp>
        <tr r="H332" s="2"/>
      </tp>
      <tp t="s">
        <v>#N/A Invalid Field</v>
        <stp/>
        <stp>##V3_BDHV12</stp>
        <stp>31402Q2X8 Mtge</stp>
        <stp>MTG_GEN_CPR_3M</stp>
        <stp>20090331</stp>
        <stp>20090331</stp>
        <stp>[Copy of 02_cpr_main.xlsx]data!R273C5</stp>
        <stp>Dts=H</stp>
        <tr r="E273" s="2"/>
      </tp>
      <tp t="s">
        <v>#N/A Invalid Field</v>
        <stp/>
        <stp>##V3_BDHV12</stp>
        <stp>31402QYZ8 Mtge</stp>
        <stp>MTG_GEN_CPR_3M</stp>
        <stp>20090331</stp>
        <stp>20090331</stp>
        <stp>[Copy of 02_cpr_main.xlsx]data!R278C5</stp>
        <stp>Dts=H</stp>
        <tr r="E278" s="2"/>
      </tp>
      <tp t="s">
        <v>#N/A Invalid Field</v>
        <stp/>
        <stp>##V3_BDHV12</stp>
        <stp>31349SF40 Mtge</stp>
        <stp>MTG_GEN_CPR_3M</stp>
        <stp>20090331</stp>
        <stp>20090331</stp>
        <stp>[Copy of 02_cpr_main.xlsx]data!R157C5</stp>
        <stp>Dts=H</stp>
        <tr r="E157" s="2"/>
      </tp>
      <tp t="s">
        <v>#N/A Invalid Field</v>
        <stp/>
        <stp>##V3_BDHV12</stp>
        <stp>31293WAR1 Mtge</stp>
        <stp>MTG_GEN_CPR_6M</stp>
        <stp>20090610</stp>
        <stp>20090610</stp>
        <stp>[Copy of 02_cpr_main.xlsx]data!R125C9</stp>
        <stp>Dts=H</stp>
        <tr r="I125" s="2"/>
      </tp>
      <tp t="s">
        <v>#N/A Invalid Field</v>
        <stp/>
        <stp>##V3_BDHV12</stp>
        <stp>31391REW8 Mtge</stp>
        <stp>MTG_GEN_CPR_6M</stp>
        <stp>20090331</stp>
        <stp>20090331</stp>
        <stp>[Copy of 02_cpr_main.xlsx]data!R241C6</stp>
        <stp>Dts=H</stp>
        <tr r="F241" s="2"/>
      </tp>
      <tp t="s">
        <v>#N/A Invalid Field</v>
        <stp/>
        <stp>##V3_BDHV12</stp>
        <stp>31414PTH2 Mtge</stp>
        <stp>MTG_GEN_CPR_3M</stp>
        <stp>20090610</stp>
        <stp>20090610</stp>
        <stp>[Copy of 02_cpr_main.xlsx]data!R442C8</stp>
        <stp>Dts=H</stp>
        <tr r="H442" s="2"/>
      </tp>
      <tp>
        <v>213</v>
        <stp/>
        <stp>##V3_BDPV12</stp>
        <stp>31293TFD4 Mtge</stp>
        <stp>MTG_PREPAY_SPEED</stp>
        <stp>[Copy of 02_cpr_main.xlsx]data!R122C12</stp>
        <tr r="L122" s="2"/>
      </tp>
      <tp t="s">
        <v>#N/A N/A</v>
        <stp/>
        <stp>##V3_BDPV12</stp>
        <stp>31382LKE5 Mtge</stp>
        <stp>MTG_PREPAY_SPEED</stp>
        <stp>[Copy of 02_cpr_main.xlsx]data!R199C12</stp>
        <tr r="L199" s="2"/>
      </tp>
      <tp t="s">
        <v>#N/A Invalid Field</v>
        <stp/>
        <stp>##V3_BDHV12</stp>
        <stp>36202WGD5 Mtge</stp>
        <stp>MTG_GEN_CPR_6M</stp>
        <stp>20090610</stp>
        <stp>20090610</stp>
        <stp>[Copy of 02_cpr_main.xlsx]data!R476C9</stp>
        <stp>Dts=H</stp>
        <tr r="I476" s="2"/>
      </tp>
      <tp t="s">
        <v>#N/A Invalid Field</v>
        <stp/>
        <stp>##V3_BDHV12</stp>
        <stp>31415RFH2 Mtge</stp>
        <stp>MTG_GEN_CPR_6M</stp>
        <stp>20090610</stp>
        <stp>20090610</stp>
        <stp>[Copy of 02_cpr_main.xlsx]data!R452C9</stp>
        <stp>Dts=H</stp>
        <tr r="I452" s="2"/>
      </tp>
      <tp t="s">
        <v>#N/A N/A</v>
        <stp/>
        <stp>##V3_BDPV12</stp>
        <stp>31390QTD7 Mtge</stp>
        <stp>MTG_PREPAY_SPEED</stp>
        <stp>[Copy of 02_cpr_main.xlsx]data!R234C12</stp>
        <tr r="L234" s="2"/>
      </tp>
      <tp t="s">
        <v>#N/A Invalid Field</v>
        <stp/>
        <stp>##V3_BDHV12</stp>
        <stp>31296RSK5 Mtge</stp>
        <stp>MTG_GEN_CPR_3M</stp>
        <stp>20090610</stp>
        <stp>20090610</stp>
        <stp>[Copy of 02_cpr_main.xlsx]data!R145C8</stp>
        <stp>Dts=H</stp>
        <tr r="H145" s="2"/>
      </tp>
      <tp t="s">
        <v>#N/A Invalid Field</v>
        <stp/>
        <stp>##V3_BDHV12</stp>
        <stp>31388TC68 Mtge</stp>
        <stp>MTG_GEN_CPR_3M</stp>
        <stp>20090610</stp>
        <stp>20090610</stp>
        <stp>[Copy of 02_cpr_main.xlsx]data!R229C8</stp>
        <stp>Dts=H</stp>
        <tr r="H229" s="2"/>
      </tp>
      <tp t="s">
        <v>#N/A Invalid Field</v>
        <stp/>
        <stp>##V3_BDHV12</stp>
        <stp>31402QHS3 Mtge</stp>
        <stp>MTG_GEN_CPR_6M</stp>
        <stp>20090610</stp>
        <stp>20090610</stp>
        <stp>[Copy of 02_cpr_main.xlsx]data!R275C9</stp>
        <stp>Dts=H</stp>
        <tr r="I275" s="2"/>
      </tp>
      <tp t="s">
        <v>#N/A Invalid Field</v>
        <stp/>
        <stp>##V3_BDHV12</stp>
        <stp>31382RRH8 Mtge</stp>
        <stp>MTG_GEN_CPR_3M</stp>
        <stp>20090331</stp>
        <stp>20090331</stp>
        <stp>[Copy of 02_cpr_main.xlsx]data!R202C5</stp>
        <stp>Dts=H</stp>
        <tr r="E202" s="2"/>
      </tp>
      <tp t="s">
        <v>#N/A Invalid Field</v>
        <stp/>
        <stp>##V3_BDHV12</stp>
        <stp>31401WKE8 Mtge</stp>
        <stp>MTG_GEN_CPR_6M</stp>
        <stp>20090331</stp>
        <stp>20090331</stp>
        <stp>[Copy of 02_cpr_main.xlsx]data!R259C6</stp>
        <stp>Dts=H</stp>
        <tr r="F259" s="2"/>
      </tp>
      <tp t="s">
        <v>#N/A Invalid Field</v>
        <stp/>
        <stp>##V3_BDHV12</stp>
        <stp>31412PBG5 Mtge</stp>
        <stp>MTG_GEN_CPR_6M</stp>
        <stp>20090610</stp>
        <stp>20090610</stp>
        <stp>[Copy of 02_cpr_main.xlsx]data!R411C9</stp>
        <stp>Dts=H</stp>
        <tr r="I411" s="2"/>
      </tp>
      <tp t="s">
        <v>#N/A N/A</v>
        <stp/>
        <stp>##V3_BDPV12</stp>
        <stp>31382XQE3 Mtge</stp>
        <stp>MTG_PREPAY_SPEED</stp>
        <stp>[Copy of 02_cpr_main.xlsx]data!R206C12</stp>
        <tr r="L206" s="2"/>
      </tp>
      <tp t="s">
        <v>#N/A N/A</v>
        <stp/>
        <stp>##V3_BDPV12</stp>
        <stp>31371HNJ3 Mtge</stp>
        <stp>MTG_PREPAY_SPEED</stp>
        <stp>[Copy of 02_cpr_main.xlsx]data!R164C12</stp>
        <tr r="L164" s="2"/>
      </tp>
      <tp t="s">
        <v>#N/A Invalid Field</v>
        <stp/>
        <stp>##V3_BDHV12</stp>
        <stp>31403R4H8 Mtge</stp>
        <stp>MTG_GEN_CPR_3M</stp>
        <stp>20090331</stp>
        <stp>20090331</stp>
        <stp>[Copy of 02_cpr_main.xlsx]data!R311C5</stp>
        <stp>Dts=H</stp>
        <tr r="E311" s="2"/>
      </tp>
      <tp t="s">
        <v>#N/A Invalid Field</v>
        <stp/>
        <stp>##V3_BDHV12</stp>
        <stp>31413SHF4 Mtge</stp>
        <stp>MTG_GEN_CPR_6M</stp>
        <stp>20090610</stp>
        <stp>20090610</stp>
        <stp>[Copy of 02_cpr_main.xlsx]data!R433C9</stp>
        <stp>Dts=H</stp>
        <tr r="I433" s="2"/>
      </tp>
      <tp t="s">
        <v>#N/A Invalid Field</v>
        <stp/>
        <stp>##V3_BDHV12</stp>
        <stp>36200QJD7 Mtge</stp>
        <stp>MTG_GEN_CPR_6M</stp>
        <stp>20090610</stp>
        <stp>20090610</stp>
        <stp>[Copy of 02_cpr_main.xlsx]data!R467C9</stp>
        <stp>Dts=H</stp>
        <tr r="I467" s="2"/>
      </tp>
      <tp t="s">
        <v>#N/A Invalid Field</v>
        <stp/>
        <stp>##V3_BDHV12</stp>
        <stp>31404QA74 Mtge</stp>
        <stp>MTG_GEN_CPR_6M</stp>
        <stp>20090610</stp>
        <stp>20090610</stp>
        <stp>[Copy of 02_cpr_main.xlsx]data!R318C9</stp>
        <stp>Dts=H</stp>
        <tr r="I318" s="2"/>
      </tp>
      <tp>
        <v>169</v>
        <stp/>
        <stp>##V3_BDPV12</stp>
        <stp>31371MWJ2 Mtge</stp>
        <stp>MTG_PREPAY_SPEED</stp>
        <stp>[Copy of 02_cpr_main.xlsx]data!R179C12</stp>
        <tr r="L179" s="2"/>
      </tp>
      <tp t="s">
        <v>#N/A N/A</v>
        <stp/>
        <stp>##V3_BDPV12</stp>
        <stp>31410M4L1 Mtge</stp>
        <stp>MTG_PREPAY_SPEED</stp>
        <stp>[Copy of 02_cpr_main.xlsx]data!R378C12</stp>
        <tr r="L378" s="2"/>
      </tp>
      <tp t="s">
        <v>#N/A Invalid Field</v>
        <stp/>
        <stp>##V3_BDHV12</stp>
        <stp>31403R3B2 Mtge</stp>
        <stp>MTG_GEN_CPR_3M</stp>
        <stp>20090610</stp>
        <stp>20090610</stp>
        <stp>[Copy of 02_cpr_main.xlsx]data!R310C8</stp>
        <stp>Dts=H</stp>
        <tr r="H310" s="2"/>
      </tp>
      <tp t="s">
        <v>#N/A Invalid Field</v>
        <stp/>
        <stp>##V3_BDHV12</stp>
        <stp>31391W6L0 Mtge</stp>
        <stp>MTG_GEN_CPR_6M</stp>
        <stp>20090610</stp>
        <stp>20090610</stp>
        <stp>[Copy of 02_cpr_main.xlsx]data!R242C9</stp>
        <stp>Dts=H</stp>
        <tr r="I242" s="2"/>
      </tp>
      <tp t="s">
        <v>#N/A Invalid Field</v>
        <stp/>
        <stp>##V3_BDHV12</stp>
        <stp>31414TSB8 Mtge</stp>
        <stp>MTG_GEN_CPR_3M</stp>
        <stp>20090331</stp>
        <stp>20090331</stp>
        <stp>[Copy of 02_cpr_main.xlsx]data!R445C5</stp>
        <stp>Dts=H</stp>
        <tr r="E445" s="2"/>
      </tp>
      <tp t="s">
        <v>#N/A Invalid Field</v>
        <stp/>
        <stp>##V3_BDHV12</stp>
        <stp>36201SRB7 Mtge</stp>
        <stp>MTG_GEN_CPR_3M</stp>
        <stp>20090610</stp>
        <stp>20090610</stp>
        <stp>[Copy of 02_cpr_main.xlsx]data!R473C8</stp>
        <stp>Dts=H</stp>
        <tr r="H473" s="2"/>
      </tp>
      <tp t="s">
        <v>#N/A Invalid Field</v>
        <stp/>
        <stp>##V3_BDHV12</stp>
        <stp>31411YDS9 Mtge</stp>
        <stp>MTG_GEN_CPR_6M</stp>
        <stp>20090331</stp>
        <stp>20090331</stp>
        <stp>[Copy of 02_cpr_main.xlsx]data!R399C6</stp>
        <stp>Dts=H</stp>
        <tr r="F399" s="2"/>
      </tp>
      <tp t="s">
        <v>#N/A Invalid Field</v>
        <stp/>
        <stp>##V3_BDHV12</stp>
        <stp>31414TNR8 Mtge</stp>
        <stp>MTG_GEN_CPR_3M</stp>
        <stp>20090331</stp>
        <stp>20090331</stp>
        <stp>[Copy of 02_cpr_main.xlsx]data!R444C5</stp>
        <stp>Dts=H</stp>
        <tr r="E444" s="2"/>
      </tp>
      <tp t="s">
        <v>#N/A N/A</v>
        <stp/>
        <stp>##V3_BDPV12</stp>
        <stp>31411GDL3 Mtge</stp>
        <stp>MTG_PREPAY_SPEED</stp>
        <stp>[Copy of 02_cpr_main.xlsx]data!R391C12</stp>
        <tr r="L391" s="2"/>
      </tp>
      <tp t="s">
        <v>#N/A Invalid Field</v>
        <stp/>
        <stp>##V3_BDHV12</stp>
        <stp>31409TUG1 Mtge</stp>
        <stp>MTG_GEN_CPR_6M</stp>
        <stp>20090331</stp>
        <stp>20090331</stp>
        <stp>[Copy of 02_cpr_main.xlsx]data!R355C6</stp>
        <stp>Dts=H</stp>
        <tr r="F355" s="2"/>
      </tp>
      <tp>
        <v>182</v>
        <stp/>
        <stp>##V3_BDPV12</stp>
        <stp>31411UDL2 Mtge</stp>
        <stp>MTG_PREPAY_SPEED</stp>
        <stp>[Copy of 02_cpr_main.xlsx]data!R395C12</stp>
        <tr r="L395" s="2"/>
      </tp>
      <tp>
        <v>125</v>
        <stp/>
        <stp>##V3_BDPV12</stp>
        <stp>31410V2L3 Mtge</stp>
        <stp>MTG_PREPAY_SPEED</stp>
        <stp>[Copy of 02_cpr_main.xlsx]data!R386C12</stp>
        <tr r="L386" s="2"/>
      </tp>
      <tp>
        <v>171</v>
        <stp/>
        <stp>##V3_BDPV12</stp>
        <stp>31376J2J7 Mtge</stp>
        <stp>MTG_PREPAY_SPEED</stp>
        <stp>[Copy of 02_cpr_main.xlsx]data!R185C12</stp>
        <tr r="L185" s="2"/>
      </tp>
      <tp t="s">
        <v>#N/A Invalid Field</v>
        <stp/>
        <stp>##V3_BDHV12</stp>
        <stp>31335H4K6 Mtge</stp>
        <stp>MTG_GEN_CPR_3M</stp>
        <stp>20090610</stp>
        <stp>20090610</stp>
        <stp>[Copy of 02_cpr_main.xlsx]data!R154C8</stp>
        <stp>Dts=H</stp>
        <tr r="H154" s="2"/>
      </tp>
      <tp t="s">
        <v>#N/A Invalid Field</v>
        <stp/>
        <stp>##V3_BDHV12</stp>
        <stp>31371K6K2 Mtge</stp>
        <stp>MTG_GEN_CPR_3M</stp>
        <stp>20090610</stp>
        <stp>20090610</stp>
        <stp>[Copy of 02_cpr_main.xlsx]data!R169C8</stp>
        <stp>Dts=H</stp>
        <tr r="H169" s="2"/>
      </tp>
      <tp t="s">
        <v>#N/A Invalid Field</v>
        <stp/>
        <stp>##V3_BDHV12</stp>
        <stp>31403DDK2 Mtge</stp>
        <stp>MTG_GEN_CPR_6M</stp>
        <stp>20090610</stp>
        <stp>20090610</stp>
        <stp>[Copy of 02_cpr_main.xlsx]data!R295C9</stp>
        <stp>Dts=H</stp>
        <tr r="I295" s="2"/>
      </tp>
      <tp t="s">
        <v>#N/A Invalid Field</v>
        <stp/>
        <stp>##V3_BDHV12</stp>
        <stp>31403DET2 Mtge</stp>
        <stp>MTG_GEN_CPR_6M</stp>
        <stp>20090610</stp>
        <stp>20090610</stp>
        <stp>[Copy of 02_cpr_main.xlsx]data!R298C9</stp>
        <stp>Dts=H</stp>
        <tr r="I298" s="2"/>
      </tp>
      <tp t="s">
        <v>#N/A Invalid Field</v>
        <stp/>
        <stp>##V3_BDHV12</stp>
        <stp>31380GNU9 Mtge</stp>
        <stp>MTG_GEN_CPR_3M</stp>
        <stp>20090331</stp>
        <stp>20090331</stp>
        <stp>[Copy of 02_cpr_main.xlsx]data!R191C5</stp>
        <stp>Dts=H</stp>
        <tr r="E191" s="2"/>
      </tp>
      <tp t="s">
        <v>#N/A Invalid Field</v>
        <stp/>
        <stp>##V3_BDHV12</stp>
        <stp>31404M5N4 Mtge</stp>
        <stp>MTG_GEN_CPR_6M</stp>
        <stp>20090610</stp>
        <stp>20090610</stp>
        <stp>[Copy of 02_cpr_main.xlsx]data!R316C9</stp>
        <stp>Dts=H</stp>
        <tr r="I316" s="2"/>
      </tp>
      <tp t="s">
        <v>#N/A Invalid Field</v>
        <stp/>
        <stp>##V3_BDHV12</stp>
        <stp>36225BAP3 Mtge</stp>
        <stp>MTG_GEN_CPR_3M</stp>
        <stp>20090610</stp>
        <stp>20090610</stp>
        <stp>[Copy of 02_cpr_main.xlsx]data!R490C8</stp>
        <stp>Dts=H</stp>
        <tr r="H490" s="2"/>
      </tp>
      <tp t="s">
        <v>#N/A Invalid Field</v>
        <stp/>
        <stp>##V3_BDHV12</stp>
        <stp>36225BG93 Mtge</stp>
        <stp>MTG_GEN_CPR_3M</stp>
        <stp>20090610</stp>
        <stp>20090610</stp>
        <stp>[Copy of 02_cpr_main.xlsx]data!R492C8</stp>
        <stp>Dts=H</stp>
        <tr r="H492" s="2"/>
      </tp>
      <tp t="s">
        <v>#N/A Invalid Field</v>
        <stp/>
        <stp>##V3_BDHV12</stp>
        <stp>31401JTD0 Mtge</stp>
        <stp>MTG_GEN_CPR_6M</stp>
        <stp>20090610</stp>
        <stp>20090610</stp>
        <stp>[Copy of 02_cpr_main.xlsx]data!R254C9</stp>
        <stp>Dts=H</stp>
        <tr r="I254" s="2"/>
      </tp>
      <tp t="s">
        <v>#N/A Invalid Field</v>
        <stp/>
        <stp>##V3_BDHV12</stp>
        <stp>31414KAV2 Mtge</stp>
        <stp>MTG_GEN_CPR_3M</stp>
        <stp>20090610</stp>
        <stp>20090610</stp>
        <stp>[Copy of 02_cpr_main.xlsx]data!R440C8</stp>
        <stp>Dts=H</stp>
        <tr r="H440" s="2"/>
      </tp>
      <tp t="s">
        <v>#N/A Invalid Field</v>
        <stp/>
        <stp>##V3_BDHV12</stp>
        <stp>36291ACW7 Mtge</stp>
        <stp>MTG_GEN_CPR_3M</stp>
        <stp>20090610</stp>
        <stp>20090610</stp>
        <stp>[Copy of 02_cpr_main.xlsx]data!R499C8</stp>
        <stp>Dts=H</stp>
        <tr r="H499" s="2"/>
      </tp>
      <tp t="s">
        <v>#N/A Invalid Field</v>
        <stp/>
        <stp>##V3_BDHV12</stp>
        <stp>31411GP30 Mtge</stp>
        <stp>MTG_GEN_CPR_3M</stp>
        <stp>20090610</stp>
        <stp>20090610</stp>
        <stp>[Copy of 02_cpr_main.xlsx]data!R392C8</stp>
        <stp>Dts=H</stp>
        <tr r="H392" s="2"/>
      </tp>
      <tp t="s">
        <v>#N/A Invalid Field</v>
        <stp/>
        <stp>##V3_BDHV12</stp>
        <stp>31382DQ98 Mtge</stp>
        <stp>MTG_GEN_CPR_6M</stp>
        <stp>20090331</stp>
        <stp>20090331</stp>
        <stp>[Copy of 02_cpr_main.xlsx]data!R195C6</stp>
        <stp>Dts=H</stp>
        <tr r="F195" s="2"/>
      </tp>
      <tp t="s">
        <v>#N/A Invalid Field</v>
        <stp/>
        <stp>##V3_BDHV12</stp>
        <stp>31401KCF0 Mtge</stp>
        <stp>MTG_GEN_CPR_6M</stp>
        <stp>20090610</stp>
        <stp>20090610</stp>
        <stp>[Copy of 02_cpr_main.xlsx]data!R256C9</stp>
        <stp>Dts=H</stp>
        <tr r="I256" s="2"/>
      </tp>
      <tp t="s">
        <v>#N/A Invalid Field</v>
        <stp/>
        <stp>##V3_BDHV12</stp>
        <stp>31371HNJ3 Mtge</stp>
        <stp>MTG_GEN_CPR_6M</stp>
        <stp>20090610</stp>
        <stp>20090610</stp>
        <stp>[Copy of 02_cpr_main.xlsx]data!R164C9</stp>
        <stp>Dts=H</stp>
        <tr r="I164" s="2"/>
      </tp>
      <tp t="s">
        <v>#N/A Invalid Field</v>
        <stp/>
        <stp>##V3_BDHV12</stp>
        <stp>31413K5A5 Mtge</stp>
        <stp>MTG_GEN_CPR_3M</stp>
        <stp>20090610</stp>
        <stp>20090610</stp>
        <stp>[Copy of 02_cpr_main.xlsx]data!R423C8</stp>
        <stp>Dts=H</stp>
        <tr r="H423" s="2"/>
      </tp>
      <tp t="s">
        <v>#N/A Invalid Field</v>
        <stp/>
        <stp>##V3_BDHV12</stp>
        <stp>36209EX56 Mtge</stp>
        <stp>MTG_GEN_CPR_6M</stp>
        <stp>20090331</stp>
        <stp>20090331</stp>
        <stp>[Copy of 02_cpr_main.xlsx]data!R481C6</stp>
        <stp>Dts=H</stp>
        <tr r="F481" s="2"/>
      </tp>
      <tp t="s">
        <v>#N/A Invalid Field</v>
        <stp/>
        <stp>##V3_BDHV12</stp>
        <stp>31296MC64 Mtge</stp>
        <stp>MTG_GEN_CPR_6M</stp>
        <stp>20090610</stp>
        <stp>20090610</stp>
        <stp>[Copy of 02_cpr_main.xlsx]data!R143C9</stp>
        <stp>Dts=H</stp>
        <tr r="I143" s="2"/>
      </tp>
      <tp t="s">
        <v>#N/A Invalid Field</v>
        <stp/>
        <stp>##V3_BDHV12</stp>
        <stp>31413KBU4 Mtge</stp>
        <stp>MTG_GEN_CPR_6M</stp>
        <stp>20090610</stp>
        <stp>20090610</stp>
        <stp>[Copy of 02_cpr_main.xlsx]data!R424C9</stp>
        <stp>Dts=H</stp>
        <tr r="I424" s="2"/>
      </tp>
      <tp t="s">
        <v>#N/A Invalid Field</v>
        <stp/>
        <stp>##V3_BDHV12</stp>
        <stp>31294J3N6 Mtge</stp>
        <stp>MTG_GEN_CPR_6M</stp>
        <stp>20090610</stp>
        <stp>20090610</stp>
        <stp>[Copy of 02_cpr_main.xlsx]data!R126C9</stp>
        <stp>Dts=H</stp>
        <tr r="I126" s="2"/>
      </tp>
      <tp t="s">
        <v>#N/A Invalid Field</v>
        <stp/>
        <stp>##V3_BDHV12</stp>
        <stp>31391KAL1 Mtge</stp>
        <stp>MTG_GEN_CPR_3M</stp>
        <stp>20090610</stp>
        <stp>20090610</stp>
        <stp>[Copy of 02_cpr_main.xlsx]data!R237C8</stp>
        <stp>Dts=H</stp>
        <tr r="H237" s="2"/>
      </tp>
      <tp t="s">
        <v>#N/A Invalid Field</v>
        <stp/>
        <stp>##V3_BDHV12</stp>
        <stp>31406H3D7 Mtge</stp>
        <stp>MTG_GEN_CPR_3M</stp>
        <stp>20090610</stp>
        <stp>20090610</stp>
        <stp>[Copy of 02_cpr_main.xlsx]data!R337C8</stp>
        <stp>Dts=H</stp>
        <tr r="H337" s="2"/>
      </tp>
      <tp t="s">
        <v>#N/A Invalid Field</v>
        <stp/>
        <stp>##V3_BDHV12</stp>
        <stp>31403K4Q3 Mtge</stp>
        <stp>MTG_GEN_CPR_6M</stp>
        <stp>20090610</stp>
        <stp>20090610</stp>
        <stp>[Copy of 02_cpr_main.xlsx]data!R307C9</stp>
        <stp>Dts=H</stp>
        <tr r="I307" s="2"/>
      </tp>
      <tp t="s">
        <v>#N/A Invalid Field</v>
        <stp/>
        <stp>##V3_BDHV12</stp>
        <stp>31292J5V8 Mtge</stp>
        <stp>MTG_GEN_CPR_6M</stp>
        <stp>20090331</stp>
        <stp>20090331</stp>
        <stp>[Copy of 02_cpr_main.xlsx]data!R120C6</stp>
        <stp>Dts=H</stp>
        <tr r="F120" s="2"/>
      </tp>
      <tp t="s">
        <v>#N/A Invalid Field</v>
        <stp/>
        <stp>##V3_BDHV12</stp>
        <stp>31371LQW2 Mtge</stp>
        <stp>MTG_GEN_CPR_3M</stp>
        <stp>20090610</stp>
        <stp>20090610</stp>
        <stp>[Copy of 02_cpr_main.xlsx]data!R176C8</stp>
        <stp>Dts=H</stp>
        <tr r="H176" s="2"/>
      </tp>
      <tp t="s">
        <v>#N/A Invalid Field</v>
        <stp/>
        <stp>##V3_BDHV12</stp>
        <stp>36211DPQ7 Mtge</stp>
        <stp>MTG_GEN_CPR_3M</stp>
        <stp>20090610</stp>
        <stp>20090610</stp>
        <stp>[Copy of 02_cpr_main.xlsx]data!R486C8</stp>
        <stp>Dts=H</stp>
        <tr r="H486" s="2"/>
      </tp>
      <tp t="s">
        <v>#N/A Invalid Field</v>
        <stp/>
        <stp>##V3_BDHV12</stp>
        <stp>31371LDY2 Mtge</stp>
        <stp>MTG_GEN_CPR_3M</stp>
        <stp>20090610</stp>
        <stp>20090610</stp>
        <stp>[Copy of 02_cpr_main.xlsx]data!R175C8</stp>
        <stp>Dts=H</stp>
        <tr r="H175" s="2"/>
      </tp>
      <tp t="s">
        <v>#N/A Invalid Field</v>
        <stp/>
        <stp>##V3_BDHV12</stp>
        <stp>31389HN79 Mtge</stp>
        <stp>MTG_GEN_CPR_3M</stp>
        <stp>20090610</stp>
        <stp>20090610</stp>
        <stp>[Copy of 02_cpr_main.xlsx]data!R230C8</stp>
        <stp>Dts=H</stp>
        <tr r="H230" s="2"/>
      </tp>
      <tp t="s">
        <v>#N/A Invalid Field</v>
        <stp/>
        <stp>##V3_BDHV12</stp>
        <stp>31403C2Z3 Mtge</stp>
        <stp>MTG_GEN_CPR_3M</stp>
        <stp>20090610</stp>
        <stp>20090610</stp>
        <stp>[Copy of 02_cpr_main.xlsx]data!R292C8</stp>
        <stp>Dts=H</stp>
        <tr r="H292" s="2"/>
      </tp>
      <tp t="s">
        <v>#N/A Invalid Field</v>
        <stp/>
        <stp>##V3_BDHV12</stp>
        <stp>31410M4L1 Mtge</stp>
        <stp>MTG_GEN_CPR_3M</stp>
        <stp>20090610</stp>
        <stp>20090610</stp>
        <stp>[Copy of 02_cpr_main.xlsx]data!R378C8</stp>
        <stp>Dts=H</stp>
        <tr r="H378" s="2"/>
      </tp>
      <tp t="s">
        <v>#N/A Invalid Field</v>
        <stp/>
        <stp>##V3_BDHV12</stp>
        <stp>31403CUZ2 Mtge</stp>
        <stp>MTG_GEN_CPR_6M</stp>
        <stp>20090610</stp>
        <stp>20090610</stp>
        <stp>[Copy of 02_cpr_main.xlsx]data!R294C9</stp>
        <stp>Dts=H</stp>
        <tr r="I294" s="2"/>
      </tp>
      <tp t="s">
        <v>#N/A Invalid Field</v>
        <stp/>
        <stp>##V3_BDHV12</stp>
        <stp>31371MWJ2 Mtge</stp>
        <stp>MTG_GEN_CPR_3M</stp>
        <stp>20090610</stp>
        <stp>20090610</stp>
        <stp>[Copy of 02_cpr_main.xlsx]data!R179C8</stp>
        <stp>Dts=H</stp>
        <tr r="H179" s="2"/>
      </tp>
      <tp t="s">
        <v>#N/A Invalid Field</v>
        <stp/>
        <stp>##V3_BDHV12</stp>
        <stp>31415A3C3 Mtge</stp>
        <stp>MTG_GEN_CPR_3M</stp>
        <stp>20090610</stp>
        <stp>20090610</stp>
        <stp>[Copy of 02_cpr_main.xlsx]data!R446C8</stp>
        <stp>Dts=H</stp>
        <tr r="H446" s="2"/>
      </tp>
      <tp t="s">
        <v>#N/A Invalid Field</v>
        <stp/>
        <stp>##V3_BDHV12</stp>
        <stp>31292G6T8 Mtge</stp>
        <stp>MTG_GEN_CPR_6M</stp>
        <stp>20090331</stp>
        <stp>20090331</stp>
        <stp>[Copy of 02_cpr_main.xlsx]data!R115C6</stp>
        <stp>Dts=H</stp>
        <tr r="F115" s="2"/>
      </tp>
      <tp t="s">
        <v>#N/A Invalid Field</v>
        <stp/>
        <stp>##V3_BDHV12</stp>
        <stp>31403F6S8 Mtge</stp>
        <stp>MTG_GEN_CPR_3M</stp>
        <stp>20090331</stp>
        <stp>20090331</stp>
        <stp>[Copy of 02_cpr_main.xlsx]data!R306C5</stp>
        <stp>Dts=H</stp>
        <tr r="E306" s="2"/>
      </tp>
      <tp t="s">
        <v>#N/A Invalid Field</v>
        <stp/>
        <stp>##V3_BDHV12</stp>
        <stp>31292GYA8 Mtge</stp>
        <stp>MTG_GEN_CPR_6M</stp>
        <stp>20090331</stp>
        <stp>20090331</stp>
        <stp>[Copy of 02_cpr_main.xlsx]data!R117C6</stp>
        <stp>Dts=H</stp>
        <tr r="F117" s="2"/>
      </tp>
      <tp t="s">
        <v>#N/A Invalid Field</v>
        <stp/>
        <stp>##V3_BDHV12</stp>
        <stp>31371NJD8 Mtge</stp>
        <stp>MTG_GEN_CPR_3M</stp>
        <stp>20090331</stp>
        <stp>20090331</stp>
        <stp>[Copy of 02_cpr_main.xlsx]data!R181C5</stp>
        <stp>Dts=H</stp>
        <tr r="E181" s="2"/>
      </tp>
      <tp t="s">
        <v>#N/A Invalid Field</v>
        <stp/>
        <stp>##V3_BDHV12</stp>
        <stp>31390EJB9 Mtge</stp>
        <stp>MTG_GEN_CPR_6M</stp>
        <stp>20090331</stp>
        <stp>20090331</stp>
        <stp>[Copy of 02_cpr_main.xlsx]data!R231C6</stp>
        <stp>Dts=H</stp>
        <tr r="F231" s="2"/>
      </tp>
      <tp t="s">
        <v>#N/A Invalid Field</v>
        <stp/>
        <stp>##V3_BDHV12</stp>
        <stp>31403DV22 Mtge</stp>
        <stp>MTG_GEN_CPR_3M</stp>
        <stp>20090610</stp>
        <stp>20090610</stp>
        <stp>[Copy of 02_cpr_main.xlsx]data!R303C8</stp>
        <stp>Dts=H</stp>
        <tr r="H303" s="2"/>
      </tp>
      <tp t="s">
        <v>#N/A Invalid Field</v>
        <stp/>
        <stp>##V3_BDHV12</stp>
        <stp>31412DYV4 Mtge</stp>
        <stp>MTG_GEN_CPR_3M</stp>
        <stp>20090610</stp>
        <stp>20090610</stp>
        <stp>[Copy of 02_cpr_main.xlsx]data!R404C8</stp>
        <stp>Dts=H</stp>
        <tr r="H404" s="2"/>
      </tp>
      <tp t="s">
        <v>#N/A Invalid Field</v>
        <stp/>
        <stp>##V3_BDHV12</stp>
        <stp>31293FJZ1 Mtge</stp>
        <stp>MTG_GEN_CPR_6M</stp>
        <stp>20090610</stp>
        <stp>20090610</stp>
        <stp>[Copy of 02_cpr_main.xlsx]data!R121C9</stp>
        <stp>Dts=H</stp>
        <tr r="I121" s="2"/>
      </tp>
      <tp t="s">
        <v>#N/A Invalid Field</v>
        <stp/>
        <stp>##V3_BDHV12</stp>
        <stp>31403DR68 Mtge</stp>
        <stp>MTG_GEN_CPR_3M</stp>
        <stp>20090331</stp>
        <stp>20090331</stp>
        <stp>[Copy of 02_cpr_main.xlsx]data!R301C5</stp>
        <stp>Dts=H</stp>
        <tr r="E301" s="2"/>
      </tp>
      <tp t="s">
        <v>#N/A Invalid Field</v>
        <stp/>
        <stp>##V3_BDHV12</stp>
        <stp>31292G2K1 Mtge</stp>
        <stp>MTG_GEN_CPR_3M</stp>
        <stp>20090610</stp>
        <stp>20090610</stp>
        <stp>[Copy of 02_cpr_main.xlsx]data!R113C8</stp>
        <stp>Dts=H</stp>
        <tr r="H113" s="2"/>
      </tp>
      <tp t="s">
        <v>#N/A Invalid Field</v>
        <stp/>
        <stp>##V3_BDHV12</stp>
        <stp>31402C5E8 Mtge</stp>
        <stp>MTG_GEN_CPR_3M</stp>
        <stp>20090331</stp>
        <stp>20090331</stp>
        <stp>[Copy of 02_cpr_main.xlsx]data!R263C5</stp>
        <stp>Dts=H</stp>
        <tr r="E263" s="2"/>
      </tp>
      <tp t="s">
        <v>#N/A Invalid Field</v>
        <stp/>
        <stp>##V3_BDHV12</stp>
        <stp>31402CQZ8 Mtge</stp>
        <stp>MTG_GEN_CPR_3M</stp>
        <stp>20090331</stp>
        <stp>20090331</stp>
        <stp>[Copy of 02_cpr_main.xlsx]data!R265C5</stp>
        <stp>Dts=H</stp>
        <tr r="E265" s="2"/>
      </tp>
      <tp t="s">
        <v>#N/A Invalid Field</v>
        <stp/>
        <stp>##V3_BDHV12</stp>
        <stp>31414FPH8 Mtge</stp>
        <stp>MTG_GEN_CPR_3M</stp>
        <stp>20090331</stp>
        <stp>20090331</stp>
        <stp>[Copy of 02_cpr_main.xlsx]data!R438C5</stp>
        <stp>Dts=H</stp>
        <tr r="E438" s="2"/>
      </tp>
      <tp t="s">
        <v>#N/A Invalid Field</v>
        <stp/>
        <stp>##V3_BDHV12</stp>
        <stp>31404GGN5 Mtge</stp>
        <stp>MTG_GEN_CPR_3M</stp>
        <stp>20090610</stp>
        <stp>20090610</stp>
        <stp>[Copy of 02_cpr_main.xlsx]data!R313C8</stp>
        <stp>Dts=H</stp>
        <tr r="H313" s="2"/>
      </tp>
      <tp t="s">
        <v>#N/A Invalid Field</v>
        <stp/>
        <stp>##V3_BDHV12</stp>
        <stp>31371NGU3 Mtge</stp>
        <stp>MTG_GEN_CPR_6M</stp>
        <stp>20090610</stp>
        <stp>20090610</stp>
        <stp>[Copy of 02_cpr_main.xlsx]data!R180C9</stp>
        <stp>Dts=H</stp>
        <tr r="I180" s="2"/>
      </tp>
      <tp t="s">
        <v>#N/A Invalid Field</v>
        <stp/>
        <stp>##V3_BDHV12</stp>
        <stp>31403EDC8 Mtge</stp>
        <stp>MTG_GEN_CPR_3M</stp>
        <stp>20090331</stp>
        <stp>20090331</stp>
        <stp>[Copy of 02_cpr_main.xlsx]data!R305C5</stp>
        <stp>Dts=H</stp>
        <tr r="E305" s="2"/>
      </tp>
      <tp t="s">
        <v>#N/A Invalid Field</v>
        <stp/>
        <stp>##V3_BDHV12</stp>
        <stp>31405CQ85 Mtge</stp>
        <stp>MTG_GEN_CPR_6M</stp>
        <stp>20090610</stp>
        <stp>20090610</stp>
        <stp>[Copy of 02_cpr_main.xlsx]data!R324C9</stp>
        <stp>Dts=H</stp>
        <tr r="I324" s="2"/>
      </tp>
      <tp t="s">
        <v>#N/A Invalid Field</v>
        <stp/>
        <stp>##V3_BDHV12</stp>
        <stp>31410DXZ8 Mtge</stp>
        <stp>MTG_GEN_CPR_6M</stp>
        <stp>20090331</stp>
        <stp>20090331</stp>
        <stp>[Copy of 02_cpr_main.xlsx]data!R360C6</stp>
        <stp>Dts=H</stp>
        <tr r="F360" s="2"/>
      </tp>
      <tp t="s">
        <v>#N/A Invalid Field</v>
        <stp/>
        <stp>##V3_BDHV12</stp>
        <stp>31382HBK0 Mtge</stp>
        <stp>MTG_GEN_CPR_6M</stp>
        <stp>20090610</stp>
        <stp>20090610</stp>
        <stp>[Copy of 02_cpr_main.xlsx]data!R196C9</stp>
        <stp>Dts=H</stp>
        <tr r="I196" s="2"/>
      </tp>
      <tp t="s">
        <v>#N/A Invalid Field</v>
        <stp/>
        <stp>##V3_BDHV12</stp>
        <stp>31410GJB0 Mtge</stp>
        <stp>MTG_GEN_CPR_6M</stp>
        <stp>20090610</stp>
        <stp>20090610</stp>
        <stp>[Copy of 02_cpr_main.xlsx]data!R369C9</stp>
        <stp>Dts=H</stp>
        <tr r="I369" s="2"/>
      </tp>
      <tp t="s">
        <v>#N/A Invalid Field</v>
        <stp/>
        <stp>##V3_BDHV12</stp>
        <stp>31410GFV0 Mtge</stp>
        <stp>MTG_GEN_CPR_6M</stp>
        <stp>20090610</stp>
        <stp>20090610</stp>
        <stp>[Copy of 02_cpr_main.xlsx]data!R366C9</stp>
        <stp>Dts=H</stp>
        <tr r="I366" s="2"/>
      </tp>
      <tp t="s">
        <v>#N/A Invalid Field</v>
        <stp/>
        <stp>##V3_BDHV12</stp>
        <stp>31414CV88 Mtge</stp>
        <stp>MTG_GEN_CPR_3M</stp>
        <stp>20090331</stp>
        <stp>20090331</stp>
        <stp>[Copy of 02_cpr_main.xlsx]data!R435C5</stp>
        <stp>Dts=H</stp>
        <tr r="E435" s="2"/>
      </tp>
      <tp t="s">
        <v>#N/A Invalid Field</v>
        <stp/>
        <stp>##V3_BDHV12</stp>
        <stp>36210LPE7 Mtge</stp>
        <stp>MTG_GEN_CPR_6M</stp>
        <stp>20090610</stp>
        <stp>20090610</stp>
        <stp>[Copy of 02_cpr_main.xlsx]data!R484C9</stp>
        <stp>Dts=H</stp>
        <tr r="I484" s="2"/>
      </tp>
      <tp t="s">
        <v>#N/A Invalid Field</v>
        <stp/>
        <stp>##V3_BDHV12</stp>
        <stp>31402DDK3 Mtge</stp>
        <stp>MTG_GEN_CPR_6M</stp>
        <stp>20090610</stp>
        <stp>20090610</stp>
        <stp>[Copy of 02_cpr_main.xlsx]data!R269C9</stp>
        <stp>Dts=H</stp>
        <tr r="I269" s="2"/>
      </tp>
      <tp t="s">
        <v>#N/A Invalid Field</v>
        <stp/>
        <stp>##V3_BDHV12</stp>
        <stp>3128CUHK5 Mtge</stp>
        <stp>MTG_GEN_CPR_12M</stp>
        <stp>20090331</stp>
        <stp>20090331</stp>
        <stp>[Copy of 02_cpr_main.xlsx]data!R41C7</stp>
        <stp>Dts=H</stp>
        <tr r="G41" s="2"/>
      </tp>
      <tp t="s">
        <v>#N/A Invalid Field</v>
        <stp/>
        <stp>##V3_BDHV12</stp>
        <stp>3128GDZX1 Mtge</stp>
        <stp>MTG_GEN_CPR_12M</stp>
        <stp>20090331</stp>
        <stp>20090331</stp>
        <stp>[Copy of 02_cpr_main.xlsx]data!R50C7</stp>
        <stp>Dts=H</stp>
        <tr r="G50" s="2"/>
      </tp>
      <tp t="s">
        <v>#N/A Invalid Field</v>
        <stp/>
        <stp>##V3_BDHV12</stp>
        <stp>3128GGEV1 Mtge</stp>
        <stp>MTG_GEN_CPR_12M</stp>
        <stp>20090331</stp>
        <stp>20090331</stp>
        <stp>[Copy of 02_cpr_main.xlsx]data!R55C7</stp>
        <stp>Dts=H</stp>
        <tr r="G55" s="2"/>
      </tp>
    </main>
    <main first="bloomberg.rtd">
      <tp>
        <v>115</v>
        <stp/>
        <stp>##V3_BDPV12</stp>
        <stp>01F042640 Mtge</stp>
        <stp>MTG_PREPAY_SPEED</stp>
        <stp>[Copy of 02_cpr_main.xlsx]data!R3C12</stp>
        <tr r="L3" s="2"/>
      </tp>
      <tp>
        <v>161</v>
        <stp/>
        <stp>##V3_BDPV12</stp>
        <stp>01F052656 Mtge</stp>
        <stp>MTG_PREPAY_SPEED</stp>
        <stp>[Copy of 02_cpr_main.xlsx]data!R9C12</stp>
        <tr r="L9" s="2"/>
      </tp>
      <tp>
        <v>204</v>
        <stp/>
        <stp>##V3_BDPV12</stp>
        <stp>01F052441 Mtge</stp>
        <stp>MTG_PREPAY_SPEED</stp>
        <stp>[Copy of 02_cpr_main.xlsx]data!R8C12</stp>
        <tr r="L8" s="2"/>
      </tp>
    </main>
    <main first="bloomberg.rtd">
      <tp t="s">
        <v>#N/A Invalid Field</v>
        <stp/>
        <stp>##V3_BDHV12</stp>
        <stp>31391YTH0 Mtge</stp>
        <stp>MTG_GEN_CPR_3M</stp>
        <stp>20090610</stp>
        <stp>20090610</stp>
        <stp>[Copy of 02_cpr_main.xlsx]data!R243C8</stp>
        <stp>Dts=H</stp>
        <tr r="H243" s="2"/>
      </tp>
      <tp t="s">
        <v>#N/A Invalid Field</v>
        <stp/>
        <stp>##V3_BDHV12</stp>
        <stp>31415XJE2 Mtge</stp>
        <stp>MTG_GEN_CPR_3M</stp>
        <stp>20090610</stp>
        <stp>20090610</stp>
        <stp>[Copy of 02_cpr_main.xlsx]data!R458C8</stp>
        <stp>Dts=H</stp>
        <tr r="H458" s="2"/>
      </tp>
      <tp t="s">
        <v>#N/A Invalid Field</v>
        <stp/>
        <stp>##V3_BDHV12</stp>
        <stp>31402WMC9 Mtge</stp>
        <stp>MTG_GEN_CPR_3M</stp>
        <stp>20090331</stp>
        <stp>20090331</stp>
        <stp>[Copy of 02_cpr_main.xlsx]data!R290C5</stp>
        <stp>Dts=H</stp>
        <tr r="E290" s="2"/>
      </tp>
      <tp t="s">
        <v>#N/A N/A</v>
        <stp/>
        <stp>##V3_BDPV12</stp>
        <stp>312967ME9 Mtge</stp>
        <stp>MTG_PREPAY_SPEED</stp>
        <stp>[Copy of 02_cpr_main.xlsx]data!R141C12</stp>
        <tr r="L141" s="2"/>
      </tp>
      <tp t="s">
        <v>#N/A N/A</v>
        <stp/>
        <stp>##V3_BDPV12</stp>
        <stp>31413GMM9 Mtge</stp>
        <stp>MTG_PREPAY_SPEED</stp>
        <stp>[Copy of 02_cpr_main.xlsx]data!R420C12</stp>
        <tr r="L420" s="2"/>
      </tp>
      <tp>
        <v>160</v>
        <stp/>
        <stp>##V3_BDPV12</stp>
        <stp>36200QSL9 Mtge</stp>
        <stp>MTG_PREPAY_SPEED</stp>
        <stp>[Copy of 02_cpr_main.xlsx]data!R468C12</stp>
        <tr r="L468" s="2"/>
      </tp>
      <tp>
        <v>171</v>
        <stp/>
        <stp>##V3_BDPV12</stp>
        <stp>31374GNK9 Mtge</stp>
        <stp>MTG_PREPAY_SPEED</stp>
        <stp>[Copy of 02_cpr_main.xlsx]data!R184C12</stp>
        <tr r="L184" s="2"/>
      </tp>
      <tp t="s">
        <v>#N/A Invalid Field</v>
        <stp/>
        <stp>##V3_BDHV12</stp>
        <stp>36290W3Y6 Mtge</stp>
        <stp>MTG_GEN_CPR_6M</stp>
        <stp>20090610</stp>
        <stp>20090610</stp>
        <stp>[Copy of 02_cpr_main.xlsx]data!R498C9</stp>
        <stp>Dts=H</stp>
        <tr r="I498" s="2"/>
      </tp>
      <tp t="s">
        <v>#N/A Invalid Field</v>
        <stp/>
        <stp>##V3_BDHV12</stp>
        <stp>31410RP29 Mtge</stp>
        <stp>MTG_GEN_CPR_6M</stp>
        <stp>20090331</stp>
        <stp>20090331</stp>
        <stp>[Copy of 02_cpr_main.xlsx]data!R382C6</stp>
        <stp>Dts=H</stp>
        <tr r="F382" s="2"/>
      </tp>
      <tp t="s">
        <v>#N/A Invalid Field</v>
        <stp/>
        <stp>##V3_BDHV12</stp>
        <stp>31402REL9 Mtge</stp>
        <stp>MTG_GEN_CPR_3M</stp>
        <stp>20090331</stp>
        <stp>20090331</stp>
        <stp>[Copy of 02_cpr_main.xlsx]data!R282C5</stp>
        <stp>Dts=H</stp>
        <tr r="E282" s="2"/>
      </tp>
      <tp t="s">
        <v>#N/A Invalid Field</v>
        <stp/>
        <stp>##V3_BDHV12</stp>
        <stp>31402RCV9 Mtge</stp>
        <stp>MTG_GEN_CPR_3M</stp>
        <stp>20090331</stp>
        <stp>20090331</stp>
        <stp>[Copy of 02_cpr_main.xlsx]data!R280C5</stp>
        <stp>Dts=H</stp>
        <tr r="E280" s="2"/>
      </tp>
      <tp t="s">
        <v>#N/A Invalid Field</v>
        <stp/>
        <stp>##V3_BDHV12</stp>
        <stp>31402RLV9 Mtge</stp>
        <stp>MTG_GEN_CPR_3M</stp>
        <stp>20090331</stp>
        <stp>20090331</stp>
        <stp>[Copy of 02_cpr_main.xlsx]data!R286C5</stp>
        <stp>Dts=H</stp>
        <tr r="E286" s="2"/>
      </tp>
      <tp t="s">
        <v>#N/A Invalid Field</v>
        <stp/>
        <stp>##V3_BDHV12</stp>
        <stp>31410S5Y9 Mtge</stp>
        <stp>MTG_GEN_CPR_6M</stp>
        <stp>20090331</stp>
        <stp>20090331</stp>
        <stp>[Copy of 02_cpr_main.xlsx]data!R383C6</stp>
        <stp>Dts=H</stp>
        <tr r="F383" s="2"/>
      </tp>
      <tp t="s">
        <v>#N/A Invalid Field</v>
        <stp/>
        <stp>##V3_BDHV12</stp>
        <stp>31382XQE3 Mtge</stp>
        <stp>MTG_GEN_CPR_3M</stp>
        <stp>20090610</stp>
        <stp>20090610</stp>
        <stp>[Copy of 02_cpr_main.xlsx]data!R206C8</stp>
        <stp>Dts=H</stp>
        <tr r="H206" s="2"/>
      </tp>
      <tp t="s">
        <v>#N/A N/A</v>
        <stp/>
        <stp>##V3_BDPV12</stp>
        <stp>31410PYM9 Mtge</stp>
        <stp>MTG_PREPAY_SPEED</stp>
        <stp>[Copy of 02_cpr_main.xlsx]data!R380C12</stp>
        <tr r="L380" s="2"/>
      </tp>
      <tp>
        <v>203</v>
        <stp/>
        <stp>##V3_BDPV12</stp>
        <stp>31410DVM9 Mtge</stp>
        <stp>MTG_PREPAY_SPEED</stp>
        <stp>[Copy of 02_cpr_main.xlsx]data!R359C12</stp>
        <tr r="L359" s="2"/>
      </tp>
      <tp t="s">
        <v>#N/A Invalid Field</v>
        <stp/>
        <stp>##V3_BDHV12</stp>
        <stp>31410PYM9 Mtge</stp>
        <stp>MTG_GEN_CPR_6M</stp>
        <stp>20090331</stp>
        <stp>20090331</stp>
        <stp>[Copy of 02_cpr_main.xlsx]data!R380C6</stp>
        <stp>Dts=H</stp>
        <tr r="F380" s="2"/>
      </tp>
      <tp t="s">
        <v>#N/A Invalid Field</v>
        <stp/>
        <stp>##V3_BDHV12</stp>
        <stp>31404YDK5 Mtge</stp>
        <stp>MTG_GEN_CPR_6M</stp>
        <stp>20090610</stp>
        <stp>20090610</stp>
        <stp>[Copy of 02_cpr_main.xlsx]data!R322C9</stp>
        <stp>Dts=H</stp>
        <tr r="I322" s="2"/>
      </tp>
      <tp>
        <v>1.33</v>
        <stp/>
        <stp>##V3_BDPV12</stp>
        <stp>31402REL9 Mtge</stp>
        <stp>MTG_PREPAY_SPEED</stp>
        <stp>[Copy of 02_cpr_main.xlsx]data!R282C12</stp>
        <tr r="L282" s="2"/>
      </tp>
      <tp t="s">
        <v>#N/A Invalid Field</v>
        <stp/>
        <stp>##V3_BDHV12</stp>
        <stp>31405YXX4 Mtge</stp>
        <stp>MTG_GEN_CPR_6M</stp>
        <stp>20090610</stp>
        <stp>20090610</stp>
        <stp>[Copy of 02_cpr_main.xlsx]data!R332C9</stp>
        <stp>Dts=H</stp>
        <tr r="I332" s="2"/>
      </tp>
      <tp t="s">
        <v>#N/A Invalid Field</v>
        <stp/>
        <stp>##V3_BDHV12</stp>
        <stp>31402Q4R9 Mtge</stp>
        <stp>MTG_GEN_CPR_3M</stp>
        <stp>20090331</stp>
        <stp>20090331</stp>
        <stp>[Copy of 02_cpr_main.xlsx]data!R274C5</stp>
        <stp>Dts=H</stp>
        <tr r="E274" s="2"/>
      </tp>
      <tp t="s">
        <v>#N/A Invalid Field</v>
        <stp/>
        <stp>##V3_BDHV12</stp>
        <stp>31293WAR1 Mtge</stp>
        <stp>MTG_GEN_CPR_3M</stp>
        <stp>20090610</stp>
        <stp>20090610</stp>
        <stp>[Copy of 02_cpr_main.xlsx]data!R125C8</stp>
        <stp>Dts=H</stp>
        <tr r="H125" s="2"/>
      </tp>
      <tp t="s">
        <v>#N/A Invalid Field</v>
        <stp/>
        <stp>##V3_BDHV12</stp>
        <stp>36208YF46 Mtge</stp>
        <stp>MTG_GEN_CPR_6M</stp>
        <stp>20090331</stp>
        <stp>20090331</stp>
        <stp>[Copy of 02_cpr_main.xlsx]data!R480C6</stp>
        <stp>Dts=H</stp>
        <tr r="F480" s="2"/>
      </tp>
      <tp t="s">
        <v>#N/A Invalid Field</v>
        <stp/>
        <stp>##V3_BDHV12</stp>
        <stp>31382VHM9 Mtge</stp>
        <stp>MTG_GEN_CPR_3M</stp>
        <stp>20090331</stp>
        <stp>20090331</stp>
        <stp>[Copy of 02_cpr_main.xlsx]data!R205C5</stp>
        <stp>Dts=H</stp>
        <tr r="E205" s="2"/>
      </tp>
      <tp t="s">
        <v>#N/A Invalid Field</v>
        <stp/>
        <stp>##V3_BDHV12</stp>
        <stp>31414PTH2 Mtge</stp>
        <stp>MTG_GEN_CPR_6M</stp>
        <stp>20090610</stp>
        <stp>20090610</stp>
        <stp>[Copy of 02_cpr_main.xlsx]data!R442C9</stp>
        <stp>Dts=H</stp>
        <tr r="I442" s="2"/>
      </tp>
      <tp t="s">
        <v>#N/A Invalid Field</v>
        <stp/>
        <stp>##V3_BDHV12</stp>
        <stp>31400RXM8 Mtge</stp>
        <stp>MTG_GEN_CPR_6M</stp>
        <stp>20090331</stp>
        <stp>20090331</stp>
        <stp>[Copy of 02_cpr_main.xlsx]data!R251C6</stp>
        <stp>Dts=H</stp>
        <tr r="F251" s="2"/>
      </tp>
      <tp t="s">
        <v>#N/A N/A</v>
        <stp/>
        <stp>##V3_BDPV12</stp>
        <stp>31402QSL6 Mtge</stp>
        <stp>MTG_PREPAY_SPEED</stp>
        <stp>[Copy of 02_cpr_main.xlsx]data!R276C12</stp>
        <tr r="L276" s="2"/>
      </tp>
      <tp t="s">
        <v>#N/A Invalid Field</v>
        <stp/>
        <stp>##V3_BDHV12</stp>
        <stp>36202WGD5 Mtge</stp>
        <stp>MTG_GEN_CPR_3M</stp>
        <stp>20090610</stp>
        <stp>20090610</stp>
        <stp>[Copy of 02_cpr_main.xlsx]data!R476C8</stp>
        <stp>Dts=H</stp>
        <tr r="H476" s="2"/>
      </tp>
      <tp t="s">
        <v>#N/A Invalid Field</v>
        <stp/>
        <stp>##V3_BDHV12</stp>
        <stp>31415RFH2 Mtge</stp>
        <stp>MTG_GEN_CPR_3M</stp>
        <stp>20090610</stp>
        <stp>20090610</stp>
        <stp>[Copy of 02_cpr_main.xlsx]data!R452C8</stp>
        <stp>Dts=H</stp>
        <tr r="H452" s="2"/>
      </tp>
      <tp t="s">
        <v>#N/A Invalid Field</v>
        <stp/>
        <stp>##V3_BDHV12</stp>
        <stp>31415PGB8 Mtge</stp>
        <stp>MTG_GEN_CPR_3M</stp>
        <stp>20090331</stp>
        <stp>20090331</stp>
        <stp>[Copy of 02_cpr_main.xlsx]data!R449C5</stp>
        <stp>Dts=H</stp>
        <tr r="E449" s="2"/>
      </tp>
      <tp t="s">
        <v>#N/A N/A</v>
        <stp/>
        <stp>##V3_BDPV12</stp>
        <stp>31411UPM7 Mtge</stp>
        <stp>MTG_PREPAY_SPEED</stp>
        <stp>[Copy of 02_cpr_main.xlsx]data!R396C12</stp>
        <tr r="L396" s="2"/>
      </tp>
      <tp t="s">
        <v>#N/A Invalid Field</v>
        <stp/>
        <stp>##V3_BDHV12</stp>
        <stp>31296RSK5 Mtge</stp>
        <stp>MTG_GEN_CPR_6M</stp>
        <stp>20090610</stp>
        <stp>20090610</stp>
        <stp>[Copy of 02_cpr_main.xlsx]data!R145C9</stp>
        <stp>Dts=H</stp>
        <tr r="I145" s="2"/>
      </tp>
      <tp t="s">
        <v>#N/A Invalid Field</v>
        <stp/>
        <stp>##V3_BDHV12</stp>
        <stp>31388TC68 Mtge</stp>
        <stp>MTG_GEN_CPR_6M</stp>
        <stp>20090610</stp>
        <stp>20090610</stp>
        <stp>[Copy of 02_cpr_main.xlsx]data!R229C9</stp>
        <stp>Dts=H</stp>
        <tr r="I229" s="2"/>
      </tp>
      <tp t="s">
        <v>#N/A Invalid Field</v>
        <stp/>
        <stp>##V3_BDHV12</stp>
        <stp>31402QHS3 Mtge</stp>
        <stp>MTG_GEN_CPR_3M</stp>
        <stp>20090610</stp>
        <stp>20090610</stp>
        <stp>[Copy of 02_cpr_main.xlsx]data!R275C8</stp>
        <stp>Dts=H</stp>
        <tr r="H275" s="2"/>
      </tp>
      <tp t="s">
        <v>#N/A Invalid Field</v>
        <stp/>
        <stp>##V3_BDHV12</stp>
        <stp>31415PMH8 Mtge</stp>
        <stp>MTG_GEN_CPR_3M</stp>
        <stp>20090331</stp>
        <stp>20090331</stp>
        <stp>[Copy of 02_cpr_main.xlsx]data!R450C5</stp>
        <stp>Dts=H</stp>
        <tr r="E450" s="2"/>
      </tp>
      <tp>
        <v>236</v>
        <stp/>
        <stp>##V3_BDPV12</stp>
        <stp>36209WQL9 Mtge</stp>
        <stp>MTG_PREPAY_SPEED</stp>
        <stp>[Copy of 02_cpr_main.xlsx]data!R482C12</stp>
        <tr r="L482" s="2"/>
      </tp>
      <tp>
        <v>125</v>
        <stp/>
        <stp>##V3_BDPV12</stp>
        <stp>31402RJL4 Mtge</stp>
        <stp>MTG_PREPAY_SPEED</stp>
        <stp>[Copy of 02_cpr_main.xlsx]data!R285C12</stp>
        <tr r="L285" s="2"/>
      </tp>
      <tp>
        <v>207</v>
        <stp/>
        <stp>##V3_BDPV12</stp>
        <stp>31410GRM7 Mtge</stp>
        <stp>MTG_PREPAY_SPEED</stp>
        <stp>[Copy of 02_cpr_main.xlsx]data!R371C12</stp>
        <tr r="L371" s="2"/>
      </tp>
      <tp t="s">
        <v>#N/A Invalid Field</v>
        <stp/>
        <stp>##V3_BDHV12</stp>
        <stp>31412PBG5 Mtge</stp>
        <stp>MTG_GEN_CPR_3M</stp>
        <stp>20090610</stp>
        <stp>20090610</stp>
        <stp>[Copy of 02_cpr_main.xlsx]data!R411C8</stp>
        <stp>Dts=H</stp>
        <tr r="H411" s="2"/>
      </tp>
      <tp t="s">
        <v>#N/A Invalid Field</v>
        <stp/>
        <stp>##V3_BDHV12</stp>
        <stp>31388PCR0 Mtge</stp>
        <stp>MTG_GEN_CPR_6M</stp>
        <stp>20090331</stp>
        <stp>20090331</stp>
        <stp>[Copy of 02_cpr_main.xlsx]data!R228C6</stp>
        <stp>Dts=H</stp>
        <tr r="F228" s="2"/>
      </tp>
      <tp t="s">
        <v>#N/A Invalid Field</v>
        <stp/>
        <stp>##V3_BDHV12</stp>
        <stp>31413SHF4 Mtge</stp>
        <stp>MTG_GEN_CPR_3M</stp>
        <stp>20090610</stp>
        <stp>20090610</stp>
        <stp>[Copy of 02_cpr_main.xlsx]data!R433C8</stp>
        <stp>Dts=H</stp>
        <tr r="H433" s="2"/>
      </tp>
      <tp t="s">
        <v>#N/A Invalid Field</v>
        <stp/>
        <stp>##V3_BDHV12</stp>
        <stp>36200QJD7 Mtge</stp>
        <stp>MTG_GEN_CPR_3M</stp>
        <stp>20090610</stp>
        <stp>20090610</stp>
        <stp>[Copy of 02_cpr_main.xlsx]data!R467C8</stp>
        <stp>Dts=H</stp>
        <tr r="H467" s="2"/>
      </tp>
      <tp t="s">
        <v>#N/A Invalid Field</v>
        <stp/>
        <stp>##V3_BDHV12</stp>
        <stp>31404QA74 Mtge</stp>
        <stp>MTG_GEN_CPR_3M</stp>
        <stp>20090610</stp>
        <stp>20090610</stp>
        <stp>[Copy of 02_cpr_main.xlsx]data!R318C8</stp>
        <stp>Dts=H</stp>
        <tr r="H318" s="2"/>
      </tp>
      <tp t="s">
        <v>#N/A N/A</v>
        <stp/>
        <stp>##V3_BDPV12</stp>
        <stp>31371K6K2 Mtge</stp>
        <stp>MTG_PREPAY_SPEED</stp>
        <stp>[Copy of 02_cpr_main.xlsx]data!R169C12</stp>
        <tr r="L169" s="2"/>
      </tp>
      <tp t="s">
        <v>#N/A Invalid Field</v>
        <stp/>
        <stp>##V3_BDHV12</stp>
        <stp>31403R3B2 Mtge</stp>
        <stp>MTG_GEN_CPR_6M</stp>
        <stp>20090610</stp>
        <stp>20090610</stp>
        <stp>[Copy of 02_cpr_main.xlsx]data!R310C9</stp>
        <stp>Dts=H</stp>
        <tr r="I310" s="2"/>
      </tp>
      <tp t="s">
        <v>#N/A Invalid Field</v>
        <stp/>
        <stp>##V3_BDHV12</stp>
        <stp>31391W6L0 Mtge</stp>
        <stp>MTG_GEN_CPR_3M</stp>
        <stp>20090610</stp>
        <stp>20090610</stp>
        <stp>[Copy of 02_cpr_main.xlsx]data!R242C8</stp>
        <stp>Dts=H</stp>
        <tr r="H242" s="2"/>
      </tp>
      <tp t="s">
        <v>#N/A Invalid Field</v>
        <stp/>
        <stp>##V3_BDHV12</stp>
        <stp>36201SRB7 Mtge</stp>
        <stp>MTG_GEN_CPR_6M</stp>
        <stp>20090610</stp>
        <stp>20090610</stp>
        <stp>[Copy of 02_cpr_main.xlsx]data!R473C9</stp>
        <stp>Dts=H</stp>
        <tr r="I473" s="2"/>
      </tp>
      <tp>
        <v>169</v>
        <stp/>
        <stp>##V3_BDPV12</stp>
        <stp>31415TLM0 Mtge</stp>
        <stp>MTG_PREPAY_SPEED</stp>
        <stp>[Copy of 02_cpr_main.xlsx]data!R456C12</stp>
        <tr r="L456" s="2"/>
      </tp>
      <tp t="s">
        <v>#N/A N/A</v>
        <stp/>
        <stp>##V3_BDPV12</stp>
        <stp>31403DDL0 Mtge</stp>
        <stp>MTG_PREPAY_SPEED</stp>
        <stp>[Copy of 02_cpr_main.xlsx]data!R296C12</stp>
        <tr r="L296" s="2"/>
      </tp>
      <tp>
        <v>125</v>
        <stp/>
        <stp>##V3_BDPV12</stp>
        <stp>31403C6L0 Mtge</stp>
        <stp>MTG_PREPAY_SPEED</stp>
        <stp>[Copy of 02_cpr_main.xlsx]data!R293C12</stp>
        <tr r="L293" s="2"/>
      </tp>
      <tp>
        <v>125</v>
        <stp/>
        <stp>##V3_BDPV12</stp>
        <stp>31402CPL0 Mtge</stp>
        <stp>MTG_PREPAY_SPEED</stp>
        <stp>[Copy of 02_cpr_main.xlsx]data!R264C12</stp>
        <tr r="L264" s="2"/>
      </tp>
      <tp t="s">
        <v>#N/A Invalid Field</v>
        <stp/>
        <stp>##V3_BDHV12</stp>
        <stp>31335H4K6 Mtge</stp>
        <stp>MTG_GEN_CPR_6M</stp>
        <stp>20090610</stp>
        <stp>20090610</stp>
        <stp>[Copy of 02_cpr_main.xlsx]data!R154C9</stp>
        <stp>Dts=H</stp>
        <tr r="I154" s="2"/>
      </tp>
      <tp t="s">
        <v>#N/A Invalid Field</v>
        <stp/>
        <stp>##V3_BDHV12</stp>
        <stp>31371K6K2 Mtge</stp>
        <stp>MTG_GEN_CPR_6M</stp>
        <stp>20090610</stp>
        <stp>20090610</stp>
        <stp>[Copy of 02_cpr_main.xlsx]data!R169C9</stp>
        <stp>Dts=H</stp>
        <tr r="I169" s="2"/>
      </tp>
      <tp t="s">
        <v>#N/A Invalid Field</v>
        <stp/>
        <stp>##V3_BDHV12</stp>
        <stp>31401KR49 Mtge</stp>
        <stp>MTG_GEN_CPR_6M</stp>
        <stp>20090331</stp>
        <stp>20090331</stp>
        <stp>[Copy of 02_cpr_main.xlsx]data!R257C6</stp>
        <stp>Dts=H</stp>
        <tr r="F257" s="2"/>
      </tp>
      <tp t="s">
        <v>#N/A Invalid Field</v>
        <stp/>
        <stp>##V3_BDHV12</stp>
        <stp>31403DDK2 Mtge</stp>
        <stp>MTG_GEN_CPR_3M</stp>
        <stp>20090610</stp>
        <stp>20090610</stp>
        <stp>[Copy of 02_cpr_main.xlsx]data!R295C8</stp>
        <stp>Dts=H</stp>
        <tr r="H295" s="2"/>
      </tp>
      <tp t="s">
        <v>#N/A Invalid Field</v>
        <stp/>
        <stp>##V3_BDHV12</stp>
        <stp>31403DET2 Mtge</stp>
        <stp>MTG_GEN_CPR_3M</stp>
        <stp>20090610</stp>
        <stp>20090610</stp>
        <stp>[Copy of 02_cpr_main.xlsx]data!R298C8</stp>
        <stp>Dts=H</stp>
        <tr r="H298" s="2"/>
      </tp>
      <tp t="s">
        <v>#N/A Invalid Field</v>
        <stp/>
        <stp>##V3_BDHV12</stp>
        <stp>31368HME0 Mtge</stp>
        <stp>MTG_GEN_CPR_3M</stp>
        <stp>20090331</stp>
        <stp>20090331</stp>
        <stp>[Copy of 02_cpr_main.xlsx]data!R161C5</stp>
        <stp>Dts=H</stp>
        <tr r="E161" s="2"/>
      </tp>
      <tp t="s">
        <v>#N/A Invalid Field</v>
        <stp/>
        <stp>##V3_BDHV12</stp>
        <stp>31368HMH3 Mtge</stp>
        <stp>MTG_GEN_CPR_6M</stp>
        <stp>20090331</stp>
        <stp>20090331</stp>
        <stp>[Copy of 02_cpr_main.xlsx]data!R162C6</stp>
        <stp>Dts=H</stp>
        <tr r="F162" s="2"/>
      </tp>
      <tp t="s">
        <v>#N/A Invalid Field</v>
        <stp/>
        <stp>##V3_BDHV12</stp>
        <stp>31404M5N4 Mtge</stp>
        <stp>MTG_GEN_CPR_3M</stp>
        <stp>20090610</stp>
        <stp>20090610</stp>
        <stp>[Copy of 02_cpr_main.xlsx]data!R316C8</stp>
        <stp>Dts=H</stp>
        <tr r="H316" s="2"/>
      </tp>
      <tp t="s">
        <v>#N/A Invalid Field</v>
        <stp/>
        <stp>##V3_BDHV12</stp>
        <stp>36225BAP3 Mtge</stp>
        <stp>MTG_GEN_CPR_6M</stp>
        <stp>20090610</stp>
        <stp>20090610</stp>
        <stp>[Copy of 02_cpr_main.xlsx]data!R490C9</stp>
        <stp>Dts=H</stp>
        <tr r="I490" s="2"/>
      </tp>
      <tp t="s">
        <v>#N/A Invalid Field</v>
        <stp/>
        <stp>##V3_BDHV12</stp>
        <stp>36225BG93 Mtge</stp>
        <stp>MTG_GEN_CPR_6M</stp>
        <stp>20090610</stp>
        <stp>20090610</stp>
        <stp>[Copy of 02_cpr_main.xlsx]data!R492C9</stp>
        <stp>Dts=H</stp>
        <tr r="I492" s="2"/>
      </tp>
      <tp t="s">
        <v>#N/A Invalid Field</v>
        <stp/>
        <stp>##V3_BDHV12</stp>
        <stp>31401JTD0 Mtge</stp>
        <stp>MTG_GEN_CPR_3M</stp>
        <stp>20090610</stp>
        <stp>20090610</stp>
        <stp>[Copy of 02_cpr_main.xlsx]data!R254C8</stp>
        <stp>Dts=H</stp>
        <tr r="H254" s="2"/>
      </tp>
      <tp t="s">
        <v>#N/A Invalid Field</v>
        <stp/>
        <stp>##V3_BDHV12</stp>
        <stp>31414KAV2 Mtge</stp>
        <stp>MTG_GEN_CPR_6M</stp>
        <stp>20090610</stp>
        <stp>20090610</stp>
        <stp>[Copy of 02_cpr_main.xlsx]data!R440C9</stp>
        <stp>Dts=H</stp>
        <tr r="I440" s="2"/>
      </tp>
      <tp t="s">
        <v>#N/A Invalid Field</v>
        <stp/>
        <stp>##V3_BDHV12</stp>
        <stp>36291ACW7 Mtge</stp>
        <stp>MTG_GEN_CPR_6M</stp>
        <stp>20090610</stp>
        <stp>20090610</stp>
        <stp>[Copy of 02_cpr_main.xlsx]data!R499C9</stp>
        <stp>Dts=H</stp>
        <tr r="I499" s="2"/>
      </tp>
      <tp t="s">
        <v>#N/A Invalid Field</v>
        <stp/>
        <stp>##V3_BDHV12</stp>
        <stp>31411GP30 Mtge</stp>
        <stp>MTG_GEN_CPR_6M</stp>
        <stp>20090610</stp>
        <stp>20090610</stp>
        <stp>[Copy of 02_cpr_main.xlsx]data!R392C9</stp>
        <stp>Dts=H</stp>
        <tr r="I392" s="2"/>
      </tp>
      <tp t="s">
        <v>#N/A Invalid Field</v>
        <stp/>
        <stp>##V3_BDHV12</stp>
        <stp>31401KCF0 Mtge</stp>
        <stp>MTG_GEN_CPR_3M</stp>
        <stp>20090610</stp>
        <stp>20090610</stp>
        <stp>[Copy of 02_cpr_main.xlsx]data!R256C8</stp>
        <stp>Dts=H</stp>
        <tr r="H256" s="2"/>
      </tp>
      <tp t="s">
        <v>#N/A Invalid Field</v>
        <stp/>
        <stp>##V3_BDHV12</stp>
        <stp>31403DGG8 Mtge</stp>
        <stp>MTG_GEN_CPR_3M</stp>
        <stp>20090331</stp>
        <stp>20090331</stp>
        <stp>[Copy of 02_cpr_main.xlsx]data!R299C5</stp>
        <stp>Dts=H</stp>
        <tr r="E299" s="2"/>
      </tp>
      <tp t="s">
        <v>#N/A Invalid Field</v>
        <stp/>
        <stp>##V3_BDHV12</stp>
        <stp>31371HNJ3 Mtge</stp>
        <stp>MTG_GEN_CPR_3M</stp>
        <stp>20090610</stp>
        <stp>20090610</stp>
        <stp>[Copy of 02_cpr_main.xlsx]data!R164C8</stp>
        <stp>Dts=H</stp>
        <tr r="H164" s="2"/>
      </tp>
      <tp t="s">
        <v>#N/A Invalid Field</v>
        <stp/>
        <stp>##V3_BDHV12</stp>
        <stp>31413K5A5 Mtge</stp>
        <stp>MTG_GEN_CPR_6M</stp>
        <stp>20090610</stp>
        <stp>20090610</stp>
        <stp>[Copy of 02_cpr_main.xlsx]data!R423C9</stp>
        <stp>Dts=H</stp>
        <tr r="I423" s="2"/>
      </tp>
      <tp t="s">
        <v>#N/A Invalid Field</v>
        <stp/>
        <stp>##V3_BDHV12</stp>
        <stp>31410MYP9 Mtge</stp>
        <stp>MTG_GEN_CPR_6M</stp>
        <stp>20090331</stp>
        <stp>20090331</stp>
        <stp>[Copy of 02_cpr_main.xlsx]data!R379C6</stp>
        <stp>Dts=H</stp>
        <tr r="F379" s="2"/>
      </tp>
      <tp t="s">
        <v>#N/A Invalid Field</v>
        <stp/>
        <stp>##V3_BDHV12</stp>
        <stp>31296MC64 Mtge</stp>
        <stp>MTG_GEN_CPR_3M</stp>
        <stp>20090610</stp>
        <stp>20090610</stp>
        <stp>[Copy of 02_cpr_main.xlsx]data!R143C8</stp>
        <stp>Dts=H</stp>
        <tr r="H143" s="2"/>
      </tp>
      <tp t="s">
        <v>#N/A Invalid Field</v>
        <stp/>
        <stp>##V3_BDHV12</stp>
        <stp>31413KBU4 Mtge</stp>
        <stp>MTG_GEN_CPR_3M</stp>
        <stp>20090610</stp>
        <stp>20090610</stp>
        <stp>[Copy of 02_cpr_main.xlsx]data!R424C8</stp>
        <stp>Dts=H</stp>
        <tr r="H424" s="2"/>
      </tp>
      <tp t="s">
        <v>#N/A Invalid Field</v>
        <stp/>
        <stp>##V3_BDHV12</stp>
        <stp>31294J3N6 Mtge</stp>
        <stp>MTG_GEN_CPR_3M</stp>
        <stp>20090610</stp>
        <stp>20090610</stp>
        <stp>[Copy of 02_cpr_main.xlsx]data!R126C8</stp>
        <stp>Dts=H</stp>
        <tr r="H126" s="2"/>
      </tp>
      <tp t="s">
        <v>#N/A Invalid Field</v>
        <stp/>
        <stp>##V3_BDHV12</stp>
        <stp>31391KAL1 Mtge</stp>
        <stp>MTG_GEN_CPR_6M</stp>
        <stp>20090610</stp>
        <stp>20090610</stp>
        <stp>[Copy of 02_cpr_main.xlsx]data!R237C9</stp>
        <stp>Dts=H</stp>
        <tr r="I237" s="2"/>
      </tp>
      <tp t="s">
        <v>#N/A Invalid Field</v>
        <stp/>
        <stp>##V3_BDHV12</stp>
        <stp>31406H3D7 Mtge</stp>
        <stp>MTG_GEN_CPR_6M</stp>
        <stp>20090610</stp>
        <stp>20090610</stp>
        <stp>[Copy of 02_cpr_main.xlsx]data!R337C9</stp>
        <stp>Dts=H</stp>
        <tr r="I337" s="2"/>
      </tp>
      <tp t="s">
        <v>#N/A Invalid Field</v>
        <stp/>
        <stp>##V3_BDHV12</stp>
        <stp>31403K4Q3 Mtge</stp>
        <stp>MTG_GEN_CPR_3M</stp>
        <stp>20090610</stp>
        <stp>20090610</stp>
        <stp>[Copy of 02_cpr_main.xlsx]data!R307C8</stp>
        <stp>Dts=H</stp>
        <tr r="H307" s="2"/>
      </tp>
      <tp t="s">
        <v>#N/A Invalid Field</v>
        <stp/>
        <stp>##V3_BDHV12</stp>
        <stp>31371LQW2 Mtge</stp>
        <stp>MTG_GEN_CPR_6M</stp>
        <stp>20090610</stp>
        <stp>20090610</stp>
        <stp>[Copy of 02_cpr_main.xlsx]data!R176C9</stp>
        <stp>Dts=H</stp>
        <tr r="I176" s="2"/>
      </tp>
      <tp t="s">
        <v>#N/A Invalid Field</v>
        <stp/>
        <stp>##V3_BDHV12</stp>
        <stp>36211DPQ7 Mtge</stp>
        <stp>MTG_GEN_CPR_6M</stp>
        <stp>20090610</stp>
        <stp>20090610</stp>
        <stp>[Copy of 02_cpr_main.xlsx]data!R486C9</stp>
        <stp>Dts=H</stp>
        <tr r="I486" s="2"/>
      </tp>
      <tp t="s">
        <v>#N/A Invalid Field</v>
        <stp/>
        <stp>##V3_BDHV12</stp>
        <stp>31371LDY2 Mtge</stp>
        <stp>MTG_GEN_CPR_6M</stp>
        <stp>20090610</stp>
        <stp>20090610</stp>
        <stp>[Copy of 02_cpr_main.xlsx]data!R175C9</stp>
        <stp>Dts=H</stp>
        <tr r="I175" s="2"/>
      </tp>
      <tp t="s">
        <v>#N/A Invalid Field</v>
        <stp/>
        <stp>##V3_BDHV12</stp>
        <stp>31389HN79 Mtge</stp>
        <stp>MTG_GEN_CPR_6M</stp>
        <stp>20090610</stp>
        <stp>20090610</stp>
        <stp>[Copy of 02_cpr_main.xlsx]data!R230C9</stp>
        <stp>Dts=H</stp>
        <tr r="I230" s="2"/>
      </tp>
      <tp t="s">
        <v>#N/A Invalid Field</v>
        <stp/>
        <stp>##V3_BDHV12</stp>
        <stp>31403C2Z3 Mtge</stp>
        <stp>MTG_GEN_CPR_6M</stp>
        <stp>20090610</stp>
        <stp>20090610</stp>
        <stp>[Copy of 02_cpr_main.xlsx]data!R292C9</stp>
        <stp>Dts=H</stp>
        <tr r="I292" s="2"/>
      </tp>
      <tp t="s">
        <v>#N/A Invalid Field</v>
        <stp/>
        <stp>##V3_BDHV12</stp>
        <stp>31410M4L1 Mtge</stp>
        <stp>MTG_GEN_CPR_6M</stp>
        <stp>20090610</stp>
        <stp>20090610</stp>
        <stp>[Copy of 02_cpr_main.xlsx]data!R378C9</stp>
        <stp>Dts=H</stp>
        <tr r="I378" s="2"/>
      </tp>
      <tp t="s">
        <v>#N/A Invalid Field</v>
        <stp/>
        <stp>##V3_BDHV12</stp>
        <stp>31403CUZ2 Mtge</stp>
        <stp>MTG_GEN_CPR_3M</stp>
        <stp>20090610</stp>
        <stp>20090610</stp>
        <stp>[Copy of 02_cpr_main.xlsx]data!R294C8</stp>
        <stp>Dts=H</stp>
        <tr r="H294" s="2"/>
      </tp>
      <tp t="s">
        <v>#N/A Invalid Field</v>
        <stp/>
        <stp>##V3_BDHV12</stp>
        <stp>31371MWJ2 Mtge</stp>
        <stp>MTG_GEN_CPR_6M</stp>
        <stp>20090610</stp>
        <stp>20090610</stp>
        <stp>[Copy of 02_cpr_main.xlsx]data!R179C9</stp>
        <stp>Dts=H</stp>
        <tr r="I179" s="2"/>
      </tp>
      <tp t="s">
        <v>#N/A Invalid Field</v>
        <stp/>
        <stp>##V3_BDHV12</stp>
        <stp>31415A3C3 Mtge</stp>
        <stp>MTG_GEN_CPR_6M</stp>
        <stp>20090610</stp>
        <stp>20090610</stp>
        <stp>[Copy of 02_cpr_main.xlsx]data!R446C9</stp>
        <stp>Dts=H</stp>
        <tr r="I446" s="2"/>
      </tp>
      <tp t="s">
        <v>#N/A Invalid Field</v>
        <stp/>
        <stp>##V3_BDHV12</stp>
        <stp>31403DV22 Mtge</stp>
        <stp>MTG_GEN_CPR_6M</stp>
        <stp>20090610</stp>
        <stp>20090610</stp>
        <stp>[Copy of 02_cpr_main.xlsx]data!R303C9</stp>
        <stp>Dts=H</stp>
        <tr r="I303" s="2"/>
      </tp>
      <tp t="s">
        <v>#N/A Invalid Field</v>
        <stp/>
        <stp>##V3_BDHV12</stp>
        <stp>31412DYV4 Mtge</stp>
        <stp>MTG_GEN_CPR_6M</stp>
        <stp>20090610</stp>
        <stp>20090610</stp>
        <stp>[Copy of 02_cpr_main.xlsx]data!R404C9</stp>
        <stp>Dts=H</stp>
        <tr r="I404" s="2"/>
      </tp>
      <tp t="s">
        <v>#N/A Invalid Field</v>
        <stp/>
        <stp>##V3_BDHV12</stp>
        <stp>31293FJZ1 Mtge</stp>
        <stp>MTG_GEN_CPR_3M</stp>
        <stp>20090610</stp>
        <stp>20090610</stp>
        <stp>[Copy of 02_cpr_main.xlsx]data!R121C8</stp>
        <stp>Dts=H</stp>
        <tr r="H121" s="2"/>
      </tp>
      <tp t="s">
        <v>#N/A Invalid Field</v>
        <stp/>
        <stp>##V3_BDHV12</stp>
        <stp>31403DWU9 Mtge</stp>
        <stp>MTG_GEN_CPR_3M</stp>
        <stp>20090331</stp>
        <stp>20090331</stp>
        <stp>[Copy of 02_cpr_main.xlsx]data!R304C5</stp>
        <stp>Dts=H</stp>
        <tr r="E304" s="2"/>
      </tp>
      <tp t="s">
        <v>#N/A Invalid Field</v>
        <stp/>
        <stp>##V3_BDHV12</stp>
        <stp>31403DQT9 Mtge</stp>
        <stp>MTG_GEN_CPR_3M</stp>
        <stp>20090331</stp>
        <stp>20090331</stp>
        <stp>[Copy of 02_cpr_main.xlsx]data!R300C5</stp>
        <stp>Dts=H</stp>
        <tr r="E300" s="2"/>
      </tp>
      <tp t="s">
        <v>#N/A Invalid Field</v>
        <stp/>
        <stp>##V3_BDHV12</stp>
        <stp>31416BZ68 Mtge</stp>
        <stp>MTG_GEN_CPR_6M</stp>
        <stp>20090331</stp>
        <stp>20090331</stp>
        <stp>[Copy of 02_cpr_main.xlsx]data!R461C6</stp>
        <stp>Dts=H</stp>
        <tr r="F461" s="2"/>
      </tp>
      <tp t="s">
        <v>#N/A Invalid Field</v>
        <stp/>
        <stp>##V3_BDHV12</stp>
        <stp>31292G2K1 Mtge</stp>
        <stp>MTG_GEN_CPR_6M</stp>
        <stp>20090610</stp>
        <stp>20090610</stp>
        <stp>[Copy of 02_cpr_main.xlsx]data!R113C9</stp>
        <stp>Dts=H</stp>
        <tr r="I113" s="2"/>
      </tp>
      <tp t="s">
        <v>#N/A Invalid Field</v>
        <stp/>
        <stp>##V3_BDHV12</stp>
        <stp>31402CTT9 Mtge</stp>
        <stp>MTG_GEN_CPR_3M</stp>
        <stp>20090331</stp>
        <stp>20090331</stp>
        <stp>[Copy of 02_cpr_main.xlsx]data!R266C5</stp>
        <stp>Dts=H</stp>
        <tr r="E266" s="2"/>
      </tp>
      <tp t="s">
        <v>#N/A Invalid Field</v>
        <stp/>
        <stp>##V3_BDHV12</stp>
        <stp>31404GGN5 Mtge</stp>
        <stp>MTG_GEN_CPR_6M</stp>
        <stp>20090610</stp>
        <stp>20090610</stp>
        <stp>[Copy of 02_cpr_main.xlsx]data!R313C9</stp>
        <stp>Dts=H</stp>
        <tr r="I313" s="2"/>
      </tp>
      <tp t="s">
        <v>#N/A Invalid Field</v>
        <stp/>
        <stp>##V3_BDHV12</stp>
        <stp>31371NGU3 Mtge</stp>
        <stp>MTG_GEN_CPR_3M</stp>
        <stp>20090610</stp>
        <stp>20090610</stp>
        <stp>[Copy of 02_cpr_main.xlsx]data!R180C8</stp>
        <stp>Dts=H</stp>
        <tr r="H180" s="2"/>
      </tp>
      <tp t="s">
        <v>#N/A Invalid Field</v>
        <stp/>
        <stp>##V3_BDHV12</stp>
        <stp>31405CQ85 Mtge</stp>
        <stp>MTG_GEN_CPR_3M</stp>
        <stp>20090610</stp>
        <stp>20090610</stp>
        <stp>[Copy of 02_cpr_main.xlsx]data!R324C8</stp>
        <stp>Dts=H</stp>
        <tr r="H324" s="2"/>
      </tp>
      <tp t="s">
        <v>#N/A Invalid Field</v>
        <stp/>
        <stp>##V3_BDHV12</stp>
        <stp>31382HBK0 Mtge</stp>
        <stp>MTG_GEN_CPR_3M</stp>
        <stp>20090610</stp>
        <stp>20090610</stp>
        <stp>[Copy of 02_cpr_main.xlsx]data!R196C8</stp>
        <stp>Dts=H</stp>
        <tr r="H196" s="2"/>
      </tp>
      <tp t="s">
        <v>#N/A Invalid Field</v>
        <stp/>
        <stp>##V3_BDHV12</stp>
        <stp>31410GJB0 Mtge</stp>
        <stp>MTG_GEN_CPR_3M</stp>
        <stp>20090610</stp>
        <stp>20090610</stp>
        <stp>[Copy of 02_cpr_main.xlsx]data!R369C8</stp>
        <stp>Dts=H</stp>
        <tr r="H369" s="2"/>
      </tp>
      <tp t="s">
        <v>#N/A Invalid Field</v>
        <stp/>
        <stp>##V3_BDHV12</stp>
        <stp>31410GFV0 Mtge</stp>
        <stp>MTG_GEN_CPR_3M</stp>
        <stp>20090610</stp>
        <stp>20090610</stp>
        <stp>[Copy of 02_cpr_main.xlsx]data!R366C8</stp>
        <stp>Dts=H</stp>
        <tr r="H366" s="2"/>
      </tp>
      <tp t="s">
        <v>#N/A Invalid Field</v>
        <stp/>
        <stp>##V3_BDHV12</stp>
        <stp>31401GLF9 Mtge</stp>
        <stp>MTG_GEN_CPR_6M</stp>
        <stp>20090331</stp>
        <stp>20090331</stp>
        <stp>[Copy of 02_cpr_main.xlsx]data!R253C6</stp>
        <stp>Dts=H</stp>
        <tr r="F253" s="2"/>
      </tp>
      <tp t="s">
        <v>#N/A Invalid Field</v>
        <stp/>
        <stp>##V3_BDHV12</stp>
        <stp>31402DP79 Mtge</stp>
        <stp>MTG_GEN_CPR_3M</stp>
        <stp>20090331</stp>
        <stp>20090331</stp>
        <stp>[Copy of 02_cpr_main.xlsx]data!R270C5</stp>
        <stp>Dts=H</stp>
        <tr r="E270" s="2"/>
      </tp>
      <tp t="s">
        <v>#N/A Invalid Field</v>
        <stp/>
        <stp>##V3_BDHV12</stp>
        <stp>31410F6J9 Mtge</stp>
        <stp>MTG_GEN_CPR_6M</stp>
        <stp>20090331</stp>
        <stp>20090331</stp>
        <stp>[Copy of 02_cpr_main.xlsx]data!R363C6</stp>
        <stp>Dts=H</stp>
        <tr r="F363" s="2"/>
      </tp>
      <tp t="s">
        <v>#N/A Invalid Field</v>
        <stp/>
        <stp>##V3_BDHV12</stp>
        <stp>31409EW80 Mtge</stp>
        <stp>MTG_GEN_CPR_6M</stp>
        <stp>20090331</stp>
        <stp>20090331</stp>
        <stp>[Copy of 02_cpr_main.xlsx]data!R353C6</stp>
        <stp>Dts=H</stp>
        <tr r="F353" s="2"/>
      </tp>
      <tp t="s">
        <v>#N/A Invalid Field</v>
        <stp/>
        <stp>##V3_BDHV12</stp>
        <stp>36210LPE7 Mtge</stp>
        <stp>MTG_GEN_CPR_3M</stp>
        <stp>20090610</stp>
        <stp>20090610</stp>
        <stp>[Copy of 02_cpr_main.xlsx]data!R484C8</stp>
        <stp>Dts=H</stp>
        <tr r="H484" s="2"/>
      </tp>
      <tp t="s">
        <v>#N/A Invalid Field</v>
        <stp/>
        <stp>##V3_BDHV12</stp>
        <stp>31298EZD0 Mtge</stp>
        <stp>MTG_GEN_CPR_3M</stp>
        <stp>20090331</stp>
        <stp>20090331</stp>
        <stp>[Copy of 02_cpr_main.xlsx]data!R152C5</stp>
        <stp>Dts=H</stp>
        <tr r="E152" s="2"/>
      </tp>
      <tp t="s">
        <v>#N/A Invalid Field</v>
        <stp/>
        <stp>##V3_BDHV12</stp>
        <stp>31410DVM9 Mtge</stp>
        <stp>MTG_GEN_CPR_6M</stp>
        <stp>20090331</stp>
        <stp>20090331</stp>
        <stp>[Copy of 02_cpr_main.xlsx]data!R359C6</stp>
        <stp>Dts=H</stp>
        <tr r="F359" s="2"/>
      </tp>
      <tp t="s">
        <v>#N/A Invalid Field</v>
        <stp/>
        <stp>##V3_BDHV12</stp>
        <stp>31408EN81 Mtge</stp>
        <stp>MTG_GEN_CPR_6M</stp>
        <stp>20090331</stp>
        <stp>20090331</stp>
        <stp>[Copy of 02_cpr_main.xlsx]data!R349C6</stp>
        <stp>Dts=H</stp>
        <tr r="F349" s="2"/>
      </tp>
      <tp t="s">
        <v>#N/A Invalid Field</v>
        <stp/>
        <stp>##V3_BDHV12</stp>
        <stp>31402DDK3 Mtge</stp>
        <stp>MTG_GEN_CPR_3M</stp>
        <stp>20090610</stp>
        <stp>20090610</stp>
        <stp>[Copy of 02_cpr_main.xlsx]data!R269C8</stp>
        <stp>Dts=H</stp>
        <tr r="H269" s="2"/>
      </tp>
      <tp>
        <v>0</v>
        <stp/>
        <stp>##V3_BDPV12</stp>
        <stp>3128NHUD3 Mtge</stp>
        <stp>MTG_PREPAY_SPEED</stp>
        <stp>[Copy of 02_cpr_main.xlsx]data!R101C12</stp>
        <tr r="L101" s="2"/>
      </tp>
    </main>
    <main first="bloomberg.rtd">
      <tp t="s">
        <v>#N/A Invalid Field</v>
        <stp/>
        <stp>##V3_BDHV12</stp>
        <stp>31401XU96 Mtge</stp>
        <stp>MTG_GEN_CPR_6M</stp>
        <stp>20090331</stp>
        <stp>20090331</stp>
        <stp>[Copy of 02_cpr_main.xlsx]data!R261C6</stp>
        <stp>Dts=H</stp>
        <tr r="F261" s="2"/>
      </tp>
      <tp t="s">
        <v>#N/A Invalid Field</v>
        <stp/>
        <stp>##V3_BDHV12</stp>
        <stp>31406YB58 Mtge</stp>
        <stp>MTG_GEN_CPR_6M</stp>
        <stp>20090610</stp>
        <stp>20090610</stp>
        <stp>[Copy of 02_cpr_main.xlsx]data!R341C9</stp>
        <stp>Dts=H</stp>
        <tr r="I341" s="2"/>
      </tp>
      <tp>
        <v>218</v>
        <stp/>
        <stp>##V3_BDPV12</stp>
        <stp>31413JLB8 Mtge</stp>
        <stp>MTG_PREPAY_SPEED</stp>
        <stp>[Copy of 02_cpr_main.xlsx]data!R422C12</stp>
        <tr r="L422" s="2"/>
      </tp>
      <tp t="s">
        <v>#N/A Invalid Field</v>
        <stp/>
        <stp>##V3_BDHV12</stp>
        <stp>31411UPM7 Mtge</stp>
        <stp>MTG_GEN_CPR_6M</stp>
        <stp>20090331</stp>
        <stp>20090331</stp>
        <stp>[Copy of 02_cpr_main.xlsx]data!R396C6</stp>
        <stp>Dts=H</stp>
        <tr r="F396" s="2"/>
      </tp>
      <tp t="s">
        <v>#N/A Invalid Field</v>
        <stp/>
        <stp>##V3_BDHV12</stp>
        <stp>31410UQW5 Mtge</stp>
        <stp>MTG_GEN_CPR_3M</stp>
        <stp>20090331</stp>
        <stp>20090331</stp>
        <stp>[Copy of 02_cpr_main.xlsx]data!R385C5</stp>
        <stp>Dts=H</stp>
        <tr r="E385" s="2"/>
      </tp>
      <tp t="s">
        <v>#N/A N/A</v>
        <stp/>
        <stp>##V3_BDPV12</stp>
        <stp>31409D2C6 Mtge</stp>
        <stp>MTG_PREPAY_SPEED</stp>
        <stp>[Copy of 02_cpr_main.xlsx]data!R352C12</stp>
        <tr r="L352" s="2"/>
      </tp>
      <tp t="s">
        <v>#N/A Invalid Field</v>
        <stp/>
        <stp>##V3_BDHV12</stp>
        <stp>31379Q6J4 Mtge</stp>
        <stp>MTG_GEN_CPR_3M</stp>
        <stp>20090610</stp>
        <stp>20090610</stp>
        <stp>[Copy of 02_cpr_main.xlsx]data!R189C8</stp>
        <stp>Dts=H</stp>
        <tr r="H189" s="2"/>
      </tp>
      <tp t="s">
        <v>#N/A Invalid Field</v>
        <stp/>
        <stp>##V3_BDHV12</stp>
        <stp>31385XKK2 Mtge</stp>
        <stp>MTG_GEN_CPR_6M</stp>
        <stp>20090331</stp>
        <stp>20090331</stp>
        <stp>[Copy of 02_cpr_main.xlsx]data!R223C6</stp>
        <stp>Dts=H</stp>
        <tr r="F223" s="2"/>
      </tp>
      <tp t="s">
        <v>#N/A Invalid Field</v>
        <stp/>
        <stp>##V3_BDHV12</stp>
        <stp>31386Y5M2 Mtge</stp>
        <stp>MTG_GEN_CPR_3M</stp>
        <stp>20090331</stp>
        <stp>20090331</stp>
        <stp>[Copy of 02_cpr_main.xlsx]data!R227C5</stp>
        <stp>Dts=H</stp>
        <tr r="E227" s="2"/>
      </tp>
      <tp t="s">
        <v>#N/A Invalid Field</v>
        <stp/>
        <stp>##V3_BDHV12</stp>
        <stp>31405XXV0 Mtge</stp>
        <stp>MTG_GEN_CPR_3M</stp>
        <stp>20090331</stp>
        <stp>20090331</stp>
        <stp>[Copy of 02_cpr_main.xlsx]data!R330C5</stp>
        <stp>Dts=H</stp>
        <tr r="E330" s="2"/>
      </tp>
      <tp>
        <v>169</v>
        <stp/>
        <stp>##V3_BDPV12</stp>
        <stp>31415PGB8 Mtge</stp>
        <stp>MTG_PREPAY_SPEED</stp>
        <stp>[Copy of 02_cpr_main.xlsx]data!R449C12</stp>
        <tr r="L449" s="2"/>
      </tp>
      <tp>
        <v>125</v>
        <stp/>
        <stp>##V3_BDPV12</stp>
        <stp>31402WMC9 Mtge</stp>
        <stp>MTG_PREPAY_SPEED</stp>
        <stp>[Copy of 02_cpr_main.xlsx]data!R290C12</stp>
        <tr r="L290" s="2"/>
      </tp>
      <tp>
        <v>125</v>
        <stp/>
        <stp>##V3_BDPV12</stp>
        <stp>31368HME0 Mtge</stp>
        <stp>MTG_PREPAY_SPEED</stp>
        <stp>[Copy of 02_cpr_main.xlsx]data!R161C12</stp>
        <tr r="L161" s="2"/>
      </tp>
      <tp t="s">
        <v>#N/A Invalid Field</v>
        <stp/>
        <stp>##V3_BDHV12</stp>
        <stp>36210VRS2 Mtge</stp>
        <stp>MTG_GEN_CPR_3M</stp>
        <stp>20090331</stp>
        <stp>20090331</stp>
        <stp>[Copy of 02_cpr_main.xlsx]data!R485C5</stp>
        <stp>Dts=H</stp>
        <tr r="E485" s="2"/>
      </tp>
      <tp t="s">
        <v>#N/A Invalid Field</v>
        <stp/>
        <stp>##V3_BDHV12</stp>
        <stp>31382YJK5 Mtge</stp>
        <stp>MTG_GEN_CPR_6M</stp>
        <stp>20090331</stp>
        <stp>20090331</stp>
        <stp>[Copy of 02_cpr_main.xlsx]data!R207C6</stp>
        <stp>Dts=H</stp>
        <tr r="F207" s="2"/>
      </tp>
      <tp>
        <v>182</v>
        <stp/>
        <stp>##V3_BDPV12</stp>
        <stp>31414TSB8 Mtge</stp>
        <stp>MTG_PREPAY_SPEED</stp>
        <stp>[Copy of 02_cpr_main.xlsx]data!R445C12</stp>
        <tr r="L445" s="2"/>
      </tp>
      <tp>
        <v>0.72</v>
        <stp/>
        <stp>##V3_BDPV12</stp>
        <stp>31403EDC8 Mtge</stp>
        <stp>MTG_PREPAY_SPEED</stp>
        <stp>[Copy of 02_cpr_main.xlsx]data!R305C12</stp>
        <tr r="L305" s="2"/>
      </tp>
      <tp>
        <v>175</v>
        <stp/>
        <stp>##V3_BDPV12</stp>
        <stp>31371NJD8 Mtge</stp>
        <stp>MTG_PREPAY_SPEED</stp>
        <stp>[Copy of 02_cpr_main.xlsx]data!R181C12</stp>
        <tr r="L181" s="2"/>
      </tp>
      <tp t="s">
        <v>#N/A Invalid Field</v>
        <stp/>
        <stp>##V3_BDHV12</stp>
        <stp>31384V6K3 Mtge</stp>
        <stp>MTG_GEN_CPR_6M</stp>
        <stp>20090331</stp>
        <stp>20090331</stp>
        <stp>[Copy of 02_cpr_main.xlsx]data!R208C6</stp>
        <stp>Dts=H</stp>
        <tr r="F208" s="2"/>
      </tp>
      <tp t="s">
        <v>#N/A Invalid Field</v>
        <stp/>
        <stp>##V3_BDHV12</stp>
        <stp>31402QSL6 Mtge</stp>
        <stp>MTG_GEN_CPR_3M</stp>
        <stp>20090331</stp>
        <stp>20090331</stp>
        <stp>[Copy of 02_cpr_main.xlsx]data!R276C5</stp>
        <stp>Dts=H</stp>
        <tr r="E276" s="2"/>
      </tp>
      <tp t="s">
        <v>#N/A Invalid Field</v>
        <stp/>
        <stp>##V3_BDHV12</stp>
        <stp>31402QWA5 Mtge</stp>
        <stp>MTG_GEN_CPR_6M</stp>
        <stp>20090331</stp>
        <stp>20090331</stp>
        <stp>[Copy of 02_cpr_main.xlsx]data!R277C6</stp>
        <stp>Dts=H</stp>
        <tr r="F277" s="2"/>
      </tp>
      <tp t="s">
        <v>#N/A Invalid Field</v>
        <stp/>
        <stp>##V3_BDHV12</stp>
        <stp>31293TFD4 Mtge</stp>
        <stp>MTG_GEN_CPR_3M</stp>
        <stp>20090331</stp>
        <stp>20090331</stp>
        <stp>[Copy of 02_cpr_main.xlsx]data!R122C5</stp>
        <stp>Dts=H</stp>
        <tr r="E122" s="2"/>
      </tp>
      <tp t="s">
        <v>#N/A Invalid Field</v>
        <stp/>
        <stp>##V3_BDHV12</stp>
        <stp>31400RV24 Mtge</stp>
        <stp>MTG_GEN_CPR_3M</stp>
        <stp>20090331</stp>
        <stp>20090331</stp>
        <stp>[Copy of 02_cpr_main.xlsx]data!R250C5</stp>
        <stp>Dts=H</stp>
        <tr r="E250" s="2"/>
      </tp>
      <tp t="s">
        <v>#N/A Invalid Field</v>
        <stp/>
        <stp>##V3_BDHV12</stp>
        <stp>31384VR53 Mtge</stp>
        <stp>MTG_GEN_CPR_6M</stp>
        <stp>20090331</stp>
        <stp>20090331</stp>
        <stp>[Copy of 02_cpr_main.xlsx]data!R210C6</stp>
        <stp>Dts=H</stp>
        <tr r="F210" s="2"/>
      </tp>
      <tp t="s">
        <v>#N/A Invalid Field</v>
        <stp/>
        <stp>##V3_BDHV12</stp>
        <stp>36200WJE2 Mtge</stp>
        <stp>MTG_GEN_CPR_3M</stp>
        <stp>20090331</stp>
        <stp>20090331</stp>
        <stp>[Copy of 02_cpr_main.xlsx]data!R470C5</stp>
        <stp>Dts=H</stp>
        <tr r="E470" s="2"/>
      </tp>
      <tp t="s">
        <v>#N/A Invalid Field</v>
        <stp/>
        <stp>##V3_BDHV12</stp>
        <stp>31293VCT7 Mtge</stp>
        <stp>MTG_GEN_CPR_6M</stp>
        <stp>20090331</stp>
        <stp>20090331</stp>
        <stp>[Copy of 02_cpr_main.xlsx]data!R124C6</stp>
        <stp>Dts=H</stp>
        <tr r="F124" s="2"/>
      </tp>
      <tp t="s">
        <v>#N/A N/A</v>
        <stp/>
        <stp>##V3_BDPV12</stp>
        <stp>31384V6K3 Mtge</stp>
        <stp>MTG_PREPAY_SPEED</stp>
        <stp>[Copy of 02_cpr_main.xlsx]data!R208C12</stp>
        <tr r="L208" s="2"/>
      </tp>
      <tp t="s">
        <v>#N/A N/A</v>
        <stp/>
        <stp>##V3_BDPV12</stp>
        <stp>31382YJK5 Mtge</stp>
        <stp>MTG_PREPAY_SPEED</stp>
        <stp>[Copy of 02_cpr_main.xlsx]data!R207C12</stp>
        <tr r="L207" s="2"/>
      </tp>
      <tp t="s">
        <v>#N/A N/A</v>
        <stp/>
        <stp>##V3_BDPV12</stp>
        <stp>31385XKK2 Mtge</stp>
        <stp>MTG_PREPAY_SPEED</stp>
        <stp>[Copy of 02_cpr_main.xlsx]data!R223C12</stp>
        <tr r="L223" s="2"/>
      </tp>
      <tp t="s">
        <v>#N/A Invalid Field</v>
        <stp/>
        <stp>##V3_BDHV12</stp>
        <stp>31412T5U3 Mtge</stp>
        <stp>MTG_GEN_CPR_6M</stp>
        <stp>20090331</stp>
        <stp>20090331</stp>
        <stp>[Copy of 02_cpr_main.xlsx]data!R413C6</stp>
        <stp>Dts=H</stp>
        <tr r="F413" s="2"/>
      </tp>
      <tp t="s">
        <v>#N/A Invalid Field</v>
        <stp/>
        <stp>##V3_BDHV12</stp>
        <stp>31407RVA9 Mtge</stp>
        <stp>MTG_GEN_CPR_6M</stp>
        <stp>20090610</stp>
        <stp>20090610</stp>
        <stp>[Copy of 02_cpr_main.xlsx]data!R346C9</stp>
        <stp>Dts=H</stp>
        <tr r="I346" s="2"/>
      </tp>
      <tp t="s">
        <v>#N/A Invalid Field</v>
        <stp/>
        <stp>##V3_BDHV12</stp>
        <stp>31406UL48 Mtge</stp>
        <stp>MTG_GEN_CPR_6M</stp>
        <stp>20090610</stp>
        <stp>20090610</stp>
        <stp>[Copy of 02_cpr_main.xlsx]data!R339C9</stp>
        <stp>Dts=H</stp>
        <tr r="I339" s="2"/>
      </tp>
      <tp t="s">
        <v>#N/A Invalid Field</v>
        <stp/>
        <stp>##V3_BDHV12</stp>
        <stp>31402RBX6 Mtge</stp>
        <stp>MTG_GEN_CPR_3M</stp>
        <stp>20090331</stp>
        <stp>20090331</stp>
        <stp>[Copy of 02_cpr_main.xlsx]data!R279C5</stp>
        <stp>Dts=H</stp>
        <tr r="E279" s="2"/>
      </tp>
      <tp t="s">
        <v>#N/A Invalid Field</v>
        <stp/>
        <stp>##V3_BDHV12</stp>
        <stp>31298SM84 Mtge</stp>
        <stp>MTG_GEN_CPR_6M</stp>
        <stp>20090610</stp>
        <stp>20090610</stp>
        <stp>[Copy of 02_cpr_main.xlsx]data!R153C9</stp>
        <stp>Dts=H</stp>
        <tr r="I153" s="2"/>
      </tp>
      <tp t="s">
        <v>#N/A Invalid Field</v>
        <stp/>
        <stp>##V3_BDHV12</stp>
        <stp>31390QTD7 Mtge</stp>
        <stp>MTG_GEN_CPR_6M</stp>
        <stp>20090331</stp>
        <stp>20090331</stp>
        <stp>[Copy of 02_cpr_main.xlsx]data!R234C6</stp>
        <stp>Dts=H</stp>
        <tr r="F234" s="2"/>
      </tp>
      <tp t="s">
        <v>#N/A N/A</v>
        <stp/>
        <stp>##V3_BDPV12</stp>
        <stp>31382HBK0 Mtge</stp>
        <stp>MTG_PREPAY_SPEED</stp>
        <stp>[Copy of 02_cpr_main.xlsx]data!R196C12</stp>
        <tr r="L196" s="2"/>
      </tp>
      <tp t="s">
        <v>#N/A N/A</v>
        <stp/>
        <stp>##V3_BDPV12</stp>
        <stp>31410GJB0 Mtge</stp>
        <stp>MTG_PREPAY_SPEED</stp>
        <stp>[Copy of 02_cpr_main.xlsx]data!R369C12</stp>
        <tr r="L369" s="2"/>
      </tp>
      <tp t="s">
        <v>#N/A Invalid Field</v>
        <stp/>
        <stp>##V3_BDHV12</stp>
        <stp>3128H33R0 Mtge</stp>
        <stp>MTG_GEN_CPR_12M</stp>
        <stp>20090331</stp>
        <stp>20090331</stp>
        <stp>[Copy of 02_cpr_main.xlsx]data!R65C7</stp>
        <stp>Dts=H</stp>
        <tr r="G65" s="2"/>
      </tp>
      <tp t="s">
        <v>#N/A Invalid Field</v>
        <stp/>
        <stp>##V3_BDHV12</stp>
        <stp>36200R6U1 Mtge</stp>
        <stp>MTG_GEN_CPR_6M</stp>
        <stp>20090331</stp>
        <stp>20090331</stp>
        <stp>[Copy of 02_cpr_main.xlsx]data!R469C6</stp>
        <stp>Dts=H</stp>
        <tr r="F469" s="2"/>
      </tp>
      <tp t="s">
        <v>#N/A Invalid Field</v>
        <stp/>
        <stp>##V3_BDHV12</stp>
        <stp>36200QSL9 Mtge</stp>
        <stp>MTG_GEN_CPR_6M</stp>
        <stp>20090610</stp>
        <stp>20090610</stp>
        <stp>[Copy of 02_cpr_main.xlsx]data!R468C9</stp>
        <stp>Dts=H</stp>
        <tr r="I468" s="2"/>
      </tp>
      <tp t="s">
        <v>#N/A Invalid Field</v>
        <stp/>
        <stp>##V3_BDHV12</stp>
        <stp>31391PUV6 Mtge</stp>
        <stp>MTG_GEN_CPR_6M</stp>
        <stp>20090331</stp>
        <stp>20090331</stp>
        <stp>[Copy of 02_cpr_main.xlsx]data!R239C6</stp>
        <stp>Dts=H</stp>
        <tr r="F239" s="2"/>
      </tp>
      <tp t="s">
        <v>#N/A N/A</v>
        <stp/>
        <stp>##V3_BDPV12</stp>
        <stp>312967XJ6 Mtge</stp>
        <stp>MTG_PREPAY_SPEED</stp>
        <stp>[Copy of 02_cpr_main.xlsx]data!R142C12</stp>
        <tr r="L142" s="2"/>
      </tp>
      <tp t="s">
        <v>#N/A Invalid Field</v>
        <stp/>
        <stp>##V3_BDHV12</stp>
        <stp>31382PPC5 Mtge</stp>
        <stp>MTG_GEN_CPR_6M</stp>
        <stp>20090331</stp>
        <stp>20090331</stp>
        <stp>[Copy of 02_cpr_main.xlsx]data!R201C6</stp>
        <stp>Dts=H</stp>
        <tr r="F201" s="2"/>
      </tp>
      <tp t="s">
        <v>#N/A Invalid Field</v>
        <stp/>
        <stp>##V3_BDHV12</stp>
        <stp>31407WSP9 Mtge</stp>
        <stp>MTG_GEN_CPR_6M</stp>
        <stp>20090610</stp>
        <stp>20090610</stp>
        <stp>[Copy of 02_cpr_main.xlsx]data!R347C9</stp>
        <stp>Dts=H</stp>
        <tr r="I347" s="2"/>
      </tp>
      <tp t="s">
        <v>#N/A Invalid Field</v>
        <stp/>
        <stp>##V3_BDHV12</stp>
        <stp>31413SCS1 Mtge</stp>
        <stp>MTG_GEN_CPR_3M</stp>
        <stp>20090331</stp>
        <stp>20090331</stp>
        <stp>[Copy of 02_cpr_main.xlsx]data!R432C5</stp>
        <stp>Dts=H</stp>
        <tr r="E432" s="2"/>
      </tp>
      <tp t="s">
        <v>#N/A Invalid Field</v>
        <stp/>
        <stp>##V3_BDHV12</stp>
        <stp>31410XGK6 Mtge</stp>
        <stp>MTG_GEN_CPR_6M</stp>
        <stp>20090331</stp>
        <stp>20090331</stp>
        <stp>[Copy of 02_cpr_main.xlsx]data!R389C6</stp>
        <stp>Dts=H</stp>
        <tr r="F389" s="2"/>
      </tp>
      <tp>
        <v>182</v>
        <stp/>
        <stp>##V3_BDPV12</stp>
        <stp>31407JBC5 Mtge</stp>
        <stp>MTG_PREPAY_SPEED</stp>
        <stp>[Copy of 02_cpr_main.xlsx]data!R342C12</stp>
        <tr r="L342" s="2"/>
      </tp>
      <tp t="s">
        <v>#N/A N/A</v>
        <stp/>
        <stp>##V3_BDPV12</stp>
        <stp>31391QTJ3 Mtge</stp>
        <stp>MTG_PREPAY_SPEED</stp>
        <stp>[Copy of 02_cpr_main.xlsx]data!R240C12</stp>
        <tr r="L240" s="2"/>
      </tp>
      <tp t="s">
        <v>#N/A N/A</v>
        <stp/>
        <stp>##V3_BDPV12</stp>
        <stp>31371LBD0 Mtge</stp>
        <stp>MTG_PREPAY_SPEED</stp>
        <stp>[Copy of 02_cpr_main.xlsx]data!R174C12</stp>
        <tr r="L174" s="2"/>
      </tp>
      <tp>
        <v>4.5199999999999996</v>
        <stp/>
        <stp>##V3_BDPV12</stp>
        <stp>31414HDB0 Mtge</stp>
        <stp>MTG_PREPAY_SPEED</stp>
        <stp>[Copy of 02_cpr_main.xlsx]data!R439C12</stp>
        <tr r="L439" s="2"/>
      </tp>
      <tp t="s">
        <v>#N/A Invalid Field</v>
        <stp/>
        <stp>##V3_BDHV12</stp>
        <stp>31374F2P3 Mtge</stp>
        <stp>MTG_GEN_CPR_3M</stp>
        <stp>20090331</stp>
        <stp>20090331</stp>
        <stp>[Copy of 02_cpr_main.xlsx]data!R182C5</stp>
        <stp>Dts=H</stp>
        <tr r="E182" s="2"/>
      </tp>
      <tp t="s">
        <v>#N/A Invalid Field</v>
        <stp/>
        <stp>##V3_BDHV12</stp>
        <stp>36225A3K4 Mtge</stp>
        <stp>MTG_GEN_CPR_6M</stp>
        <stp>20090331</stp>
        <stp>20090331</stp>
        <stp>[Copy of 02_cpr_main.xlsx]data!R489C6</stp>
        <stp>Dts=H</stp>
        <tr r="F489" s="2"/>
      </tp>
      <tp t="s">
        <v>#N/A Invalid Field</v>
        <stp/>
        <stp>##V3_BDHV12</stp>
        <stp>36210BTC9 Mtge</stp>
        <stp>MTG_GEN_CPR_6M</stp>
        <stp>20090610</stp>
        <stp>20090610</stp>
        <stp>[Copy of 02_cpr_main.xlsx]data!R483C9</stp>
        <stp>Dts=H</stp>
        <tr r="I483" s="2"/>
      </tp>
      <tp t="s">
        <v>#N/A Invalid Field</v>
        <stp/>
        <stp>##V3_BDHV12</stp>
        <stp>31295NZX9 Mtge</stp>
        <stp>MTG_GEN_CPR_6M</stp>
        <stp>20090610</stp>
        <stp>20090610</stp>
        <stp>[Copy of 02_cpr_main.xlsx]data!R136C9</stp>
        <stp>Dts=H</stp>
        <tr r="I136" s="2"/>
      </tp>
      <tp t="s">
        <v>#N/A Invalid Field</v>
        <stp/>
        <stp>##V3_BDHV12</stp>
        <stp>31400JBY4 Mtge</stp>
        <stp>MTG_GEN_CPR_3M</stp>
        <stp>20090331</stp>
        <stp>20090331</stp>
        <stp>[Copy of 02_cpr_main.xlsx]data!R246C5</stp>
        <stp>Dts=H</stp>
        <tr r="E246" s="2"/>
      </tp>
      <tp t="s">
        <v>#N/A Invalid Field</v>
        <stp/>
        <stp>##V3_BDHV12</stp>
        <stp>31407KGJ2 Mtge</stp>
        <stp>MTG_GEN_CPR_3M</stp>
        <stp>20090331</stp>
        <stp>20090331</stp>
        <stp>[Copy of 02_cpr_main.xlsx]data!R343C5</stp>
        <stp>Dts=H</stp>
        <tr r="E343" s="2"/>
      </tp>
      <tp t="s">
        <v>#N/A Invalid Field</v>
        <stp/>
        <stp>##V3_BDHV12</stp>
        <stp>31413N5R2 Mtge</stp>
        <stp>MTG_GEN_CPR_6M</stp>
        <stp>20090331</stp>
        <stp>20090331</stp>
        <stp>[Copy of 02_cpr_main.xlsx]data!R428C6</stp>
        <stp>Dts=H</stp>
        <tr r="F428" s="2"/>
      </tp>
      <tp t="s">
        <v>#N/A Invalid Field</v>
        <stp/>
        <stp>##V3_BDHV12</stp>
        <stp>36225BPM4 Mtge</stp>
        <stp>MTG_GEN_CPR_6M</stp>
        <stp>20090331</stp>
        <stp>20090331</stp>
        <stp>[Copy of 02_cpr_main.xlsx]data!R493C6</stp>
        <stp>Dts=H</stp>
        <tr r="F493" s="2"/>
      </tp>
      <tp t="s">
        <v>#N/A Invalid Field</v>
        <stp/>
        <stp>##V3_BDHV12</stp>
        <stp>36225BWH7 Mtge</stp>
        <stp>MTG_GEN_CPR_3M</stp>
        <stp>20090331</stp>
        <stp>20090331</stp>
        <stp>[Copy of 02_cpr_main.xlsx]data!R494C5</stp>
        <stp>Dts=H</stp>
        <tr r="E494" s="2"/>
      </tp>
      <tp t="s">
        <v>#N/A Invalid Field</v>
        <stp/>
        <stp>##V3_BDHV12</stp>
        <stp>31410KQJ6 Mtge</stp>
        <stp>MTG_GEN_CPR_6M</stp>
        <stp>20090331</stp>
        <stp>20090331</stp>
        <stp>[Copy of 02_cpr_main.xlsx]data!R373C6</stp>
        <stp>Dts=H</stp>
        <tr r="F373" s="2"/>
      </tp>
      <tp t="s">
        <v>#N/A Invalid Field</v>
        <stp/>
        <stp>##V3_BDHV12</stp>
        <stp>31371KDF5 Mtge</stp>
        <stp>MTG_GEN_CPR_6M</stp>
        <stp>20090331</stp>
        <stp>20090331</stp>
        <stp>[Copy of 02_cpr_main.xlsx]data!R170C6</stp>
        <stp>Dts=H</stp>
        <tr r="F170" s="2"/>
      </tp>
      <tp t="s">
        <v>#N/A Invalid Field</v>
        <stp/>
        <stp>##V3_BDHV12</stp>
        <stp>31371KGN5 Mtge</stp>
        <stp>MTG_GEN_CPR_6M</stp>
        <stp>20090331</stp>
        <stp>20090331</stp>
        <stp>[Copy of 02_cpr_main.xlsx]data!R171C6</stp>
        <stp>Dts=H</stp>
        <tr r="F171" s="2"/>
      </tp>
      <tp t="s">
        <v>#N/A Invalid Field</v>
        <stp/>
        <stp>##V3_BDHV12</stp>
        <stp>31374GNK9 Mtge</stp>
        <stp>MTG_GEN_CPR_3M</stp>
        <stp>20090610</stp>
        <stp>20090610</stp>
        <stp>[Copy of 02_cpr_main.xlsx]data!R184C8</stp>
        <stp>Dts=H</stp>
        <tr r="H184" s="2"/>
      </tp>
      <tp t="s">
        <v>#N/A Invalid Field</v>
        <stp/>
        <stp>##V3_BDHV12</stp>
        <stp>31374GLZ8 Mtge</stp>
        <stp>MTG_GEN_CPR_6M</stp>
        <stp>20090610</stp>
        <stp>20090610</stp>
        <stp>[Copy of 02_cpr_main.xlsx]data!R183C9</stp>
        <stp>Dts=H</stp>
        <tr r="I183" s="2"/>
      </tp>
      <tp t="s">
        <v>#N/A Invalid Field</v>
        <stp/>
        <stp>##V3_BDHV12</stp>
        <stp>31412M3C0 Mtge</stp>
        <stp>MTG_GEN_CPR_3M</stp>
        <stp>20090331</stp>
        <stp>20090331</stp>
        <stp>[Copy of 02_cpr_main.xlsx]data!R409C5</stp>
        <stp>Dts=H</stp>
        <tr r="E409" s="2"/>
      </tp>
      <tp t="s">
        <v>#N/A Invalid Field</v>
        <stp/>
        <stp>##V3_BDHV12</stp>
        <stp>36291JVC1 Mtge</stp>
        <stp>MTG_GEN_CPR_6M</stp>
        <stp>20090331</stp>
        <stp>20090331</stp>
        <stp>[Copy of 02_cpr_main.xlsx]data!R502C6</stp>
        <stp>Dts=H</stp>
        <tr r="F502" s="2"/>
      </tp>
      <tp t="s">
        <v>#N/A Invalid Field</v>
        <stp/>
        <stp>##V3_BDHV12</stp>
        <stp>31403DDR7 Mtge</stp>
        <stp>MTG_GEN_CPR_3M</stp>
        <stp>20090331</stp>
        <stp>20090331</stp>
        <stp>[Copy of 02_cpr_main.xlsx]data!R297C5</stp>
        <stp>Dts=H</stp>
        <tr r="E297" s="2"/>
      </tp>
      <tp t="s">
        <v>#N/A Invalid Field</v>
        <stp/>
        <stp>##V3_BDHV12</stp>
        <stp>36295JMQ6 Mtge</stp>
        <stp>MTG_GEN_CPR_3M</stp>
        <stp>20090331</stp>
        <stp>20090331</stp>
        <stp>[Copy of 02_cpr_main.xlsx]data!R506C5</stp>
        <stp>Dts=H</stp>
        <tr r="E506" s="2"/>
      </tp>
      <tp t="s">
        <v>#N/A Invalid Field</v>
        <stp/>
        <stp>##V3_BDHV12</stp>
        <stp>31371MLN5 Mtge</stp>
        <stp>MTG_GEN_CPR_6M</stp>
        <stp>20090331</stp>
        <stp>20090331</stp>
        <stp>[Copy of 02_cpr_main.xlsx]data!R178C6</stp>
        <stp>Dts=H</stp>
        <tr r="F178" s="2"/>
      </tp>
      <tp t="s">
        <v>#N/A Invalid Field</v>
        <stp/>
        <stp>##V3_BDHV12</stp>
        <stp>31294J5G9 Mtge</stp>
        <stp>MTG_GEN_CPR_3M</stp>
        <stp>20090610</stp>
        <stp>20090610</stp>
        <stp>[Copy of 02_cpr_main.xlsx]data!R127C8</stp>
        <stp>Dts=H</stp>
        <tr r="H127" s="2"/>
      </tp>
      <tp t="s">
        <v>#N/A Invalid Field</v>
        <stp/>
        <stp>##V3_BDHV12</stp>
        <stp>31294KSM8 Mtge</stp>
        <stp>MTG_GEN_CPR_6M</stp>
        <stp>20090610</stp>
        <stp>20090610</stp>
        <stp>[Copy of 02_cpr_main.xlsx]data!R134C9</stp>
        <stp>Dts=H</stp>
        <tr r="I134" s="2"/>
      </tp>
      <tp t="s">
        <v>#N/A Invalid Field</v>
        <stp/>
        <stp>##V3_BDHV12</stp>
        <stp>31294KLK9 Mtge</stp>
        <stp>MTG_GEN_CPR_3M</stp>
        <stp>20090610</stp>
        <stp>20090610</stp>
        <stp>[Copy of 02_cpr_main.xlsx]data!R131C8</stp>
        <stp>Dts=H</stp>
        <tr r="H131" s="2"/>
      </tp>
      <tp t="s">
        <v>#N/A Invalid Field</v>
        <stp/>
        <stp>##V3_BDHV12</stp>
        <stp>31294KRY3 Mtge</stp>
        <stp>MTG_GEN_CPR_3M</stp>
        <stp>20090331</stp>
        <stp>20090331</stp>
        <stp>[Copy of 02_cpr_main.xlsx]data!R133C5</stp>
        <stp>Dts=H</stp>
        <tr r="E133" s="2"/>
      </tp>
      <tp t="s">
        <v>#N/A Invalid Field</v>
        <stp/>
        <stp>##V3_BDHV12</stp>
        <stp>31294JYR3 Mtge</stp>
        <stp>MTG_GEN_CPR_3M</stp>
        <stp>20090331</stp>
        <stp>20090331</stp>
        <stp>[Copy of 02_cpr_main.xlsx]data!R128C5</stp>
        <stp>Dts=H</stp>
        <tr r="E128" s="2"/>
      </tp>
      <tp t="s">
        <v>#N/A Invalid Field</v>
        <stp/>
        <stp>##V3_BDHV12</stp>
        <stp>31405JWZ3 Mtge</stp>
        <stp>MTG_GEN_CPR_6M</stp>
        <stp>20090331</stp>
        <stp>20090331</stp>
        <stp>[Copy of 02_cpr_main.xlsx]data!R326C6</stp>
        <stp>Dts=H</stp>
        <tr r="F326" s="2"/>
      </tp>
      <tp t="s">
        <v>#N/A Invalid Field</v>
        <stp/>
        <stp>##V3_BDHV12</stp>
        <stp>31407LEA1 Mtge</stp>
        <stp>MTG_GEN_CPR_6M</stp>
        <stp>20090331</stp>
        <stp>20090331</stp>
        <stp>[Copy of 02_cpr_main.xlsx]data!R345C6</stp>
        <stp>Dts=H</stp>
        <tr r="F345" s="2"/>
      </tp>
      <tp t="s">
        <v>#N/A Invalid Field</v>
        <stp/>
        <stp>##V3_BDHV12</stp>
        <stp>31292HYT5 Mtge</stp>
        <stp>MTG_GEN_CPR_3M</stp>
        <stp>20090331</stp>
        <stp>20090331</stp>
        <stp>[Copy of 02_cpr_main.xlsx]data!R118C5</stp>
        <stp>Dts=H</stp>
        <tr r="E118" s="2"/>
      </tp>
      <tp t="s">
        <v>#N/A Invalid Field</v>
        <stp/>
        <stp>##V3_BDHV12</stp>
        <stp>36294NV54 Mtge</stp>
        <stp>MTG_GEN_CPR_6M</stp>
        <stp>20090331</stp>
        <stp>20090331</stp>
        <stp>[Copy of 02_cpr_main.xlsx]data!R505C6</stp>
        <stp>Dts=H</stp>
        <tr r="F505" s="2"/>
      </tp>
      <tp t="s">
        <v>#N/A Invalid Field</v>
        <stp/>
        <stp>##V3_BDHV12</stp>
        <stp>31390JTB7 Mtge</stp>
        <stp>MTG_GEN_CPR_6M</stp>
        <stp>20090331</stp>
        <stp>20090331</stp>
        <stp>[Copy of 02_cpr_main.xlsx]data!R232C6</stp>
        <stp>Dts=H</stp>
        <tr r="F232" s="2"/>
      </tp>
      <tp t="s">
        <v>#N/A Invalid Field</v>
        <stp/>
        <stp>##V3_BDHV12</stp>
        <stp>31405KZ20 Mtge</stp>
        <stp>MTG_GEN_CPR_3M</stp>
        <stp>20090331</stp>
        <stp>20090331</stp>
        <stp>[Copy of 02_cpr_main.xlsx]data!R327C5</stp>
        <stp>Dts=H</stp>
        <tr r="E327" s="2"/>
      </tp>
      <tp t="s">
        <v>#N/A Invalid Field</v>
        <stp/>
        <stp>##V3_BDHV12</stp>
        <stp>31292G4V5 Mtge</stp>
        <stp>MTG_GEN_CPR_3M</stp>
        <stp>20090331</stp>
        <stp>20090331</stp>
        <stp>[Copy of 02_cpr_main.xlsx]data!R114C5</stp>
        <stp>Dts=H</stp>
        <tr r="E114" s="2"/>
      </tp>
      <tp t="s">
        <v>#N/A Invalid Field</v>
        <stp/>
        <stp>##V3_BDHV12</stp>
        <stp>31410C6S6 Mtge</stp>
        <stp>MTG_GEN_CPR_6M</stp>
        <stp>20090331</stp>
        <stp>20090331</stp>
        <stp>[Copy of 02_cpr_main.xlsx]data!R358C6</stp>
        <stp>Dts=H</stp>
        <tr r="F358" s="2"/>
      </tp>
      <tp t="s">
        <v>#N/A Invalid Field</v>
        <stp/>
        <stp>##V3_BDHV12</stp>
        <stp>36241KNL8 Mtge</stp>
        <stp>MTG_GEN_CPR_6M</stp>
        <stp>20090610</stp>
        <stp>20090610</stp>
        <stp>[Copy of 02_cpr_main.xlsx]data!R496C9</stp>
        <stp>Dts=H</stp>
        <tr r="I496" s="2"/>
      </tp>
      <tp t="s">
        <v>#N/A Invalid Field</v>
        <stp/>
        <stp>##V3_BDHV12</stp>
        <stp>31412GSR3 Mtge</stp>
        <stp>MTG_GEN_CPR_6M</stp>
        <stp>20090331</stp>
        <stp>20090331</stp>
        <stp>[Copy of 02_cpr_main.xlsx]data!R407C6</stp>
        <stp>Dts=H</stp>
        <tr r="F407" s="2"/>
      </tp>
      <tp t="s">
        <v>#N/A Invalid Field</v>
        <stp/>
        <stp>##V3_BDHV12</stp>
        <stp>36200EDN8 Mtge</stp>
        <stp>MTG_GEN_CPR_3M</stp>
        <stp>20090610</stp>
        <stp>20090610</stp>
        <stp>[Copy of 02_cpr_main.xlsx]data!R463C8</stp>
        <stp>Dts=H</stp>
        <tr r="H463" s="2"/>
      </tp>
      <tp t="s">
        <v>#N/A Invalid Field</v>
        <stp/>
        <stp>##V3_BDHV12</stp>
        <stp>31403DTT6 Mtge</stp>
        <stp>MTG_GEN_CPR_3M</stp>
        <stp>20090331</stp>
        <stp>20090331</stp>
        <stp>[Copy of 02_cpr_main.xlsx]data!R302C5</stp>
        <stp>Dts=H</stp>
        <tr r="E302" s="2"/>
      </tp>
      <tp t="s">
        <v>#N/A Invalid Field</v>
        <stp/>
        <stp>##V3_BDHV12</stp>
        <stp>31406DJV9 Mtge</stp>
        <stp>MTG_GEN_CPR_3M</stp>
        <stp>20090610</stp>
        <stp>20090610</stp>
        <stp>[Copy of 02_cpr_main.xlsx]data!R334C8</stp>
        <stp>Dts=H</stp>
        <tr r="H334" s="2"/>
      </tp>
      <tp t="s">
        <v>#N/A Invalid Field</v>
        <stp/>
        <stp>##V3_BDHV12</stp>
        <stp>31402CZR6 Mtge</stp>
        <stp>MTG_GEN_CPR_3M</stp>
        <stp>20090331</stp>
        <stp>20090331</stp>
        <stp>[Copy of 02_cpr_main.xlsx]data!R267C5</stp>
        <stp>Dts=H</stp>
        <tr r="E267" s="2"/>
      </tp>
      <tp t="s">
        <v>#N/A Invalid Field</v>
        <stp/>
        <stp>##V3_BDHV12</stp>
        <stp>31382LKE5 Mtge</stp>
        <stp>MTG_GEN_CPR_3M</stp>
        <stp>20090331</stp>
        <stp>20090331</stp>
        <stp>[Copy of 02_cpr_main.xlsx]data!R199C5</stp>
        <stp>Dts=H</stp>
        <tr r="E199" s="2"/>
      </tp>
      <tp t="s">
        <v>#N/A Invalid Field</v>
        <stp/>
        <stp>##V3_BDHV12</stp>
        <stp>31413DGE1 Mtge</stp>
        <stp>MTG_GEN_CPR_3M</stp>
        <stp>20090331</stp>
        <stp>20090331</stp>
        <stp>[Copy of 02_cpr_main.xlsx]data!R419C5</stp>
        <stp>Dts=H</stp>
        <tr r="E419" s="2"/>
      </tp>
      <tp t="s">
        <v>#N/A Invalid Field</v>
        <stp/>
        <stp>##V3_BDHV12</stp>
        <stp>31414FKG5 Mtge</stp>
        <stp>MTG_GEN_CPR_6M</stp>
        <stp>20090331</stp>
        <stp>20090331</stp>
        <stp>[Copy of 02_cpr_main.xlsx]data!R437C6</stp>
        <stp>Dts=H</stp>
        <tr r="F437" s="2"/>
      </tp>
      <tp t="s">
        <v>#N/A Invalid Field</v>
        <stp/>
        <stp>##V3_BDHV12</stp>
        <stp>36291AM48 Mtge</stp>
        <stp>MTG_GEN_CPR_3M</stp>
        <stp>20090610</stp>
        <stp>20090610</stp>
        <stp>[Copy of 02_cpr_main.xlsx]data!R500C8</stp>
        <stp>Dts=H</stp>
        <tr r="H500" s="2"/>
      </tp>
      <tp t="s">
        <v>#N/A Invalid Field</v>
        <stp/>
        <stp>##V3_BDHV12</stp>
        <stp>31409D2C6 Mtge</stp>
        <stp>MTG_GEN_CPR_3M</stp>
        <stp>20090610</stp>
        <stp>20090610</stp>
        <stp>[Copy of 02_cpr_main.xlsx]data!R352C8</stp>
        <stp>Dts=H</stp>
        <tr r="H352" s="2"/>
      </tp>
      <tp t="s">
        <v>#N/A Invalid Field</v>
        <stp/>
        <stp>##V3_BDHV12</stp>
        <stp>31412BWG3 Mtge</stp>
        <stp>MTG_GEN_CPR_6M</stp>
        <stp>20090331</stp>
        <stp>20090331</stp>
        <stp>[Copy of 02_cpr_main.xlsx]data!R403C6</stp>
        <stp>Dts=H</stp>
        <tr r="F403" s="2"/>
      </tp>
      <tp t="s">
        <v>#N/A Invalid Field</v>
        <stp/>
        <stp>##V3_BDHV12</stp>
        <stp>31382KR26 Mtge</stp>
        <stp>MTG_GEN_CPR_6M</stp>
        <stp>20090331</stp>
        <stp>20090331</stp>
        <stp>[Copy of 02_cpr_main.xlsx]data!R198C6</stp>
        <stp>Dts=H</stp>
        <tr r="F198" s="2"/>
      </tp>
      <tp t="s">
        <v>#N/A Invalid Field</v>
        <stp/>
        <stp>##V3_BDHV12</stp>
        <stp>31381JRV6 Mtge</stp>
        <stp>MTG_GEN_CPR_3M</stp>
        <stp>20090331</stp>
        <stp>20090331</stp>
        <stp>[Copy of 02_cpr_main.xlsx]data!R194C5</stp>
        <stp>Dts=H</stp>
        <tr r="E194" s="2"/>
      </tp>
      <tp t="s">
        <v>#N/A Invalid Field</v>
        <stp/>
        <stp>##V3_BDHV12</stp>
        <stp>31410GRN5 Mtge</stp>
        <stp>MTG_GEN_CPR_3M</stp>
        <stp>20090331</stp>
        <stp>20090331</stp>
        <stp>[Copy of 02_cpr_main.xlsx]data!R372C5</stp>
        <stp>Dts=H</stp>
        <tr r="E372" s="2"/>
      </tp>
      <tp t="s">
        <v>#N/A Invalid Field</v>
        <stp/>
        <stp>##V3_BDHV12</stp>
        <stp>31410GQ55 Mtge</stp>
        <stp>MTG_GEN_CPR_3M</stp>
        <stp>20090331</stp>
        <stp>20090331</stp>
        <stp>[Copy of 02_cpr_main.xlsx]data!R370C5</stp>
        <stp>Dts=H</stp>
        <tr r="E370" s="2"/>
      </tp>
      <tp t="s">
        <v>#N/A Invalid Field</v>
        <stp/>
        <stp>##V3_BDHV12</stp>
        <stp>36291GYR1 Mtge</stp>
        <stp>MTG_GEN_CPR_6M</stp>
        <stp>20090331</stp>
        <stp>20090331</stp>
        <stp>[Copy of 02_cpr_main.xlsx]data!R501C6</stp>
        <stp>Dts=H</stp>
        <tr r="F501" s="2"/>
      </tp>
      <tp t="s">
        <v>#N/A Invalid Field</v>
        <stp/>
        <stp>##V3_BDHV12</stp>
        <stp>31410G6A6 Mtge</stp>
        <stp>MTG_GEN_CPR_6M</stp>
        <stp>20090331</stp>
        <stp>20090331</stp>
        <stp>[Copy of 02_cpr_main.xlsx]data!R364C6</stp>
        <stp>Dts=H</stp>
        <tr r="F364" s="2"/>
      </tp>
      <tp t="s">
        <v>#N/A Invalid Field</v>
        <stp/>
        <stp>##V3_BDHV12</stp>
        <stp>31406BYJ3 Mtge</stp>
        <stp>MTG_GEN_CPR_3M</stp>
        <stp>20090331</stp>
        <stp>20090331</stp>
        <stp>[Copy of 02_cpr_main.xlsx]data!R333C5</stp>
        <stp>Dts=H</stp>
        <tr r="E333" s="2"/>
      </tp>
      <tp t="s">
        <v>#N/A Invalid Field</v>
        <stp/>
        <stp>##V3_BDHV12</stp>
        <stp>31410GE66 Mtge</stp>
        <stp>MTG_GEN_CPR_6M</stp>
        <stp>20090331</stp>
        <stp>20090331</stp>
        <stp>[Copy of 02_cpr_main.xlsx]data!R365C6</stp>
        <stp>Dts=H</stp>
        <tr r="F365" s="2"/>
      </tp>
      <tp t="s">
        <v>#N/A Invalid Field</v>
        <stp/>
        <stp>##V3_BDHV12</stp>
        <stp>31410GHN6 Mtge</stp>
        <stp>MTG_GEN_CPR_6M</stp>
        <stp>20090331</stp>
        <stp>20090331</stp>
        <stp>[Copy of 02_cpr_main.xlsx]data!R368C6</stp>
        <stp>Dts=H</stp>
        <tr r="F368" s="2"/>
      </tp>
      <tp t="s">
        <v>#N/A Invalid Field</v>
        <stp/>
        <stp>##V3_BDHV12</stp>
        <stp>01F050445 Mtge</stp>
        <stp>MTG_GEN_CPR_12M</stp>
        <stp>20090331</stp>
        <stp>20090331</stp>
        <stp>[Copy of 02_cpr_main.xlsx]data!R4C7</stp>
        <stp>Dts=H</stp>
        <tr r="G4" s="2"/>
      </tp>
      <tp t="s">
        <v>#N/A Invalid Field</v>
        <stp/>
        <stp>##V3_BDHV12</stp>
        <stp>01F040446 Mtge</stp>
        <stp>MTG_GEN_CPR_12M</stp>
        <stp>20090331</stp>
        <stp>20090331</stp>
        <stp>[Copy of 02_cpr_main.xlsx]data!R2C7</stp>
        <stp>Dts=H</stp>
        <tr r="G2" s="2"/>
      </tp>
      <tp t="s">
        <v>#N/A Invalid Field</v>
        <stp/>
        <stp>##V3_BDHV12</stp>
        <stp>01F052441 Mtge</stp>
        <stp>MTG_GEN_CPR_12M</stp>
        <stp>20090331</stp>
        <stp>20090331</stp>
        <stp>[Copy of 02_cpr_main.xlsx]data!R8C7</stp>
        <stp>Dts=H</stp>
        <tr r="G8" s="2"/>
      </tp>
      <tp t="s">
        <v>#N/A Invalid Field</v>
        <stp/>
        <stp>##V3_BDHV12</stp>
        <stp>01F042640 Mtge</stp>
        <stp>MTG_GEN_CPR_12M</stp>
        <stp>20090331</stp>
        <stp>20090331</stp>
        <stp>[Copy of 02_cpr_main.xlsx]data!R3C7</stp>
        <stp>Dts=H</stp>
        <tr r="G3" s="2"/>
      </tp>
      <tp t="s">
        <v>#N/A Invalid Field</v>
        <stp/>
        <stp>##V3_BDHV12</stp>
        <stp>312967HF2 Mtge</stp>
        <stp>MTG_GEN_CPR_6M</stp>
        <stp>20090331</stp>
        <stp>20090331</stp>
        <stp>[Copy of 02_cpr_main.xlsx]data!R140C6</stp>
        <stp>Dts=H</stp>
        <tr r="F140" s="2"/>
      </tp>
      <tp t="s">
        <v>#N/A Invalid Field</v>
        <stp/>
        <stp>##V3_BDHV12</stp>
        <stp>01F050643 Mtge</stp>
        <stp>MTG_GEN_CPR_12M</stp>
        <stp>20090331</stp>
        <stp>20090331</stp>
        <stp>[Copy of 02_cpr_main.xlsx]data!R6C7</stp>
        <stp>Dts=H</stp>
        <tr r="G6" s="2"/>
      </tp>
      <tp t="s">
        <v>#N/A Invalid Field</v>
        <stp/>
        <stp>##V3_BDHV12</stp>
        <stp>3128JMFN2 Mtge</stp>
        <stp>MTG_GEN_CPR_12M</stp>
        <stp>20090331</stp>
        <stp>20090331</stp>
        <stp>[Copy of 02_cpr_main.xlsx]data!R68C7</stp>
        <stp>Dts=H</stp>
        <tr r="G68" s="2"/>
      </tp>
    </main>
    <main first="bloomberg.rtd">
      <tp t="s">
        <v>#N/A Invalid Field</v>
        <stp/>
        <stp>##V3_BDHV12</stp>
        <stp>31401XSY4 Mtge</stp>
        <stp>MTG_GEN_CPR_3M</stp>
        <stp>20090331</stp>
        <stp>20090331</stp>
        <stp>[Copy of 02_cpr_main.xlsx]data!R260C5</stp>
        <stp>Dts=H</stp>
        <tr r="E260" s="2"/>
      </tp>
      <tp t="s">
        <v>#N/A Invalid Field</v>
        <stp/>
        <stp>##V3_BDHV12</stp>
        <stp>31406YB58 Mtge</stp>
        <stp>MTG_GEN_CPR_3M</stp>
        <stp>20090610</stp>
        <stp>20090610</stp>
        <stp>[Copy of 02_cpr_main.xlsx]data!R341C8</stp>
        <stp>Dts=H</stp>
        <tr r="H341" s="2"/>
      </tp>
      <tp t="s">
        <v>#N/A Invalid Field</v>
        <stp/>
        <stp>##V3_BDHV12</stp>
        <stp>31410WX37 Mtge</stp>
        <stp>MTG_GEN_CPR_6M</stp>
        <stp>20090331</stp>
        <stp>20090331</stp>
        <stp>[Copy of 02_cpr_main.xlsx]data!R387C6</stp>
        <stp>Dts=H</stp>
        <tr r="F387" s="2"/>
      </tp>
      <tp>
        <v>65.040000000000006</v>
        <stp/>
        <stp>##V3_BDPV12</stp>
        <stp>31404EVB9 Mtge</stp>
        <stp>MTG_PREPAY_SPEED</stp>
        <stp>[Copy of 02_cpr_main.xlsx]data!R312C12</stp>
        <tr r="L312" s="2"/>
      </tp>
      <tp t="s">
        <v>#N/A Invalid Field</v>
        <stp/>
        <stp>##V3_BDHV12</stp>
        <stp>31407X2Q3 Mtge</stp>
        <stp>MTG_GEN_CPR_3M</stp>
        <stp>20090331</stp>
        <stp>20090331</stp>
        <stp>[Copy of 02_cpr_main.xlsx]data!R348C5</stp>
        <stp>Dts=H</stp>
        <tr r="E348" s="2"/>
      </tp>
      <tp>
        <v>150</v>
        <stp/>
        <stp>##V3_BDPV12</stp>
        <stp>36210BTC9 Mtge</stp>
        <stp>MTG_PREPAY_SPEED</stp>
        <stp>[Copy of 02_cpr_main.xlsx]data!R483C12</stp>
        <tr r="L483" s="2"/>
      </tp>
      <tp t="s">
        <v>#N/A Invalid Field</v>
        <stp/>
        <stp>##V3_BDHV12</stp>
        <stp>31415XSZ5 Mtge</stp>
        <stp>MTG_GEN_CPR_6M</stp>
        <stp>20090331</stp>
        <stp>20090331</stp>
        <stp>[Copy of 02_cpr_main.xlsx]data!R459C6</stp>
        <stp>Dts=H</stp>
        <tr r="F459" s="2"/>
      </tp>
      <tp t="s">
        <v>#N/A N/A</v>
        <stp/>
        <stp>##V3_BDPV12</stp>
        <stp>31294KLK9 Mtge</stp>
        <stp>MTG_PREPAY_SPEED</stp>
        <stp>[Copy of 02_cpr_main.xlsx]data!R131C12</stp>
        <tr r="L131" s="2"/>
      </tp>
      <tp t="s">
        <v>#N/A Invalid Field</v>
        <stp/>
        <stp>##V3_BDHV12</stp>
        <stp>31379Q6J4 Mtge</stp>
        <stp>MTG_GEN_CPR_6M</stp>
        <stp>20090610</stp>
        <stp>20090610</stp>
        <stp>[Copy of 02_cpr_main.xlsx]data!R189C9</stp>
        <stp>Dts=H</stp>
        <tr r="I189" s="2"/>
      </tp>
      <tp t="s">
        <v>#N/A Invalid Field</v>
        <stp/>
        <stp>##V3_BDHV12</stp>
        <stp>31402RR84 Mtge</stp>
        <stp>MTG_GEN_CPR_6M</stp>
        <stp>20090331</stp>
        <stp>20090331</stp>
        <stp>[Copy of 02_cpr_main.xlsx]data!R287C6</stp>
        <stp>Dts=H</stp>
        <tr r="F287" s="2"/>
      </tp>
      <tp t="s">
        <v>#N/A Invalid Field</v>
        <stp/>
        <stp>##V3_BDHV12</stp>
        <stp>31402RGU7 Mtge</stp>
        <stp>MTG_GEN_CPR_3M</stp>
        <stp>20090331</stp>
        <stp>20090331</stp>
        <stp>[Copy of 02_cpr_main.xlsx]data!R283C5</stp>
        <stp>Dts=H</stp>
        <tr r="E283" s="2"/>
      </tp>
      <tp t="s">
        <v>#N/A Invalid Field</v>
        <stp/>
        <stp>##V3_BDHV12</stp>
        <stp>31402RJL4 Mtge</stp>
        <stp>MTG_GEN_CPR_6M</stp>
        <stp>20090331</stp>
        <stp>20090331</stp>
        <stp>[Copy of 02_cpr_main.xlsx]data!R285C6</stp>
        <stp>Dts=H</stp>
        <tr r="F285" s="2"/>
      </tp>
      <tp t="s">
        <v>#N/A Invalid Field</v>
        <stp/>
        <stp>##V3_BDHV12</stp>
        <stp>31404XJG0 Mtge</stp>
        <stp>MTG_GEN_CPR_3M</stp>
        <stp>20090331</stp>
        <stp>20090331</stp>
        <stp>[Copy of 02_cpr_main.xlsx]data!R321C5</stp>
        <stp>Dts=H</stp>
        <tr r="E321" s="2"/>
      </tp>
      <tp t="s">
        <v>#N/A Invalid Field</v>
        <stp/>
        <stp>##V3_BDHV12</stp>
        <stp>36209WQL9 Mtge</stp>
        <stp>MTG_GEN_CPR_6M</stp>
        <stp>20090331</stp>
        <stp>20090331</stp>
        <stp>[Copy of 02_cpr_main.xlsx]data!R482C6</stp>
        <stp>Dts=H</stp>
        <tr r="F482" s="2"/>
      </tp>
      <tp t="s">
        <v>#N/A Invalid Field</v>
        <stp/>
        <stp>##V3_BDHV12</stp>
        <stp>31385WZX0 Mtge</stp>
        <stp>MTG_GEN_CPR_3M</stp>
        <stp>20090331</stp>
        <stp>20090331</stp>
        <stp>[Copy of 02_cpr_main.xlsx]data!R219C5</stp>
        <stp>Dts=H</stp>
        <tr r="E219" s="2"/>
      </tp>
      <tp t="s">
        <v>#N/A Invalid Field</v>
        <stp/>
        <stp>##V3_BDHV12</stp>
        <stp>31400RNS6 Mtge</stp>
        <stp>MTG_GEN_CPR_6M</stp>
        <stp>20090331</stp>
        <stp>20090331</stp>
        <stp>[Copy of 02_cpr_main.xlsx]data!R249C6</stp>
        <stp>Dts=H</stp>
        <tr r="F249" s="2"/>
      </tp>
      <tp t="s">
        <v>#N/A Invalid Field</v>
        <stp/>
        <stp>##V3_BDHV12</stp>
        <stp>36291PSB3 Mtge</stp>
        <stp>MTG_GEN_CPR_3M</stp>
        <stp>20090331</stp>
        <stp>20090331</stp>
        <stp>[Copy of 02_cpr_main.xlsx]data!R504C5</stp>
        <stp>Dts=H</stp>
        <tr r="E504" s="2"/>
      </tp>
      <tp t="s">
        <v>#N/A Invalid Field</v>
        <stp/>
        <stp>##V3_BDHV12</stp>
        <stp>31296SLS3 Mtge</stp>
        <stp>MTG_GEN_CPR_6M</stp>
        <stp>20090331</stp>
        <stp>20090331</stp>
        <stp>[Copy of 02_cpr_main.xlsx]data!R146C6</stp>
        <stp>Dts=H</stp>
        <tr r="F146" s="2"/>
      </tp>
      <tp t="s">
        <v>#N/A N/A</v>
        <stp/>
        <stp>##V3_BDPV12</stp>
        <stp>31412M3C0 Mtge</stp>
        <stp>MTG_PREPAY_SPEED</stp>
        <stp>[Copy of 02_cpr_main.xlsx]data!R409C12</stp>
        <tr r="L409" s="2"/>
      </tp>
      <tp t="s">
        <v>#N/A Invalid Field</v>
        <stp/>
        <stp>##V3_BDHV12</stp>
        <stp>31382TTG4 Mtge</stp>
        <stp>MTG_GEN_CPR_6M</stp>
        <stp>20090331</stp>
        <stp>20090331</stp>
        <stp>[Copy of 02_cpr_main.xlsx]data!R203C6</stp>
        <stp>Dts=H</stp>
        <tr r="F203" s="2"/>
      </tp>
      <tp t="s">
        <v>#N/A Invalid Field</v>
        <stp/>
        <stp>##V3_BDHV12</stp>
        <stp>31415QGG5 Mtge</stp>
        <stp>MTG_GEN_CPR_6M</stp>
        <stp>20090331</stp>
        <stp>20090331</stp>
        <stp>[Copy of 02_cpr_main.xlsx]data!R451C6</stp>
        <stp>Dts=H</stp>
        <tr r="F451" s="2"/>
      </tp>
      <tp t="s">
        <v>#N/A Invalid Field</v>
        <stp/>
        <stp>##V3_BDHV12</stp>
        <stp>31404UE63 Mtge</stp>
        <stp>MTG_GEN_CPR_6M</stp>
        <stp>20090331</stp>
        <stp>20090331</stp>
        <stp>[Copy of 02_cpr_main.xlsx]data!R319C6</stp>
        <stp>Dts=H</stp>
        <tr r="F319" s="2"/>
      </tp>
      <tp t="s">
        <v>#N/A Invalid Field</v>
        <stp/>
        <stp>##V3_BDHV12</stp>
        <stp>31407RVA9 Mtge</stp>
        <stp>MTG_GEN_CPR_3M</stp>
        <stp>20090610</stp>
        <stp>20090610</stp>
        <stp>[Copy of 02_cpr_main.xlsx]data!R346C8</stp>
        <stp>Dts=H</stp>
        <tr r="H346" s="2"/>
      </tp>
      <tp t="s">
        <v>#N/A Invalid Field</v>
        <stp/>
        <stp>##V3_BDHV12</stp>
        <stp>31400QVB6 Mtge</stp>
        <stp>MTG_GEN_CPR_6M</stp>
        <stp>20090331</stp>
        <stp>20090331</stp>
        <stp>[Copy of 02_cpr_main.xlsx]data!R248C6</stp>
        <stp>Dts=H</stp>
        <tr r="F248" s="2"/>
      </tp>
      <tp t="s">
        <v>#N/A Invalid Field</v>
        <stp/>
        <stp>##V3_BDHV12</stp>
        <stp>31406UL48 Mtge</stp>
        <stp>MTG_GEN_CPR_3M</stp>
        <stp>20090610</stp>
        <stp>20090610</stp>
        <stp>[Copy of 02_cpr_main.xlsx]data!R339C8</stp>
        <stp>Dts=H</stp>
        <tr r="H339" s="2"/>
      </tp>
      <tp t="s">
        <v>#N/A Invalid Field</v>
        <stp/>
        <stp>##V3_BDHV12</stp>
        <stp>31414QAE7 Mtge</stp>
        <stp>MTG_GEN_CPR_3M</stp>
        <stp>20090331</stp>
        <stp>20090331</stp>
        <stp>[Copy of 02_cpr_main.xlsx]data!R443C5</stp>
        <stp>Dts=H</stp>
        <tr r="E443" s="2"/>
      </tp>
      <tp t="s">
        <v>#N/A Invalid Field</v>
        <stp/>
        <stp>##V3_BDHV12</stp>
        <stp>31298SM84 Mtge</stp>
        <stp>MTG_GEN_CPR_3M</stp>
        <stp>20090610</stp>
        <stp>20090610</stp>
        <stp>[Copy of 02_cpr_main.xlsx]data!R153C8</stp>
        <stp>Dts=H</stp>
        <tr r="H153" s="2"/>
      </tp>
      <tp t="s">
        <v>#N/A N/A</v>
        <stp/>
        <stp>##V3_BDPV12</stp>
        <stp>31400QVB6 Mtge</stp>
        <stp>MTG_PREPAY_SPEED</stp>
        <stp>[Copy of 02_cpr_main.xlsx]data!R248C12</stp>
        <tr r="L248" s="2"/>
      </tp>
      <tp t="s">
        <v>#N/A Invalid Field</v>
        <stp/>
        <stp>##V3_BDHV12</stp>
        <stp>31403R2E7 Mtge</stp>
        <stp>MTG_GEN_CPR_3M</stp>
        <stp>20090331</stp>
        <stp>20090331</stp>
        <stp>[Copy of 02_cpr_main.xlsx]data!R309C5</stp>
        <stp>Dts=H</stp>
        <tr r="E309" s="2"/>
      </tp>
      <tp t="s">
        <v>#N/A Invalid Field</v>
        <stp/>
        <stp>##V3_BDHV12</stp>
        <stp>31413QS90 Mtge</stp>
        <stp>MTG_GEN_CPR_3M</stp>
        <stp>20090331</stp>
        <stp>20090331</stp>
        <stp>[Copy of 02_cpr_main.xlsx]data!R431C5</stp>
        <stp>Dts=H</stp>
        <tr r="E431" s="2"/>
      </tp>
      <tp t="s">
        <v>#N/A Invalid Field</v>
        <stp/>
        <stp>##V3_BDHV12</stp>
        <stp>36204RN87 Mtge</stp>
        <stp>MTG_GEN_CPR_3M</stp>
        <stp>20090331</stp>
        <stp>20090331</stp>
        <stp>[Copy of 02_cpr_main.xlsx]data!R478C5</stp>
        <stp>Dts=H</stp>
        <tr r="E478" s="2"/>
      </tp>
      <tp t="s">
        <v>#N/A Invalid Field</v>
        <stp/>
        <stp>##V3_BDHV12</stp>
        <stp>31406QGE1 Mtge</stp>
        <stp>MTG_GEN_CPR_6M</stp>
        <stp>20090331</stp>
        <stp>20090331</stp>
        <stp>[Copy of 02_cpr_main.xlsx]data!R338C6</stp>
        <stp>Dts=H</stp>
        <tr r="F338" s="2"/>
      </tp>
      <tp t="s">
        <v>#N/A Invalid Field</v>
        <stp/>
        <stp>##V3_BDHV12</stp>
        <stp>31297VFX1 Mtge</stp>
        <stp>MTG_GEN_CPR_3M</stp>
        <stp>20090331</stp>
        <stp>20090331</stp>
        <stp>[Copy of 02_cpr_main.xlsx]data!R149C5</stp>
        <stp>Dts=H</stp>
        <tr r="E149" s="2"/>
      </tp>
      <tp t="s">
        <v>#N/A Invalid Field</v>
        <stp/>
        <stp>##V3_BDHV12</stp>
        <stp>31390P7C5 Mtge</stp>
        <stp>MTG_GEN_CPR_3M</stp>
        <stp>20090331</stp>
        <stp>20090331</stp>
        <stp>[Copy of 02_cpr_main.xlsx]data!R233C5</stp>
        <stp>Dts=H</stp>
        <tr r="E233" s="2"/>
      </tp>
      <tp t="s">
        <v>#N/A Invalid Field</v>
        <stp/>
        <stp>##V3_BDHV12</stp>
        <stp>36200QSL9 Mtge</stp>
        <stp>MTG_GEN_CPR_3M</stp>
        <stp>20090610</stp>
        <stp>20090610</stp>
        <stp>[Copy of 02_cpr_main.xlsx]data!R468C8</stp>
        <stp>Dts=H</stp>
        <tr r="H468" s="2"/>
      </tp>
      <tp t="s">
        <v>#N/A Invalid Field</v>
        <stp/>
        <stp>##V3_BDHV12</stp>
        <stp>31297VKP2 Mtge</stp>
        <stp>MTG_GEN_CPR_6M</stp>
        <stp>20090331</stp>
        <stp>20090331</stp>
        <stp>[Copy of 02_cpr_main.xlsx]data!R150C6</stp>
        <stp>Dts=H</stp>
        <tr r="F150" s="2"/>
      </tp>
      <tp>
        <v>186</v>
        <stp/>
        <stp>##V3_BDPV12</stp>
        <stp>31296RSK5 Mtge</stp>
        <stp>MTG_PREPAY_SPEED</stp>
        <stp>[Copy of 02_cpr_main.xlsx]data!R145C12</stp>
        <tr r="L145" s="2"/>
      </tp>
      <tp>
        <v>150</v>
        <stp/>
        <stp>##V3_BDPV12</stp>
        <stp>36201SRB7 Mtge</stp>
        <stp>MTG_PREPAY_SPEED</stp>
        <stp>[Copy of 02_cpr_main.xlsx]data!R473C12</stp>
        <tr r="L473" s="2"/>
      </tp>
      <tp t="s">
        <v>#N/A N/A</v>
        <stp/>
        <stp>##V3_BDPV12</stp>
        <stp>31403R3B2 Mtge</stp>
        <stp>MTG_PREPAY_SPEED</stp>
        <stp>[Copy of 02_cpr_main.xlsx]data!R310C12</stp>
        <tr r="L310" s="2"/>
      </tp>
      <tp>
        <v>169</v>
        <stp/>
        <stp>##V3_BDPV12</stp>
        <stp>31415A3C3 Mtge</stp>
        <stp>MTG_PREPAY_SPEED</stp>
        <stp>[Copy of 02_cpr_main.xlsx]data!R446C12</stp>
        <tr r="L446" s="2"/>
      </tp>
      <tp>
        <v>191</v>
        <stp/>
        <stp>##V3_BDPV12</stp>
        <stp>31292G2K1 Mtge</stp>
        <stp>MTG_PREPAY_SPEED</stp>
        <stp>[Copy of 02_cpr_main.xlsx]data!R113C12</stp>
        <tr r="L113" s="2"/>
      </tp>
      <tp t="s">
        <v>#N/A Invalid Field</v>
        <stp/>
        <stp>##V3_BDHV12</stp>
        <stp>31407WSP9 Mtge</stp>
        <stp>MTG_GEN_CPR_3M</stp>
        <stp>20090610</stp>
        <stp>20090610</stp>
        <stp>[Copy of 02_cpr_main.xlsx]data!R347C8</stp>
        <stp>Dts=H</stp>
        <tr r="H347" s="2"/>
      </tp>
      <tp t="s">
        <v>#N/A Invalid Field</v>
        <stp/>
        <stp>##V3_BDHV12</stp>
        <stp>31410XF84 Mtge</stp>
        <stp>MTG_GEN_CPR_3M</stp>
        <stp>20090331</stp>
        <stp>20090331</stp>
        <stp>[Copy of 02_cpr_main.xlsx]data!R388C5</stp>
        <stp>Dts=H</stp>
        <tr r="E388" s="2"/>
      </tp>
      <tp t="s">
        <v>#N/A Invalid Field</v>
        <stp/>
        <stp>##V3_BDHV12</stp>
        <stp>31390SJ85 Mtge</stp>
        <stp>MTG_GEN_CPR_3M</stp>
        <stp>20090331</stp>
        <stp>20090331</stp>
        <stp>[Copy of 02_cpr_main.xlsx]data!R235C5</stp>
        <stp>Dts=H</stp>
        <tr r="E235" s="2"/>
      </tp>
      <tp>
        <v>169</v>
        <stp/>
        <stp>##V3_BDPV12</stp>
        <stp>31415WQC0 Mtge</stp>
        <stp>MTG_PREPAY_SPEED</stp>
        <stp>[Copy of 02_cpr_main.xlsx]data!R457C12</stp>
        <tr r="L457" s="2"/>
      </tp>
      <tp>
        <v>161</v>
        <stp/>
        <stp>##V3_BDPV12</stp>
        <stp>31403KRB1 Mtge</stp>
        <stp>MTG_PREPAY_SPEED</stp>
        <stp>[Copy of 02_cpr_main.xlsx]data!R308C12</stp>
        <tr r="L308" s="2"/>
      </tp>
      <tp t="s">
        <v>#N/A Invalid Field</v>
        <stp/>
        <stp>##V3_BDHV12</stp>
        <stp>31371HQY7 Mtge</stp>
        <stp>MTG_GEN_CPR_3M</stp>
        <stp>20090331</stp>
        <stp>20090331</stp>
        <stp>[Copy of 02_cpr_main.xlsx]data!R166C5</stp>
        <stp>Dts=H</stp>
        <tr r="E166" s="2"/>
      </tp>
      <tp t="s">
        <v>#N/A Invalid Field</v>
        <stp/>
        <stp>##V3_BDHV12</stp>
        <stp>36210BTC9 Mtge</stp>
        <stp>MTG_GEN_CPR_3M</stp>
        <stp>20090610</stp>
        <stp>20090610</stp>
        <stp>[Copy of 02_cpr_main.xlsx]data!R483C8</stp>
        <stp>Dts=H</stp>
        <tr r="H483" s="2"/>
      </tp>
      <tp t="s">
        <v>#N/A Invalid Field</v>
        <stp/>
        <stp>##V3_BDHV12</stp>
        <stp>31295NZX9 Mtge</stp>
        <stp>MTG_GEN_CPR_3M</stp>
        <stp>20090610</stp>
        <stp>20090610</stp>
        <stp>[Copy of 02_cpr_main.xlsx]data!R136C8</stp>
        <stp>Dts=H</stp>
        <tr r="H136" s="2"/>
      </tp>
      <tp t="s">
        <v>#N/A Invalid Field</v>
        <stp/>
        <stp>##V3_BDHV12</stp>
        <stp>31400JA25 Mtge</stp>
        <stp>MTG_GEN_CPR_3M</stp>
        <stp>20090331</stp>
        <stp>20090331</stp>
        <stp>[Copy of 02_cpr_main.xlsx]data!R245C5</stp>
        <stp>Dts=H</stp>
        <tr r="E245" s="2"/>
      </tp>
      <tp t="s">
        <v>#N/A Invalid Field</v>
        <stp/>
        <stp>##V3_BDHV12</stp>
        <stp>31382NES7 Mtge</stp>
        <stp>MTG_GEN_CPR_3M</stp>
        <stp>20090331</stp>
        <stp>20090331</stp>
        <stp>[Copy of 02_cpr_main.xlsx]data!R200C5</stp>
        <stp>Dts=H</stp>
        <tr r="E200" s="2"/>
      </tp>
      <tp t="s">
        <v>#N/A Invalid Field</v>
        <stp/>
        <stp>##V3_BDHV12</stp>
        <stp>31371HLX4 Mtge</stp>
        <stp>MTG_GEN_CPR_6M</stp>
        <stp>20090331</stp>
        <stp>20090331</stp>
        <stp>[Copy of 02_cpr_main.xlsx]data!R163C6</stp>
        <stp>Dts=H</stp>
        <tr r="F163" s="2"/>
      </tp>
      <tp t="s">
        <v>#N/A Invalid Field</v>
        <stp/>
        <stp>##V3_BDHV12</stp>
        <stp>31400KQ66 Mtge</stp>
        <stp>MTG_GEN_CPR_6M</stp>
        <stp>20090331</stp>
        <stp>20090331</stp>
        <stp>[Copy of 02_cpr_main.xlsx]data!R247C6</stp>
        <stp>Dts=H</stp>
        <tr r="F247" s="2"/>
      </tp>
      <tp t="s">
        <v>#N/A Invalid Field</v>
        <stp/>
        <stp>##V3_BDHV12</stp>
        <stp>31401JUA4 Mtge</stp>
        <stp>MTG_GEN_CPR_3M</stp>
        <stp>20090331</stp>
        <stp>20090331</stp>
        <stp>[Copy of 02_cpr_main.xlsx]data!R255C5</stp>
        <stp>Dts=H</stp>
        <tr r="E255" s="2"/>
      </tp>
      <tp t="s">
        <v>#N/A Invalid Field</v>
        <stp/>
        <stp>##V3_BDHV12</stp>
        <stp>31412M4Y1 Mtge</stp>
        <stp>MTG_GEN_CPR_3M</stp>
        <stp>20090331</stp>
        <stp>20090331</stp>
        <stp>[Copy of 02_cpr_main.xlsx]data!R410C5</stp>
        <stp>Dts=H</stp>
        <tr r="E410" s="2"/>
      </tp>
      <tp t="s">
        <v>#N/A Invalid Field</v>
        <stp/>
        <stp>##V3_BDHV12</stp>
        <stp>36200M6G3 Mtge</stp>
        <stp>MTG_GEN_CPR_3M</stp>
        <stp>20090331</stp>
        <stp>20090331</stp>
        <stp>[Copy of 02_cpr_main.xlsx]data!R465C5</stp>
        <stp>Dts=H</stp>
        <tr r="E465" s="2"/>
      </tp>
      <tp t="s">
        <v>#N/A Invalid Field</v>
        <stp/>
        <stp>##V3_BDHV12</stp>
        <stp>31410KRX4 Mtge</stp>
        <stp>MTG_GEN_CPR_3M</stp>
        <stp>20090331</stp>
        <stp>20090331</stp>
        <stp>[Copy of 02_cpr_main.xlsx]data!R375C5</stp>
        <stp>Dts=H</stp>
        <tr r="E375" s="2"/>
      </tp>
      <tp t="s">
        <v>#N/A Invalid Field</v>
        <stp/>
        <stp>##V3_BDHV12</stp>
        <stp>36200MTF0 Mtge</stp>
        <stp>MTG_GEN_CPR_6M</stp>
        <stp>20090331</stp>
        <stp>20090331</stp>
        <stp>[Copy of 02_cpr_main.xlsx]data!R466C6</stp>
        <stp>Dts=H</stp>
        <tr r="F466" s="2"/>
      </tp>
      <tp t="s">
        <v>#N/A Invalid Field</v>
        <stp/>
        <stp>##V3_BDHV12</stp>
        <stp>31410KTH7 Mtge</stp>
        <stp>MTG_GEN_CPR_6M</stp>
        <stp>20090331</stp>
        <stp>20090331</stp>
        <stp>[Copy of 02_cpr_main.xlsx]data!R376C6</stp>
        <stp>Dts=H</stp>
        <tr r="F376" s="2"/>
      </tp>
      <tp t="s">
        <v>#N/A Invalid Field</v>
        <stp/>
        <stp>##V3_BDHV12</stp>
        <stp>31374GNK9 Mtge</stp>
        <stp>MTG_GEN_CPR_6M</stp>
        <stp>20090610</stp>
        <stp>20090610</stp>
        <stp>[Copy of 02_cpr_main.xlsx]data!R184C9</stp>
        <stp>Dts=H</stp>
        <tr r="I184" s="2"/>
      </tp>
      <tp t="s">
        <v>#N/A Invalid Field</v>
        <stp/>
        <stp>##V3_BDHV12</stp>
        <stp>31371KNW7 Mtge</stp>
        <stp>MTG_GEN_CPR_3M</stp>
        <stp>20090331</stp>
        <stp>20090331</stp>
        <stp>[Copy of 02_cpr_main.xlsx]data!R172C5</stp>
        <stp>Dts=H</stp>
        <tr r="E172" s="2"/>
      </tp>
      <tp t="s">
        <v>#N/A Invalid Field</v>
        <stp/>
        <stp>##V3_BDHV12</stp>
        <stp>31374GLZ8 Mtge</stp>
        <stp>MTG_GEN_CPR_3M</stp>
        <stp>20090610</stp>
        <stp>20090610</stp>
        <stp>[Copy of 02_cpr_main.xlsx]data!R183C8</stp>
        <stp>Dts=H</stp>
        <tr r="H183" s="2"/>
      </tp>
      <tp t="s">
        <v>#N/A Invalid Field</v>
        <stp/>
        <stp>##V3_BDHV12</stp>
        <stp>31371K3A7 Mtge</stp>
        <stp>MTG_GEN_CPR_3M</stp>
        <stp>20090331</stp>
        <stp>20090331</stp>
        <stp>[Copy of 02_cpr_main.xlsx]data!R167C5</stp>
        <stp>Dts=H</stp>
        <tr r="E167" s="2"/>
      </tp>
      <tp t="s">
        <v>#N/A Invalid Field</v>
        <stp/>
        <stp>##V3_BDHV12</stp>
        <stp>31371K5T4 Mtge</stp>
        <stp>MTG_GEN_CPR_6M</stp>
        <stp>20090331</stp>
        <stp>20090331</stp>
        <stp>[Copy of 02_cpr_main.xlsx]data!R168C6</stp>
        <stp>Dts=H</stp>
        <tr r="F168" s="2"/>
      </tp>
      <tp t="s">
        <v>#N/A Invalid Field</v>
        <stp/>
        <stp>##V3_BDHV12</stp>
        <stp>31391N7M7 Mtge</stp>
        <stp>MTG_GEN_CPR_6M</stp>
        <stp>20090331</stp>
        <stp>20090331</stp>
        <stp>[Copy of 02_cpr_main.xlsx]data!R238C6</stp>
        <stp>Dts=H</stp>
        <tr r="F238" s="2"/>
      </tp>
      <tp t="s">
        <v>#N/A Invalid Field</v>
        <stp/>
        <stp>##V3_BDHV12</stp>
        <stp>36206JJ96 Mtge</stp>
        <stp>MTG_GEN_CPR_6M</stp>
        <stp>20090331</stp>
        <stp>20090331</stp>
        <stp>[Copy of 02_cpr_main.xlsx]data!R479C6</stp>
        <stp>Dts=H</stp>
        <tr r="F479" s="2"/>
      </tp>
      <tp t="s">
        <v>#N/A Invalid Field</v>
        <stp/>
        <stp>##V3_BDHV12</stp>
        <stp>31371MB97 Mtge</stp>
        <stp>MTG_GEN_CPR_3M</stp>
        <stp>20090331</stp>
        <stp>20090331</stp>
        <stp>[Copy of 02_cpr_main.xlsx]data!R177C5</stp>
        <stp>Dts=H</stp>
        <tr r="E177" s="2"/>
      </tp>
      <tp t="s">
        <v>#N/A Invalid Field</v>
        <stp/>
        <stp>##V3_BDHV12</stp>
        <stp>31296NA23 Mtge</stp>
        <stp>MTG_GEN_CPR_6M</stp>
        <stp>20090331</stp>
        <stp>20090331</stp>
        <stp>[Copy of 02_cpr_main.xlsx]data!R144C6</stp>
        <stp>Dts=H</stp>
        <tr r="F144" s="2"/>
      </tp>
      <tp t="s">
        <v>#N/A Invalid Field</v>
        <stp/>
        <stp>##V3_BDHV12</stp>
        <stp>36201JDG1 Mtge</stp>
        <stp>MTG_GEN_CPR_6M</stp>
        <stp>20090331</stp>
        <stp>20090331</stp>
        <stp>[Copy of 02_cpr_main.xlsx]data!R471C6</stp>
        <stp>Dts=H</stp>
        <tr r="F471" s="2"/>
      </tp>
      <tp t="s">
        <v>#N/A Invalid Field</v>
        <stp/>
        <stp>##V3_BDHV12</stp>
        <stp>36200KMY0 Mtge</stp>
        <stp>MTG_GEN_CPR_6M</stp>
        <stp>20090331</stp>
        <stp>20090331</stp>
        <stp>[Copy of 02_cpr_main.xlsx]data!R464C6</stp>
        <stp>Dts=H</stp>
        <tr r="F464" s="2"/>
      </tp>
      <tp t="s">
        <v>#N/A Invalid Field</v>
        <stp/>
        <stp>##V3_BDHV12</stp>
        <stp>31404J2J3 Mtge</stp>
        <stp>MTG_GEN_CPR_6M</stp>
        <stp>20090331</stp>
        <stp>20090331</stp>
        <stp>[Copy of 02_cpr_main.xlsx]data!R314C6</stp>
        <stp>Dts=H</stp>
        <tr r="F314" s="2"/>
      </tp>
      <tp t="s">
        <v>#N/A Invalid Field</v>
        <stp/>
        <stp>##V3_BDHV12</stp>
        <stp>31294J5G9 Mtge</stp>
        <stp>MTG_GEN_CPR_6M</stp>
        <stp>20090610</stp>
        <stp>20090610</stp>
        <stp>[Copy of 02_cpr_main.xlsx]data!R127C9</stp>
        <stp>Dts=H</stp>
        <tr r="I127" s="2"/>
      </tp>
      <tp t="s">
        <v>#N/A Invalid Field</v>
        <stp/>
        <stp>##V3_BDHV12</stp>
        <stp>31292J5A4 Mtge</stp>
        <stp>MTG_GEN_CPR_3M</stp>
        <stp>20090331</stp>
        <stp>20090331</stp>
        <stp>[Copy of 02_cpr_main.xlsx]data!R119C5</stp>
        <stp>Dts=H</stp>
        <tr r="E119" s="2"/>
      </tp>
      <tp t="s">
        <v>#N/A Invalid Field</v>
        <stp/>
        <stp>##V3_BDHV12</stp>
        <stp>31294KSM8 Mtge</stp>
        <stp>MTG_GEN_CPR_3M</stp>
        <stp>20090610</stp>
        <stp>20090610</stp>
        <stp>[Copy of 02_cpr_main.xlsx]data!R134C8</stp>
        <stp>Dts=H</stp>
        <tr r="H134" s="2"/>
      </tp>
      <tp t="s">
        <v>#N/A Invalid Field</v>
        <stp/>
        <stp>##V3_BDHV12</stp>
        <stp>31404JHV0 Mtge</stp>
        <stp>MTG_GEN_CPR_3M</stp>
        <stp>20090331</stp>
        <stp>20090331</stp>
        <stp>[Copy of 02_cpr_main.xlsx]data!R315C5</stp>
        <stp>Dts=H</stp>
        <tr r="E315" s="2"/>
      </tp>
      <tp t="s">
        <v>#N/A Invalid Field</v>
        <stp/>
        <stp>##V3_BDHV12</stp>
        <stp>31294KLK9 Mtge</stp>
        <stp>MTG_GEN_CPR_6M</stp>
        <stp>20090610</stp>
        <stp>20090610</stp>
        <stp>[Copy of 02_cpr_main.xlsx]data!R131C9</stp>
        <stp>Dts=H</stp>
        <tr r="I131" s="2"/>
      </tp>
      <tp t="s">
        <v>#N/A Invalid Field</v>
        <stp/>
        <stp>##V3_BDHV12</stp>
        <stp>31294JYS1 Mtge</stp>
        <stp>MTG_GEN_CPR_6M</stp>
        <stp>20090331</stp>
        <stp>20090331</stp>
        <stp>[Copy of 02_cpr_main.xlsx]data!R129C6</stp>
        <stp>Dts=H</stp>
        <tr r="F129" s="2"/>
      </tp>
      <tp t="s">
        <v>#N/A Invalid Field</v>
        <stp/>
        <stp>##V3_BDHV12</stp>
        <stp>31403ARS6 Mtge</stp>
        <stp>MTG_GEN_CPR_3M</stp>
        <stp>20090331</stp>
        <stp>20090331</stp>
        <stp>[Copy of 02_cpr_main.xlsx]data!R291C5</stp>
        <stp>Dts=H</stp>
        <tr r="E291" s="2"/>
      </tp>
      <tp t="s">
        <v>#N/A Invalid Field</v>
        <stp/>
        <stp>##V3_BDHV12</stp>
        <stp>31411AYF6 Mtge</stp>
        <stp>MTG_GEN_CPR_6M</stp>
        <stp>20090331</stp>
        <stp>20090331</stp>
        <stp>[Copy of 02_cpr_main.xlsx]data!R390C6</stp>
        <stp>Dts=H</stp>
        <tr r="F390" s="2"/>
      </tp>
      <tp t="s">
        <v>#N/A Invalid Field</v>
        <stp/>
        <stp>##V3_BDHV12</stp>
        <stp>31294KZL2 Mtge</stp>
        <stp>MTG_GEN_CPR_3M</stp>
        <stp>20090331</stp>
        <stp>20090331</stp>
        <stp>[Copy of 02_cpr_main.xlsx]data!R135C5</stp>
        <stp>Dts=H</stp>
        <tr r="E135" s="2"/>
      </tp>
      <tp t="s">
        <v>#N/A Invalid Field</v>
        <stp/>
        <stp>##V3_BDHV12</stp>
        <stp>31407LE60 Mtge</stp>
        <stp>MTG_GEN_CPR_6M</stp>
        <stp>20090331</stp>
        <stp>20090331</stp>
        <stp>[Copy of 02_cpr_main.xlsx]data!R344C6</stp>
        <stp>Dts=H</stp>
        <tr r="F344" s="2"/>
      </tp>
      <tp t="s">
        <v>#N/A Invalid Field</v>
        <stp/>
        <stp>##V3_BDHV12</stp>
        <stp>31294KM51 Mtge</stp>
        <stp>MTG_GEN_CPR_6M</stp>
        <stp>20090331</stp>
        <stp>20090331</stp>
        <stp>[Copy of 02_cpr_main.xlsx]data!R132C6</stp>
        <stp>Dts=H</stp>
        <tr r="F132" s="2"/>
      </tp>
      <tp t="s">
        <v>#N/A Invalid Field</v>
        <stp/>
        <stp>##V3_BDHV12</stp>
        <stp>31402NY77 Mtge</stp>
        <stp>MTG_GEN_CPR_3M</stp>
        <stp>20090331</stp>
        <stp>20090331</stp>
        <stp>[Copy of 02_cpr_main.xlsx]data!R272C5</stp>
        <stp>Dts=H</stp>
        <tr r="E272" s="2"/>
      </tp>
      <tp t="s">
        <v>#N/A Invalid Field</v>
        <stp/>
        <stp>##V3_BDHV12</stp>
        <stp>31413KL33 Mtge</stp>
        <stp>MTG_GEN_CPR_6M</stp>
        <stp>20090331</stp>
        <stp>20090331</stp>
        <stp>[Copy of 02_cpr_main.xlsx]data!R426C6</stp>
        <stp>Dts=H</stp>
        <tr r="F426" s="2"/>
      </tp>
      <tp t="s">
        <v>#N/A Invalid Field</v>
        <stp/>
        <stp>##V3_BDHV12</stp>
        <stp>36291NM40 Mtge</stp>
        <stp>MTG_GEN_CPR_6M</stp>
        <stp>20090331</stp>
        <stp>20090331</stp>
        <stp>[Copy of 02_cpr_main.xlsx]data!R503C6</stp>
        <stp>Dts=H</stp>
        <tr r="F503" s="2"/>
      </tp>
      <tp t="s">
        <v>#N/A Invalid Field</v>
        <stp/>
        <stp>##V3_BDHV12</stp>
        <stp>31292GY34 Mtge</stp>
        <stp>MTG_GEN_CPR_3M</stp>
        <stp>20090331</stp>
        <stp>20090331</stp>
        <stp>[Copy of 02_cpr_main.xlsx]data!R116C5</stp>
        <stp>Dts=H</stp>
        <tr r="E116" s="2"/>
      </tp>
      <tp t="s">
        <v>#N/A Invalid Field</v>
        <stp/>
        <stp>##V3_BDHV12</stp>
        <stp>31415BBF5 Mtge</stp>
        <stp>MTG_GEN_CPR_6M</stp>
        <stp>20090331</stp>
        <stp>20090331</stp>
        <stp>[Copy of 02_cpr_main.xlsx]data!R447C6</stp>
        <stp>Dts=H</stp>
        <tr r="F447" s="2"/>
      </tp>
      <tp t="s">
        <v>#N/A Invalid Field</v>
        <stp/>
        <stp>##V3_BDHV12</stp>
        <stp>36241KNL8 Mtge</stp>
        <stp>MTG_GEN_CPR_3M</stp>
        <stp>20090610</stp>
        <stp>20090610</stp>
        <stp>[Copy of 02_cpr_main.xlsx]data!R496C8</stp>
        <stp>Dts=H</stp>
        <tr r="H496" s="2"/>
      </tp>
      <tp t="s">
        <v>#N/A Invalid Field</v>
        <stp/>
        <stp>##V3_BDHV12</stp>
        <stp>31412G4H1 Mtge</stp>
        <stp>MTG_GEN_CPR_3M</stp>
        <stp>20090331</stp>
        <stp>20090331</stp>
        <stp>[Copy of 02_cpr_main.xlsx]data!R406C5</stp>
        <stp>Dts=H</stp>
        <tr r="E406" s="2"/>
      </tp>
      <tp t="s">
        <v>#N/A Invalid Field</v>
        <stp/>
        <stp>##V3_BDHV12</stp>
        <stp>36200EDN8 Mtge</stp>
        <stp>MTG_GEN_CPR_6M</stp>
        <stp>20090610</stp>
        <stp>20090610</stp>
        <stp>[Copy of 02_cpr_main.xlsx]data!R463C9</stp>
        <stp>Dts=H</stp>
        <tr r="I463" s="2"/>
      </tp>
      <tp t="s">
        <v>#N/A Invalid Field</v>
        <stp/>
        <stp>##V3_BDHV12</stp>
        <stp>31297CKH2 Mtge</stp>
        <stp>MTG_GEN_CPR_6M</stp>
        <stp>20090331</stp>
        <stp>20090331</stp>
        <stp>[Copy of 02_cpr_main.xlsx]data!R147C6</stp>
        <stp>Dts=H</stp>
        <tr r="F147" s="2"/>
      </tp>
      <tp t="s">
        <v>#N/A Invalid Field</v>
        <stp/>
        <stp>##V3_BDHV12</stp>
        <stp>31401A3J4 Mtge</stp>
        <stp>MTG_GEN_CPR_3M</stp>
        <stp>20090331</stp>
        <stp>20090331</stp>
        <stp>[Copy of 02_cpr_main.xlsx]data!R252C5</stp>
        <stp>Dts=H</stp>
        <tr r="E252" s="2"/>
      </tp>
      <tp t="s">
        <v>#N/A Invalid Field</v>
        <stp/>
        <stp>##V3_BDHV12</stp>
        <stp>31416BVN5 Mtge</stp>
        <stp>MTG_GEN_CPR_3M</stp>
        <stp>20090331</stp>
        <stp>20090331</stp>
        <stp>[Copy of 02_cpr_main.xlsx]data!R460C5</stp>
        <stp>Dts=H</stp>
        <tr r="E460" s="2"/>
      </tp>
      <tp t="s">
        <v>#N/A Invalid Field</v>
        <stp/>
        <stp>##V3_BDHV12</stp>
        <stp>31406GDY2 Mtge</stp>
        <stp>MTG_GEN_CPR_3M</stp>
        <stp>20090331</stp>
        <stp>20090331</stp>
        <stp>[Copy of 02_cpr_main.xlsx]data!R336C5</stp>
        <stp>Dts=H</stp>
        <tr r="E336" s="2"/>
      </tp>
      <tp t="s">
        <v>#N/A Invalid Field</v>
        <stp/>
        <stp>##V3_BDHV12</stp>
        <stp>31406DJV9 Mtge</stp>
        <stp>MTG_GEN_CPR_6M</stp>
        <stp>20090610</stp>
        <stp>20090610</stp>
        <stp>[Copy of 02_cpr_main.xlsx]data!R334C9</stp>
        <stp>Dts=H</stp>
        <tr r="I334" s="2"/>
      </tp>
      <tp t="s">
        <v>#N/A Invalid Field</v>
        <stp/>
        <stp>##V3_BDHV12</stp>
        <stp>31412ETK2 Mtge</stp>
        <stp>MTG_GEN_CPR_6M</stp>
        <stp>20090331</stp>
        <stp>20090331</stp>
        <stp>[Copy of 02_cpr_main.xlsx]data!R405C6</stp>
        <stp>Dts=H</stp>
        <tr r="F405" s="2"/>
      </tp>
      <tp t="s">
        <v>#N/A Invalid Field</v>
        <stp/>
        <stp>##V3_BDHV12</stp>
        <stp>36291AM48 Mtge</stp>
        <stp>MTG_GEN_CPR_6M</stp>
        <stp>20090610</stp>
        <stp>20090610</stp>
        <stp>[Copy of 02_cpr_main.xlsx]data!R500C9</stp>
        <stp>Dts=H</stp>
        <tr r="I500" s="2"/>
      </tp>
      <tp t="s">
        <v>#N/A Invalid Field</v>
        <stp/>
        <stp>##V3_BDHV12</stp>
        <stp>31409D2C6 Mtge</stp>
        <stp>MTG_GEN_CPR_6M</stp>
        <stp>20090610</stp>
        <stp>20090610</stp>
        <stp>[Copy of 02_cpr_main.xlsx]data!R352C9</stp>
        <stp>Dts=H</stp>
        <tr r="I352" s="2"/>
      </tp>
      <tp t="s">
        <v>#N/A Invalid Field</v>
        <stp/>
        <stp>##V3_BDHV12</stp>
        <stp>31385CEC3 Mtge</stp>
        <stp>MTG_GEN_CPR_6M</stp>
        <stp>20090331</stp>
        <stp>20090331</stp>
        <stp>[Copy of 02_cpr_main.xlsx]data!R212C6</stp>
        <stp>Dts=H</stp>
        <tr r="F212" s="2"/>
      </tp>
      <tp t="s">
        <v>#N/A Invalid Field</v>
        <stp/>
        <stp>##V3_BDHV12</stp>
        <stp>31385CHF3 Mtge</stp>
        <stp>MTG_GEN_CPR_6M</stp>
        <stp>20090331</stp>
        <stp>20090331</stp>
        <stp>[Copy of 02_cpr_main.xlsx]data!R213C6</stp>
        <stp>Dts=H</stp>
        <tr r="F213" s="2"/>
      </tp>
      <tp t="s">
        <v>#N/A Invalid Field</v>
        <stp/>
        <stp>##V3_BDHV12</stp>
        <stp>31410F2Z7 Mtge</stp>
        <stp>MTG_GEN_CPR_6M</stp>
        <stp>20090331</stp>
        <stp>20090331</stp>
        <stp>[Copy of 02_cpr_main.xlsx]data!R362C6</stp>
        <stp>Dts=H</stp>
        <tr r="F362" s="2"/>
      </tp>
      <tp t="s">
        <v>#N/A Invalid Field</v>
        <stp/>
        <stp>##V3_BDHV12</stp>
        <stp>31410GRM7 Mtge</stp>
        <stp>MTG_GEN_CPR_6M</stp>
        <stp>20090331</stp>
        <stp>20090331</stp>
        <stp>[Copy of 02_cpr_main.xlsx]data!R371C6</stp>
        <stp>Dts=H</stp>
        <tr r="F371" s="2"/>
      </tp>
      <tp t="s">
        <v>#N/A Invalid Field</v>
        <stp/>
        <stp>##V3_BDHV12</stp>
        <stp>31414CZ84 Mtge</stp>
        <stp>MTG_GEN_CPR_6M</stp>
        <stp>20090331</stp>
        <stp>20090331</stp>
        <stp>[Copy of 02_cpr_main.xlsx]data!R436C6</stp>
        <stp>Dts=H</stp>
        <tr r="F436" s="2"/>
      </tp>
      <tp t="s">
        <v>#N/A Invalid Field</v>
        <stp/>
        <stp>##V3_BDHV12</stp>
        <stp>31402FFF7 Mtge</stp>
        <stp>MTG_GEN_CPR_3M</stp>
        <stp>20090331</stp>
        <stp>20090331</stp>
        <stp>[Copy of 02_cpr_main.xlsx]data!R271C5</stp>
        <stp>Dts=H</stp>
        <tr r="E271" s="2"/>
      </tp>
      <tp t="s">
        <v>#N/A Invalid Field</v>
        <stp/>
        <stp>##V3_BDHV12</stp>
        <stp>31410GH97 Mtge</stp>
        <stp>MTG_GEN_CPR_6M</stp>
        <stp>20090331</stp>
        <stp>20090331</stp>
        <stp>[Copy of 02_cpr_main.xlsx]data!R367C6</stp>
        <stp>Dts=H</stp>
        <tr r="F367" s="2"/>
      </tp>
      <tp t="s">
        <v>#N/A Invalid Field</v>
        <stp/>
        <stp>##V3_BDHV12</stp>
        <stp>01F052656 Mtge</stp>
        <stp>MTG_GEN_CPR_12M</stp>
        <stp>20090331</stp>
        <stp>20090331</stp>
        <stp>[Copy of 02_cpr_main.xlsx]data!R9C7</stp>
        <stp>Dts=H</stp>
        <tr r="G9" s="2"/>
      </tp>
      <tp t="s">
        <v>#N/A Invalid Field</v>
        <stp/>
        <stp>##V3_BDHV12</stp>
        <stp>01F050650 Mtge</stp>
        <stp>MTG_GEN_CPR_12M</stp>
        <stp>20090331</stp>
        <stp>20090331</stp>
        <stp>[Copy of 02_cpr_main.xlsx]data!R7C7</stp>
        <stp>Dts=H</stp>
        <tr r="G7" s="2"/>
      </tp>
      <tp t="s">
        <v>#N/A Invalid Field</v>
        <stp/>
        <stp>##V3_BDHV12</stp>
        <stp>01F050452 Mtge</stp>
        <stp>MTG_GEN_CPR_12M</stp>
        <stp>20090331</stp>
        <stp>20090331</stp>
        <stp>[Copy of 02_cpr_main.xlsx]data!R5C7</stp>
        <stp>Dts=H</stp>
        <tr r="G5" s="2"/>
      </tp>
    </main>
    <main first="bloomberg.rtd">
      <tp t="s">
        <v>#N/A Invalid Field</v>
        <stp/>
        <stp>##V3_BDHV12</stp>
        <stp>31401XSY4 Mtge</stp>
        <stp>MTG_GEN_CPR_6M</stp>
        <stp>20090331</stp>
        <stp>20090331</stp>
        <stp>[Copy of 02_cpr_main.xlsx]data!R260C6</stp>
        <stp>Dts=H</stp>
        <tr r="F260" s="2"/>
      </tp>
      <tp t="s">
        <v>#N/A Invalid Field</v>
        <stp/>
        <stp>##V3_BDHV12</stp>
        <stp>31410WX37 Mtge</stp>
        <stp>MTG_GEN_CPR_3M</stp>
        <stp>20090331</stp>
        <stp>20090331</stp>
        <stp>[Copy of 02_cpr_main.xlsx]data!R387C5</stp>
        <stp>Dts=H</stp>
        <tr r="E387" s="2"/>
      </tp>
      <tp t="s">
        <v>#N/A Invalid Field</v>
        <stp/>
        <stp>##V3_BDHV12</stp>
        <stp>31407X2Q3 Mtge</stp>
        <stp>MTG_GEN_CPR_6M</stp>
        <stp>20090331</stp>
        <stp>20090331</stp>
        <stp>[Copy of 02_cpr_main.xlsx]data!R348C6</stp>
        <stp>Dts=H</stp>
        <tr r="F348" s="2"/>
      </tp>
      <tp>
        <v>115</v>
        <stp/>
        <stp>##V3_BDPV12</stp>
        <stp>31407RVA9 Mtge</stp>
        <stp>MTG_PREPAY_SPEED</stp>
        <stp>[Copy of 02_cpr_main.xlsx]data!R346C12</stp>
        <tr r="L346" s="2"/>
      </tp>
      <tp t="s">
        <v>#N/A Invalid Field</v>
        <stp/>
        <stp>##V3_BDHV12</stp>
        <stp>31415XSZ5 Mtge</stp>
        <stp>MTG_GEN_CPR_3M</stp>
        <stp>20090331</stp>
        <stp>20090331</stp>
        <stp>[Copy of 02_cpr_main.xlsx]data!R459C5</stp>
        <stp>Dts=H</stp>
        <tr r="E459" s="2"/>
      </tp>
      <tp t="s">
        <v>#N/A Invalid Field</v>
        <stp/>
        <stp>##V3_BDHV12</stp>
        <stp>31402RR84 Mtge</stp>
        <stp>MTG_GEN_CPR_3M</stp>
        <stp>20090331</stp>
        <stp>20090331</stp>
        <stp>[Copy of 02_cpr_main.xlsx]data!R287C5</stp>
        <stp>Dts=H</stp>
        <tr r="E287" s="2"/>
      </tp>
      <tp t="s">
        <v>#N/A Invalid Field</v>
        <stp/>
        <stp>##V3_BDHV12</stp>
        <stp>31402RGU7 Mtge</stp>
        <stp>MTG_GEN_CPR_6M</stp>
        <stp>20090331</stp>
        <stp>20090331</stp>
        <stp>[Copy of 02_cpr_main.xlsx]data!R283C6</stp>
        <stp>Dts=H</stp>
        <tr r="F283" s="2"/>
      </tp>
      <tp t="s">
        <v>#N/A Invalid Field</v>
        <stp/>
        <stp>##V3_BDHV12</stp>
        <stp>31402RJL4 Mtge</stp>
        <stp>MTG_GEN_CPR_3M</stp>
        <stp>20090331</stp>
        <stp>20090331</stp>
        <stp>[Copy of 02_cpr_main.xlsx]data!R285C5</stp>
        <stp>Dts=H</stp>
        <tr r="E285" s="2"/>
      </tp>
      <tp t="s">
        <v>#N/A Invalid Field</v>
        <stp/>
        <stp>##V3_BDHV12</stp>
        <stp>31404XJG0 Mtge</stp>
        <stp>MTG_GEN_CPR_6M</stp>
        <stp>20090331</stp>
        <stp>20090331</stp>
        <stp>[Copy of 02_cpr_main.xlsx]data!R321C6</stp>
        <stp>Dts=H</stp>
        <tr r="F321" s="2"/>
      </tp>
      <tp t="s">
        <v>#N/A Invalid Field</v>
        <stp/>
        <stp>##V3_BDHV12</stp>
        <stp>31379QA67 Mtge</stp>
        <stp>MTG_GEN_CPR_6M</stp>
        <stp>20090610</stp>
        <stp>20090610</stp>
        <stp>[Copy of 02_cpr_main.xlsx]data!R190C9</stp>
        <stp>Dts=H</stp>
        <tr r="I190" s="2"/>
      </tp>
      <tp t="s">
        <v>#N/A Invalid Field</v>
        <stp/>
        <stp>##V3_BDHV12</stp>
        <stp>36209WQL9 Mtge</stp>
        <stp>MTG_GEN_CPR_3M</stp>
        <stp>20090331</stp>
        <stp>20090331</stp>
        <stp>[Copy of 02_cpr_main.xlsx]data!R482C5</stp>
        <stp>Dts=H</stp>
        <tr r="E482" s="2"/>
      </tp>
      <tp t="s">
        <v>#N/A Invalid Field</v>
        <stp/>
        <stp>##V3_BDHV12</stp>
        <stp>31405YX48 Mtge</stp>
        <stp>MTG_GEN_CPR_3M</stp>
        <stp>20090610</stp>
        <stp>20090610</stp>
        <stp>[Copy of 02_cpr_main.xlsx]data!R331C8</stp>
        <stp>Dts=H</stp>
        <tr r="H331" s="2"/>
      </tp>
      <tp t="s">
        <v>#N/A Invalid Field</v>
        <stp/>
        <stp>##V3_BDHV12</stp>
        <stp>31385XDL8 Mtge</stp>
        <stp>MTG_GEN_CPR_6M</stp>
        <stp>20090610</stp>
        <stp>20090610</stp>
        <stp>[Copy of 02_cpr_main.xlsx]data!R220C9</stp>
        <stp>Dts=H</stp>
        <tr r="I220" s="2"/>
      </tp>
      <tp t="s">
        <v>#N/A Invalid Field</v>
        <stp/>
        <stp>##V3_BDHV12</stp>
        <stp>31385XFF9 Mtge</stp>
        <stp>MTG_GEN_CPR_3M</stp>
        <stp>20090610</stp>
        <stp>20090610</stp>
        <stp>[Copy of 02_cpr_main.xlsx]data!R222C8</stp>
        <stp>Dts=H</stp>
        <tr r="H222" s="2"/>
      </tp>
      <tp t="s">
        <v>#N/A Invalid Field</v>
        <stp/>
        <stp>##V3_BDHV12</stp>
        <stp>31385XNG8 Mtge</stp>
        <stp>MTG_GEN_CPR_6M</stp>
        <stp>20090610</stp>
        <stp>20090610</stp>
        <stp>[Copy of 02_cpr_main.xlsx]data!R226C9</stp>
        <stp>Dts=H</stp>
        <tr r="I226" s="2"/>
      </tp>
      <tp t="s">
        <v>#N/A Invalid Field</v>
        <stp/>
        <stp>##V3_BDHV12</stp>
        <stp>31385WZX0 Mtge</stp>
        <stp>MTG_GEN_CPR_6M</stp>
        <stp>20090331</stp>
        <stp>20090331</stp>
        <stp>[Copy of 02_cpr_main.xlsx]data!R219C6</stp>
        <stp>Dts=H</stp>
        <tr r="F219" s="2"/>
      </tp>
      <tp t="s">
        <v>#N/A Invalid Field</v>
        <stp/>
        <stp>##V3_BDHV12</stp>
        <stp>31404WTM8 Mtge</stp>
        <stp>MTG_GEN_CPR_6M</stp>
        <stp>20090610</stp>
        <stp>20090610</stp>
        <stp>[Copy of 02_cpr_main.xlsx]data!R320C9</stp>
        <stp>Dts=H</stp>
        <tr r="I320" s="2"/>
      </tp>
      <tp t="s">
        <v>#N/A Invalid Field</v>
        <stp/>
        <stp>##V3_BDHV12</stp>
        <stp>31400RNS6 Mtge</stp>
        <stp>MTG_GEN_CPR_3M</stp>
        <stp>20090331</stp>
        <stp>20090331</stp>
        <stp>[Copy of 02_cpr_main.xlsx]data!R249C5</stp>
        <stp>Dts=H</stp>
        <tr r="E249" s="2"/>
      </tp>
      <tp t="s">
        <v>#N/A N/A</v>
        <stp/>
        <stp>##V3_BDPV12</stp>
        <stp>31401JUA4 Mtge</stp>
        <stp>MTG_PREPAY_SPEED</stp>
        <stp>[Copy of 02_cpr_main.xlsx]data!R255C12</stp>
        <tr r="L255" s="2"/>
      </tp>
      <tp t="s">
        <v>#N/A Invalid Field</v>
        <stp/>
        <stp>##V3_BDHV12</stp>
        <stp>36291PSB3 Mtge</stp>
        <stp>MTG_GEN_CPR_6M</stp>
        <stp>20090331</stp>
        <stp>20090331</stp>
        <stp>[Copy of 02_cpr_main.xlsx]data!R504C6</stp>
        <stp>Dts=H</stp>
        <tr r="F504" s="2"/>
      </tp>
      <tp t="s">
        <v>#N/A Invalid Field</v>
        <stp/>
        <stp>##V3_BDHV12</stp>
        <stp>31296SLS3 Mtge</stp>
        <stp>MTG_GEN_CPR_3M</stp>
        <stp>20090331</stp>
        <stp>20090331</stp>
        <stp>[Copy of 02_cpr_main.xlsx]data!R146C5</stp>
        <stp>Dts=H</stp>
        <tr r="E146" s="2"/>
      </tp>
      <tp t="s">
        <v>#N/A Invalid Field</v>
        <stp/>
        <stp>##V3_BDHV12</stp>
        <stp>31384VRC8 Mtge</stp>
        <stp>MTG_GEN_CPR_3M</stp>
        <stp>20090610</stp>
        <stp>20090610</stp>
        <stp>[Copy of 02_cpr_main.xlsx]data!R211C8</stp>
        <stp>Dts=H</stp>
        <tr r="H211" s="2"/>
      </tp>
      <tp t="s">
        <v>#N/A Invalid Field</v>
        <stp/>
        <stp>##V3_BDHV12</stp>
        <stp>31382TTG4 Mtge</stp>
        <stp>MTG_GEN_CPR_3M</stp>
        <stp>20090331</stp>
        <stp>20090331</stp>
        <stp>[Copy of 02_cpr_main.xlsx]data!R203C5</stp>
        <stp>Dts=H</stp>
        <tr r="E203" s="2"/>
      </tp>
      <tp t="s">
        <v>#N/A Invalid Field</v>
        <stp/>
        <stp>##V3_BDHV12</stp>
        <stp>3128H4XA2 Mtge</stp>
        <stp>MTG_GEN_CPR_12M</stp>
        <stp>20090331</stp>
        <stp>20090331</stp>
        <stp>[Copy of 02_cpr_main.xlsx]data!R66C7</stp>
        <stp>Dts=H</stp>
        <tr r="G66" s="2"/>
      </tp>
      <tp t="s">
        <v>#N/A Invalid Field</v>
        <stp/>
        <stp>##V3_BDHV12</stp>
        <stp>31405UVD8 Mtge</stp>
        <stp>MTG_GEN_CPR_3M</stp>
        <stp>20090610</stp>
        <stp>20090610</stp>
        <stp>[Copy of 02_cpr_main.xlsx]data!R328C8</stp>
        <stp>Dts=H</stp>
        <tr r="H328" s="2"/>
      </tp>
      <tp t="s">
        <v>#N/A Invalid Field</v>
        <stp/>
        <stp>##V3_BDHV12</stp>
        <stp>31415QGG5 Mtge</stp>
        <stp>MTG_GEN_CPR_3M</stp>
        <stp>20090331</stp>
        <stp>20090331</stp>
        <stp>[Copy of 02_cpr_main.xlsx]data!R451C5</stp>
        <stp>Dts=H</stp>
        <tr r="E451" s="2"/>
      </tp>
      <tp t="s">
        <v>#N/A Invalid Field</v>
        <stp/>
        <stp>##V3_BDHV12</stp>
        <stp>31404UE63 Mtge</stp>
        <stp>MTG_GEN_CPR_3M</stp>
        <stp>20090331</stp>
        <stp>20090331</stp>
        <stp>[Copy of 02_cpr_main.xlsx]data!R319C5</stp>
        <stp>Dts=H</stp>
        <tr r="E319" s="2"/>
      </tp>
      <tp t="s">
        <v>#N/A Invalid Field</v>
        <stp/>
        <stp>##V3_BDHV12</stp>
        <stp>36202WH69 Mtge</stp>
        <stp>MTG_GEN_CPR_6M</stp>
        <stp>20090610</stp>
        <stp>20090610</stp>
        <stp>[Copy of 02_cpr_main.xlsx]data!R477C9</stp>
        <stp>Dts=H</stp>
        <tr r="I477" s="2"/>
      </tp>
      <tp>
        <v>161</v>
        <stp/>
        <stp>##V3_BDPV12</stp>
        <stp>31402QWA5 Mtge</stp>
        <stp>MTG_PREPAY_SPEED</stp>
        <stp>[Copy of 02_cpr_main.xlsx]data!R277C12</stp>
        <tr r="L277" s="2"/>
      </tp>
      <tp t="s">
        <v>#N/A N/A</v>
        <stp/>
        <stp>##V3_BDPV12</stp>
        <stp>31371KDF5 Mtge</stp>
        <stp>MTG_PREPAY_SPEED</stp>
        <stp>[Copy of 02_cpr_main.xlsx]data!R170C12</stp>
        <tr r="L170" s="2"/>
      </tp>
      <tp>
        <v>171</v>
        <stp/>
        <stp>##V3_BDPV12</stp>
        <stp>31407LEA1 Mtge</stp>
        <stp>MTG_PREPAY_SPEED</stp>
        <stp>[Copy of 02_cpr_main.xlsx]data!R345C12</stp>
        <tr r="L345" s="2"/>
      </tp>
      <tp t="s">
        <v>#N/A Invalid Field</v>
        <stp/>
        <stp>##V3_BDHV12</stp>
        <stp>31385W7B9 Mtge</stp>
        <stp>MTG_GEN_CPR_3M</stp>
        <stp>20090610</stp>
        <stp>20090610</stp>
        <stp>[Copy of 02_cpr_main.xlsx]data!R217C8</stp>
        <stp>Dts=H</stp>
        <tr r="H217" s="2"/>
      </tp>
      <tp t="s">
        <v>#N/A Invalid Field</v>
        <stp/>
        <stp>##V3_BDHV12</stp>
        <stp>31400QVB6 Mtge</stp>
        <stp>MTG_GEN_CPR_3M</stp>
        <stp>20090331</stp>
        <stp>20090331</stp>
        <stp>[Copy of 02_cpr_main.xlsx]data!R248C5</stp>
        <stp>Dts=H</stp>
        <tr r="E248" s="2"/>
      </tp>
      <tp t="s">
        <v>#N/A Invalid Field</v>
        <stp/>
        <stp>##V3_BDHV12</stp>
        <stp>31414QAE7 Mtge</stp>
        <stp>MTG_GEN_CPR_6M</stp>
        <stp>20090331</stp>
        <stp>20090331</stp>
        <stp>[Copy of 02_cpr_main.xlsx]data!R443C6</stp>
        <stp>Dts=H</stp>
        <tr r="F443" s="2"/>
      </tp>
      <tp>
        <v>213</v>
        <stp/>
        <stp>##V3_BDPV12</stp>
        <stp>31297CKH2 Mtge</stp>
        <stp>MTG_PREPAY_SPEED</stp>
        <stp>[Copy of 02_cpr_main.xlsx]data!R147C12</stp>
        <tr r="L147" s="2"/>
      </tp>
      <tp t="s">
        <v>#N/A Invalid Field</v>
        <stp/>
        <stp>##V3_BDHV12</stp>
        <stp>31403R2E7 Mtge</stp>
        <stp>MTG_GEN_CPR_6M</stp>
        <stp>20090331</stp>
        <stp>20090331</stp>
        <stp>[Copy of 02_cpr_main.xlsx]data!R309C6</stp>
        <stp>Dts=H</stp>
        <tr r="F309" s="2"/>
      </tp>
      <tp t="s">
        <v>#N/A Invalid Field</v>
        <stp/>
        <stp>##V3_BDHV12</stp>
        <stp>31409TRU4 Mtge</stp>
        <stp>MTG_GEN_CPR_3M</stp>
        <stp>20090610</stp>
        <stp>20090610</stp>
        <stp>[Copy of 02_cpr_main.xlsx]data!R354C8</stp>
        <stp>Dts=H</stp>
        <tr r="H354" s="2"/>
      </tp>
      <tp t="s">
        <v>#N/A Invalid Field</v>
        <stp/>
        <stp>##V3_BDHV12</stp>
        <stp>31413QS90 Mtge</stp>
        <stp>MTG_GEN_CPR_6M</stp>
        <stp>20090331</stp>
        <stp>20090331</stp>
        <stp>[Copy of 02_cpr_main.xlsx]data!R431C6</stp>
        <stp>Dts=H</stp>
        <tr r="F431" s="2"/>
      </tp>
      <tp t="s">
        <v>#N/A Invalid Field</v>
        <stp/>
        <stp>##V3_BDHV12</stp>
        <stp>31412PEV9 Mtge</stp>
        <stp>MTG_GEN_CPR_6M</stp>
        <stp>20090610</stp>
        <stp>20090610</stp>
        <stp>[Copy of 02_cpr_main.xlsx]data!R412C9</stp>
        <stp>Dts=H</stp>
        <tr r="I412" s="2"/>
      </tp>
      <tp t="s">
        <v>#N/A Invalid Field</v>
        <stp/>
        <stp>##V3_BDHV12</stp>
        <stp>36204RN87 Mtge</stp>
        <stp>MTG_GEN_CPR_6M</stp>
        <stp>20090331</stp>
        <stp>20090331</stp>
        <stp>[Copy of 02_cpr_main.xlsx]data!R478C6</stp>
        <stp>Dts=H</stp>
        <tr r="F478" s="2"/>
      </tp>
      <tp t="s">
        <v>#N/A Invalid Field</v>
        <stp/>
        <stp>##V3_BDHV12</stp>
        <stp>31406QGE1 Mtge</stp>
        <stp>MTG_GEN_CPR_3M</stp>
        <stp>20090331</stp>
        <stp>20090331</stp>
        <stp>[Copy of 02_cpr_main.xlsx]data!R338C5</stp>
        <stp>Dts=H</stp>
        <tr r="E338" s="2"/>
      </tp>
      <tp t="s">
        <v>#N/A Invalid Field</v>
        <stp/>
        <stp>##V3_BDHV12</stp>
        <stp>31297VFX1 Mtge</stp>
        <stp>MTG_GEN_CPR_6M</stp>
        <stp>20090331</stp>
        <stp>20090331</stp>
        <stp>[Copy of 02_cpr_main.xlsx]data!R149C6</stp>
        <stp>Dts=H</stp>
        <tr r="F149" s="2"/>
      </tp>
      <tp t="s">
        <v>#N/A N/A</v>
        <stp/>
        <stp>##V3_BDPV12</stp>
        <stp>31391YTH0 Mtge</stp>
        <stp>MTG_PREPAY_SPEED</stp>
        <stp>[Copy of 02_cpr_main.xlsx]data!R243C12</stp>
        <tr r="L243" s="2"/>
      </tp>
      <tp t="s">
        <v>#N/A Invalid Field</v>
        <stp/>
        <stp>##V3_BDHV12</stp>
        <stp>31390P7C5 Mtge</stp>
        <stp>MTG_GEN_CPR_6M</stp>
        <stp>20090331</stp>
        <stp>20090331</stp>
        <stp>[Copy of 02_cpr_main.xlsx]data!R233C6</stp>
        <stp>Dts=H</stp>
        <tr r="F233" s="2"/>
      </tp>
      <tp t="s">
        <v>#N/A Invalid Field</v>
        <stp/>
        <stp>##V3_BDHV12</stp>
        <stp>31297VKP2 Mtge</stp>
        <stp>MTG_GEN_CPR_3M</stp>
        <stp>20090331</stp>
        <stp>20090331</stp>
        <stp>[Copy of 02_cpr_main.xlsx]data!R150C5</stp>
        <stp>Dts=H</stp>
        <tr r="E150" s="2"/>
      </tp>
      <tp t="s">
        <v>#N/A Invalid Field</v>
        <stp/>
        <stp>##V3_BDHV12</stp>
        <stp>31297VQA9 Mtge</stp>
        <stp>MTG_GEN_CPR_6M</stp>
        <stp>20090610</stp>
        <stp>20090610</stp>
        <stp>[Copy of 02_cpr_main.xlsx]data!R151C9</stp>
        <stp>Dts=H</stp>
        <tr r="I151" s="2"/>
      </tp>
      <tp t="s">
        <v>#N/A Invalid Field</v>
        <stp/>
        <stp>##V3_BDHV12</stp>
        <stp>31410XF84 Mtge</stp>
        <stp>MTG_GEN_CPR_6M</stp>
        <stp>20090331</stp>
        <stp>20090331</stp>
        <stp>[Copy of 02_cpr_main.xlsx]data!R388C6</stp>
        <stp>Dts=H</stp>
        <tr r="F388" s="2"/>
      </tp>
      <tp t="s">
        <v>#N/A Invalid Field</v>
        <stp/>
        <stp>##V3_BDHV12</stp>
        <stp>31390SJ85 Mtge</stp>
        <stp>MTG_GEN_CPR_6M</stp>
        <stp>20090331</stp>
        <stp>20090331</stp>
        <stp>[Copy of 02_cpr_main.xlsx]data!R235C6</stp>
        <stp>Dts=H</stp>
        <tr r="F235" s="2"/>
      </tp>
      <tp t="s">
        <v>#N/A Invalid Field</v>
        <stp/>
        <stp>##V3_BDHV12</stp>
        <stp>31371HQY7 Mtge</stp>
        <stp>MTG_GEN_CPR_6M</stp>
        <stp>20090331</stp>
        <stp>20090331</stp>
        <stp>[Copy of 02_cpr_main.xlsx]data!R166C6</stp>
        <stp>Dts=H</stp>
        <tr r="F166" s="2"/>
      </tp>
      <tp t="s">
        <v>#N/A Invalid Field</v>
        <stp/>
        <stp>##V3_BDHV12</stp>
        <stp>31408HXP5 Mtge</stp>
        <stp>MTG_GEN_CPR_3M</stp>
        <stp>20090610</stp>
        <stp>20090610</stp>
        <stp>[Copy of 02_cpr_main.xlsx]data!R351C8</stp>
        <stp>Dts=H</stp>
        <tr r="H351" s="2"/>
      </tp>
      <tp t="s">
        <v>#N/A Invalid Field</v>
        <stp/>
        <stp>##V3_BDHV12</stp>
        <stp>31400JA25 Mtge</stp>
        <stp>MTG_GEN_CPR_6M</stp>
        <stp>20090331</stp>
        <stp>20090331</stp>
        <stp>[Copy of 02_cpr_main.xlsx]data!R245C6</stp>
        <stp>Dts=H</stp>
        <tr r="F245" s="2"/>
      </tp>
      <tp t="s">
        <v>#N/A Invalid Field</v>
        <stp/>
        <stp>##V3_BDHV12</stp>
        <stp>31413NDT9 Mtge</stp>
        <stp>MTG_GEN_CPR_3M</stp>
        <stp>20090610</stp>
        <stp>20090610</stp>
        <stp>[Copy of 02_cpr_main.xlsx]data!R430C8</stp>
        <stp>Dts=H</stp>
        <tr r="H430" s="2"/>
      </tp>
      <tp t="s">
        <v>#N/A Invalid Field</v>
        <stp/>
        <stp>##V3_BDHV12</stp>
        <stp>31368HM26 Mtge</stp>
        <stp>MTG_GEN_CPR_6M</stp>
        <stp>20090610</stp>
        <stp>20090610</stp>
        <stp>[Copy of 02_cpr_main.xlsx]data!R159C9</stp>
        <stp>Dts=H</stp>
        <tr r="I159" s="2"/>
      </tp>
      <tp t="s">
        <v>#N/A Invalid Field</v>
        <stp/>
        <stp>##V3_BDHV12</stp>
        <stp>31382NES7 Mtge</stp>
        <stp>MTG_GEN_CPR_6M</stp>
        <stp>20090331</stp>
        <stp>20090331</stp>
        <stp>[Copy of 02_cpr_main.xlsx]data!R200C6</stp>
        <stp>Dts=H</stp>
        <tr r="F200" s="2"/>
      </tp>
      <tp t="s">
        <v>#N/A Invalid Field</v>
        <stp/>
        <stp>##V3_BDHV12</stp>
        <stp>31408HJ55 Mtge</stp>
        <stp>MTG_GEN_CPR_3M</stp>
        <stp>20090610</stp>
        <stp>20090610</stp>
        <stp>[Copy of 02_cpr_main.xlsx]data!R350C8</stp>
        <stp>Dts=H</stp>
        <tr r="H350" s="2"/>
      </tp>
      <tp t="s">
        <v>#N/A Invalid Field</v>
        <stp/>
        <stp>##V3_BDHV12</stp>
        <stp>31371HLX4 Mtge</stp>
        <stp>MTG_GEN_CPR_3M</stp>
        <stp>20090331</stp>
        <stp>20090331</stp>
        <stp>[Copy of 02_cpr_main.xlsx]data!R163C5</stp>
        <stp>Dts=H</stp>
        <tr r="E163" s="2"/>
      </tp>
      <tp t="s">
        <v>#N/A Invalid Field</v>
        <stp/>
        <stp>##V3_BDHV12</stp>
        <stp>31400KQ66 Mtge</stp>
        <stp>MTG_GEN_CPR_3M</stp>
        <stp>20090331</stp>
        <stp>20090331</stp>
        <stp>[Copy of 02_cpr_main.xlsx]data!R247C5</stp>
        <stp>Dts=H</stp>
        <tr r="E247" s="2"/>
      </tp>
      <tp t="s">
        <v>#N/A Invalid Field</v>
        <stp/>
        <stp>##V3_BDHV12</stp>
        <stp>31412LZK9 Mtge</stp>
        <stp>MTG_GEN_CPR_6M</stp>
        <stp>20090610</stp>
        <stp>20090610</stp>
        <stp>[Copy of 02_cpr_main.xlsx]data!R408C9</stp>
        <stp>Dts=H</stp>
        <tr r="I408" s="2"/>
      </tp>
      <tp t="s">
        <v>#N/A Invalid Field</v>
        <stp/>
        <stp>##V3_BDHV12</stp>
        <stp>31401JUA4 Mtge</stp>
        <stp>MTG_GEN_CPR_6M</stp>
        <stp>20090331</stp>
        <stp>20090331</stp>
        <stp>[Copy of 02_cpr_main.xlsx]data!R255C6</stp>
        <stp>Dts=H</stp>
        <tr r="F255" s="2"/>
      </tp>
      <tp t="s">
        <v>#N/A Invalid Field</v>
        <stp/>
        <stp>##V3_BDHV12</stp>
        <stp>31412M4Y1 Mtge</stp>
        <stp>MTG_GEN_CPR_6M</stp>
        <stp>20090331</stp>
        <stp>20090331</stp>
        <stp>[Copy of 02_cpr_main.xlsx]data!R410C6</stp>
        <stp>Dts=H</stp>
        <tr r="F410" s="2"/>
      </tp>
      <tp t="s">
        <v>#N/A Invalid Field</v>
        <stp/>
        <stp>##V3_BDHV12</stp>
        <stp>36200M6G3 Mtge</stp>
        <stp>MTG_GEN_CPR_6M</stp>
        <stp>20090331</stp>
        <stp>20090331</stp>
        <stp>[Copy of 02_cpr_main.xlsx]data!R465C6</stp>
        <stp>Dts=H</stp>
        <tr r="F465" s="2"/>
      </tp>
      <tp t="s">
        <v>#N/A Invalid Field</v>
        <stp/>
        <stp>##V3_BDHV12</stp>
        <stp>31410KRX4 Mtge</stp>
        <stp>MTG_GEN_CPR_6M</stp>
        <stp>20090331</stp>
        <stp>20090331</stp>
        <stp>[Copy of 02_cpr_main.xlsx]data!R375C6</stp>
        <stp>Dts=H</stp>
        <tr r="F375" s="2"/>
      </tp>
      <tp t="s">
        <v>#N/A Invalid Field</v>
        <stp/>
        <stp>##V3_BDHV12</stp>
        <stp>36200MTF0 Mtge</stp>
        <stp>MTG_GEN_CPR_3M</stp>
        <stp>20090331</stp>
        <stp>20090331</stp>
        <stp>[Copy of 02_cpr_main.xlsx]data!R466C5</stp>
        <stp>Dts=H</stp>
        <tr r="E466" s="2"/>
      </tp>
      <tp t="s">
        <v>#N/A Invalid Field</v>
        <stp/>
        <stp>##V3_BDHV12</stp>
        <stp>31410KTH7 Mtge</stp>
        <stp>MTG_GEN_CPR_3M</stp>
        <stp>20090331</stp>
        <stp>20090331</stp>
        <stp>[Copy of 02_cpr_main.xlsx]data!R376C5</stp>
        <stp>Dts=H</stp>
        <tr r="E376" s="2"/>
      </tp>
      <tp t="s">
        <v>#N/A Invalid Field</v>
        <stp/>
        <stp>##V3_BDHV12</stp>
        <stp>31413ME78 Mtge</stp>
        <stp>MTG_GEN_CPR_6M</stp>
        <stp>20090610</stp>
        <stp>20090610</stp>
        <stp>[Copy of 02_cpr_main.xlsx]data!R427C9</stp>
        <stp>Dts=H</stp>
        <tr r="I427" s="2"/>
      </tp>
      <tp t="s">
        <v>#N/A Invalid Field</v>
        <stp/>
        <stp>##V3_BDHV12</stp>
        <stp>31371KNW7 Mtge</stp>
        <stp>MTG_GEN_CPR_6M</stp>
        <stp>20090331</stp>
        <stp>20090331</stp>
        <stp>[Copy of 02_cpr_main.xlsx]data!R172C6</stp>
        <stp>Dts=H</stp>
        <tr r="F172" s="2"/>
      </tp>
      <tp t="s">
        <v>#N/A Invalid Field</v>
        <stp/>
        <stp>##V3_BDHV12</stp>
        <stp>31371K3A7 Mtge</stp>
        <stp>MTG_GEN_CPR_6M</stp>
        <stp>20090331</stp>
        <stp>20090331</stp>
        <stp>[Copy of 02_cpr_main.xlsx]data!R167C6</stp>
        <stp>Dts=H</stp>
        <tr r="F167" s="2"/>
      </tp>
      <tp t="s">
        <v>#N/A Invalid Field</v>
        <stp/>
        <stp>##V3_BDHV12</stp>
        <stp>31371K5T4 Mtge</stp>
        <stp>MTG_GEN_CPR_3M</stp>
        <stp>20090331</stp>
        <stp>20090331</stp>
        <stp>[Copy of 02_cpr_main.xlsx]data!R168C5</stp>
        <stp>Dts=H</stp>
        <tr r="E168" s="2"/>
      </tp>
      <tp t="s">
        <v>#N/A Invalid Field</v>
        <stp/>
        <stp>##V3_BDHV12</stp>
        <stp>31391N7M7 Mtge</stp>
        <stp>MTG_GEN_CPR_3M</stp>
        <stp>20090331</stp>
        <stp>20090331</stp>
        <stp>[Copy of 02_cpr_main.xlsx]data!R238C5</stp>
        <stp>Dts=H</stp>
        <tr r="E238" s="2"/>
      </tp>
      <tp t="s">
        <v>#N/A Invalid Field</v>
        <stp/>
        <stp>##V3_BDHV12</stp>
        <stp>36206JJ96 Mtge</stp>
        <stp>MTG_GEN_CPR_3M</stp>
        <stp>20090331</stp>
        <stp>20090331</stp>
        <stp>[Copy of 02_cpr_main.xlsx]data!R479C5</stp>
        <stp>Dts=H</stp>
        <tr r="E479" s="2"/>
      </tp>
      <tp t="s">
        <v>#N/A Invalid Field</v>
        <stp/>
        <stp>##V3_BDHV12</stp>
        <stp>31371MB97 Mtge</stp>
        <stp>MTG_GEN_CPR_6M</stp>
        <stp>20090331</stp>
        <stp>20090331</stp>
        <stp>[Copy of 02_cpr_main.xlsx]data!R177C6</stp>
        <stp>Dts=H</stp>
        <tr r="F177" s="2"/>
      </tp>
      <tp t="s">
        <v>#N/A Invalid Field</v>
        <stp/>
        <stp>##V3_BDHV12</stp>
        <stp>31296NA23 Mtge</stp>
        <stp>MTG_GEN_CPR_3M</stp>
        <stp>20090331</stp>
        <stp>20090331</stp>
        <stp>[Copy of 02_cpr_main.xlsx]data!R144C5</stp>
        <stp>Dts=H</stp>
        <tr r="E144" s="2"/>
      </tp>
      <tp t="s">
        <v>#N/A Invalid Field</v>
        <stp/>
        <stp>##V3_BDHV12</stp>
        <stp>36201JDG1 Mtge</stp>
        <stp>MTG_GEN_CPR_3M</stp>
        <stp>20090331</stp>
        <stp>20090331</stp>
        <stp>[Copy of 02_cpr_main.xlsx]data!R471C5</stp>
        <stp>Dts=H</stp>
        <tr r="E471" s="2"/>
      </tp>
      <tp t="s">
        <v>#N/A Invalid Field</v>
        <stp/>
        <stp>##V3_BDHV12</stp>
        <stp>36200KMY0 Mtge</stp>
        <stp>MTG_GEN_CPR_3M</stp>
        <stp>20090331</stp>
        <stp>20090331</stp>
        <stp>[Copy of 02_cpr_main.xlsx]data!R464C5</stp>
        <stp>Dts=H</stp>
        <tr r="E464" s="2"/>
      </tp>
      <tp t="s">
        <v>#N/A Invalid Field</v>
        <stp/>
        <stp>##V3_BDHV12</stp>
        <stp>31404J2J3 Mtge</stp>
        <stp>MTG_GEN_CPR_3M</stp>
        <stp>20090331</stp>
        <stp>20090331</stp>
        <stp>[Copy of 02_cpr_main.xlsx]data!R314C5</stp>
        <stp>Dts=H</stp>
        <tr r="E314" s="2"/>
      </tp>
      <tp t="s">
        <v>#N/A Invalid Field</v>
        <stp/>
        <stp>##V3_BDHV12</stp>
        <stp>31292J5A4 Mtge</stp>
        <stp>MTG_GEN_CPR_6M</stp>
        <stp>20090331</stp>
        <stp>20090331</stp>
        <stp>[Copy of 02_cpr_main.xlsx]data!R119C6</stp>
        <stp>Dts=H</stp>
        <tr r="F119" s="2"/>
      </tp>
      <tp t="s">
        <v>#N/A Invalid Field</v>
        <stp/>
        <stp>##V3_BDHV12</stp>
        <stp>31413JLB8 Mtge</stp>
        <stp>MTG_GEN_CPR_6M</stp>
        <stp>20090610</stp>
        <stp>20090610</stp>
        <stp>[Copy of 02_cpr_main.xlsx]data!R422C9</stp>
        <stp>Dts=H</stp>
        <tr r="I422" s="2"/>
      </tp>
      <tp t="s">
        <v>#N/A Invalid Field</v>
        <stp/>
        <stp>##V3_BDHV12</stp>
        <stp>31404JHV0 Mtge</stp>
        <stp>MTG_GEN_CPR_6M</stp>
        <stp>20090331</stp>
        <stp>20090331</stp>
        <stp>[Copy of 02_cpr_main.xlsx]data!R315C6</stp>
        <stp>Dts=H</stp>
        <tr r="F315" s="2"/>
      </tp>
      <tp t="s">
        <v>#N/A Invalid Field</v>
        <stp/>
        <stp>##V3_BDHV12</stp>
        <stp>31379C5N7 Mtge</stp>
        <stp>MTG_GEN_CPR_6M</stp>
        <stp>20090610</stp>
        <stp>20090610</stp>
        <stp>[Copy of 02_cpr_main.xlsx]data!R188C9</stp>
        <stp>Dts=H</stp>
        <tr r="I188" s="2"/>
      </tp>
      <tp t="s">
        <v>#N/A Invalid Field</v>
        <stp/>
        <stp>##V3_BDHV12</stp>
        <stp>31294JYS1 Mtge</stp>
        <stp>MTG_GEN_CPR_3M</stp>
        <stp>20090331</stp>
        <stp>20090331</stp>
        <stp>[Copy of 02_cpr_main.xlsx]data!R129C5</stp>
        <stp>Dts=H</stp>
        <tr r="E129" s="2"/>
      </tp>
      <tp t="s">
        <v>#N/A Invalid Field</v>
        <stp/>
        <stp>##V3_BDHV12</stp>
        <stp>31403ARS6 Mtge</stp>
        <stp>MTG_GEN_CPR_6M</stp>
        <stp>20090331</stp>
        <stp>20090331</stp>
        <stp>[Copy of 02_cpr_main.xlsx]data!R291C6</stp>
        <stp>Dts=H</stp>
        <tr r="F291" s="2"/>
      </tp>
      <tp t="s">
        <v>#N/A Invalid Field</v>
        <stp/>
        <stp>##V3_BDHV12</stp>
        <stp>31294KZL2 Mtge</stp>
        <stp>MTG_GEN_CPR_6M</stp>
        <stp>20090331</stp>
        <stp>20090331</stp>
        <stp>[Copy of 02_cpr_main.xlsx]data!R135C6</stp>
        <stp>Dts=H</stp>
        <tr r="F135" s="2"/>
      </tp>
      <tp t="s">
        <v>#N/A Invalid Field</v>
        <stp/>
        <stp>##V3_BDHV12</stp>
        <stp>31411AYF6 Mtge</stp>
        <stp>MTG_GEN_CPR_3M</stp>
        <stp>20090331</stp>
        <stp>20090331</stp>
        <stp>[Copy of 02_cpr_main.xlsx]data!R390C5</stp>
        <stp>Dts=H</stp>
        <tr r="E390" s="2"/>
      </tp>
      <tp t="s">
        <v>#N/A Invalid Field</v>
        <stp/>
        <stp>##V3_BDHV12</stp>
        <stp>31385JD39 Mtge</stp>
        <stp>MTG_GEN_CPR_3M</stp>
        <stp>20090610</stp>
        <stp>20090610</stp>
        <stp>[Copy of 02_cpr_main.xlsx]data!R214C8</stp>
        <stp>Dts=H</stp>
        <tr r="H214" s="2"/>
      </tp>
      <tp t="s">
        <v>#N/A Invalid Field</v>
        <stp/>
        <stp>##V3_BDHV12</stp>
        <stp>31407LE60 Mtge</stp>
        <stp>MTG_GEN_CPR_3M</stp>
        <stp>20090331</stp>
        <stp>20090331</stp>
        <stp>[Copy of 02_cpr_main.xlsx]data!R344C5</stp>
        <stp>Dts=H</stp>
        <tr r="E344" s="2"/>
      </tp>
      <tp t="s">
        <v>#N/A Invalid Field</v>
        <stp/>
        <stp>##V3_BDHV12</stp>
        <stp>31294KM51 Mtge</stp>
        <stp>MTG_GEN_CPR_3M</stp>
        <stp>20090331</stp>
        <stp>20090331</stp>
        <stp>[Copy of 02_cpr_main.xlsx]data!R132C5</stp>
        <stp>Dts=H</stp>
        <tr r="E132" s="2"/>
      </tp>
      <tp t="s">
        <v>#N/A Invalid Field</v>
        <stp/>
        <stp>##V3_BDHV12</stp>
        <stp>31405H4U9 Mtge</stp>
        <stp>MTG_GEN_CPR_6M</stp>
        <stp>20090610</stp>
        <stp>20090610</stp>
        <stp>[Copy of 02_cpr_main.xlsx]data!R325C9</stp>
        <stp>Dts=H</stp>
        <tr r="I325" s="2"/>
      </tp>
      <tp t="s">
        <v>#N/A Invalid Field</v>
        <stp/>
        <stp>##V3_BDHV12</stp>
        <stp>36213EWY8 Mtge</stp>
        <stp>MTG_GEN_CPR_6M</stp>
        <stp>20090610</stp>
        <stp>20090610</stp>
        <stp>[Copy of 02_cpr_main.xlsx]data!R487C9</stp>
        <stp>Dts=H</stp>
        <tr r="I487" s="2"/>
      </tp>
      <tp t="s">
        <v>#N/A Invalid Field</v>
        <stp/>
        <stp>##V3_BDHV12</stp>
        <stp>31402NY77 Mtge</stp>
        <stp>MTG_GEN_CPR_6M</stp>
        <stp>20090331</stp>
        <stp>20090331</stp>
        <stp>[Copy of 02_cpr_main.xlsx]data!R272C6</stp>
        <stp>Dts=H</stp>
        <tr r="F272" s="2"/>
      </tp>
      <tp t="s">
        <v>#N/A Invalid Field</v>
        <stp/>
        <stp>##V3_BDHV12</stp>
        <stp>31413KL33 Mtge</stp>
        <stp>MTG_GEN_CPR_3M</stp>
        <stp>20090331</stp>
        <stp>20090331</stp>
        <stp>[Copy of 02_cpr_main.xlsx]data!R426C5</stp>
        <stp>Dts=H</stp>
        <tr r="E426" s="2"/>
      </tp>
      <tp t="s">
        <v>#N/A Invalid Field</v>
        <stp/>
        <stp>##V3_BDHV12</stp>
        <stp>36291NM40 Mtge</stp>
        <stp>MTG_GEN_CPR_3M</stp>
        <stp>20090331</stp>
        <stp>20090331</stp>
        <stp>[Copy of 02_cpr_main.xlsx]data!R503C5</stp>
        <stp>Dts=H</stp>
        <tr r="E503" s="2"/>
      </tp>
      <tp t="s">
        <v>#N/A Invalid Field</v>
        <stp/>
        <stp>##V3_BDHV12</stp>
        <stp>31292GY34 Mtge</stp>
        <stp>MTG_GEN_CPR_6M</stp>
        <stp>20090331</stp>
        <stp>20090331</stp>
        <stp>[Copy of 02_cpr_main.xlsx]data!R116C6</stp>
        <stp>Dts=H</stp>
        <tr r="F116" s="2"/>
      </tp>
      <tp t="s">
        <v>#N/A Invalid Field</v>
        <stp/>
        <stp>##V3_BDHV12</stp>
        <stp>31415BBF5 Mtge</stp>
        <stp>MTG_GEN_CPR_3M</stp>
        <stp>20090331</stp>
        <stp>20090331</stp>
        <stp>[Copy of 02_cpr_main.xlsx]data!R447C5</stp>
        <stp>Dts=H</stp>
        <tr r="E447" s="2"/>
      </tp>
      <tp t="s">
        <v>#N/A Invalid Field</v>
        <stp/>
        <stp>##V3_BDHV12</stp>
        <stp>31413GMM9 Mtge</stp>
        <stp>MTG_GEN_CPR_3M</stp>
        <stp>20090610</stp>
        <stp>20090610</stp>
        <stp>[Copy of 02_cpr_main.xlsx]data!R420C8</stp>
        <stp>Dts=H</stp>
        <tr r="H420" s="2"/>
      </tp>
      <tp t="s">
        <v>#N/A Invalid Field</v>
        <stp/>
        <stp>##V3_BDHV12</stp>
        <stp>31412G4H1 Mtge</stp>
        <stp>MTG_GEN_CPR_6M</stp>
        <stp>20090331</stp>
        <stp>20090331</stp>
        <stp>[Copy of 02_cpr_main.xlsx]data!R406C6</stp>
        <stp>Dts=H</stp>
        <tr r="F406" s="2"/>
      </tp>
      <tp t="s">
        <v>#N/A Invalid Field</v>
        <stp/>
        <stp>##V3_BDHV12</stp>
        <stp>31404EVB9 Mtge</stp>
        <stp>MTG_GEN_CPR_3M</stp>
        <stp>20090610</stp>
        <stp>20090610</stp>
        <stp>[Copy of 02_cpr_main.xlsx]data!R312C8</stp>
        <stp>Dts=H</stp>
        <tr r="H312" s="2"/>
      </tp>
      <tp t="s">
        <v>#N/A Invalid Field</v>
        <stp/>
        <stp>##V3_BDHV12</stp>
        <stp>31297CKH2 Mtge</stp>
        <stp>MTG_GEN_CPR_3M</stp>
        <stp>20090331</stp>
        <stp>20090331</stp>
        <stp>[Copy of 02_cpr_main.xlsx]data!R147C5</stp>
        <stp>Dts=H</stp>
        <tr r="E147" s="2"/>
      </tp>
      <tp t="s">
        <v>#N/A Invalid Field</v>
        <stp/>
        <stp>##V3_BDHV12</stp>
        <stp>31401A3J4 Mtge</stp>
        <stp>MTG_GEN_CPR_6M</stp>
        <stp>20090331</stp>
        <stp>20090331</stp>
        <stp>[Copy of 02_cpr_main.xlsx]data!R252C6</stp>
        <stp>Dts=H</stp>
        <tr r="F252" s="2"/>
      </tp>
      <tp t="s">
        <v>#N/A Invalid Field</v>
        <stp/>
        <stp>##V3_BDHV12</stp>
        <stp>31416BVN5 Mtge</stp>
        <stp>MTG_GEN_CPR_6M</stp>
        <stp>20090331</stp>
        <stp>20090331</stp>
        <stp>[Copy of 02_cpr_main.xlsx]data!R460C6</stp>
        <stp>Dts=H</stp>
        <tr r="F460" s="2"/>
      </tp>
      <tp t="s">
        <v>#N/A Invalid Field</v>
        <stp/>
        <stp>##V3_BDHV12</stp>
        <stp>31406GDY2 Mtge</stp>
        <stp>MTG_GEN_CPR_6M</stp>
        <stp>20090331</stp>
        <stp>20090331</stp>
        <stp>[Copy of 02_cpr_main.xlsx]data!R336C6</stp>
        <stp>Dts=H</stp>
        <tr r="F336" s="2"/>
      </tp>
      <tp t="s">
        <v>#N/A Invalid Field</v>
        <stp/>
        <stp>##V3_BDHV12</stp>
        <stp>31412ETK2 Mtge</stp>
        <stp>MTG_GEN_CPR_3M</stp>
        <stp>20090331</stp>
        <stp>20090331</stp>
        <stp>[Copy of 02_cpr_main.xlsx]data!R405C5</stp>
        <stp>Dts=H</stp>
        <tr r="E405" s="2"/>
      </tp>
      <tp t="s">
        <v>#N/A Invalid Field</v>
        <stp/>
        <stp>##V3_BDHV12</stp>
        <stp>31385CEC3 Mtge</stp>
        <stp>MTG_GEN_CPR_3M</stp>
        <stp>20090331</stp>
        <stp>20090331</stp>
        <stp>[Copy of 02_cpr_main.xlsx]data!R212C5</stp>
        <stp>Dts=H</stp>
        <tr r="E212" s="2"/>
      </tp>
      <tp t="s">
        <v>#N/A Invalid Field</v>
        <stp/>
        <stp>##V3_BDHV12</stp>
        <stp>31385CHF3 Mtge</stp>
        <stp>MTG_GEN_CPR_3M</stp>
        <stp>20090331</stp>
        <stp>20090331</stp>
        <stp>[Copy of 02_cpr_main.xlsx]data!R213C5</stp>
        <stp>Dts=H</stp>
        <tr r="E213" s="2"/>
      </tp>
      <tp t="s">
        <v>#N/A Invalid Field</v>
        <stp/>
        <stp>##V3_BDHV12</stp>
        <stp>31410F2Z7 Mtge</stp>
        <stp>MTG_GEN_CPR_3M</stp>
        <stp>20090331</stp>
        <stp>20090331</stp>
        <stp>[Copy of 02_cpr_main.xlsx]data!R362C5</stp>
        <stp>Dts=H</stp>
        <tr r="E362" s="2"/>
      </tp>
      <tp t="s">
        <v>#N/A Invalid Field</v>
        <stp/>
        <stp>##V3_BDHV12</stp>
        <stp>31297GXZ9 Mtge</stp>
        <stp>MTG_GEN_CPR_6M</stp>
        <stp>20090610</stp>
        <stp>20090610</stp>
        <stp>[Copy of 02_cpr_main.xlsx]data!R148C9</stp>
        <stp>Dts=H</stp>
        <tr r="I148" s="2"/>
      </tp>
      <tp t="s">
        <v>#N/A Invalid Field</v>
        <stp/>
        <stp>##V3_BDHV12</stp>
        <stp>31410GRM7 Mtge</stp>
        <stp>MTG_GEN_CPR_3M</stp>
        <stp>20090331</stp>
        <stp>20090331</stp>
        <stp>[Copy of 02_cpr_main.xlsx]data!R371C5</stp>
        <stp>Dts=H</stp>
        <tr r="E371" s="2"/>
      </tp>
      <tp t="s">
        <v>#N/A Invalid Field</v>
        <stp/>
        <stp>##V3_BDHV12</stp>
        <stp>31414CZ84 Mtge</stp>
        <stp>MTG_GEN_CPR_3M</stp>
        <stp>20090331</stp>
        <stp>20090331</stp>
        <stp>[Copy of 02_cpr_main.xlsx]data!R436C5</stp>
        <stp>Dts=H</stp>
        <tr r="E436" s="2"/>
      </tp>
      <tp t="s">
        <v>#N/A Invalid Field</v>
        <stp/>
        <stp>##V3_BDHV12</stp>
        <stp>31377KKG9 Mtge</stp>
        <stp>MTG_GEN_CPR_6M</stp>
        <stp>20090610</stp>
        <stp>20090610</stp>
        <stp>[Copy of 02_cpr_main.xlsx]data!R187C9</stp>
        <stp>Dts=H</stp>
        <tr r="I187" s="2"/>
      </tp>
      <tp t="s">
        <v>#N/A Invalid Field</v>
        <stp/>
        <stp>##V3_BDHV12</stp>
        <stp>31376J2W8 Mtge</stp>
        <stp>MTG_GEN_CPR_6M</stp>
        <stp>20090610</stp>
        <stp>20090610</stp>
        <stp>[Copy of 02_cpr_main.xlsx]data!R186C9</stp>
        <stp>Dts=H</stp>
        <tr r="I186" s="2"/>
      </tp>
      <tp t="s">
        <v>#N/A Invalid Field</v>
        <stp/>
        <stp>##V3_BDHV12</stp>
        <stp>31412BPZ9 Mtge</stp>
        <stp>MTG_GEN_CPR_6M</stp>
        <stp>20090610</stp>
        <stp>20090610</stp>
        <stp>[Copy of 02_cpr_main.xlsx]data!R402C9</stp>
        <stp>Dts=H</stp>
        <tr r="I402" s="2"/>
      </tp>
      <tp t="s">
        <v>#N/A Invalid Field</v>
        <stp/>
        <stp>##V3_BDHV12</stp>
        <stp>31402FFF7 Mtge</stp>
        <stp>MTG_GEN_CPR_6M</stp>
        <stp>20090331</stp>
        <stp>20090331</stp>
        <stp>[Copy of 02_cpr_main.xlsx]data!R271C6</stp>
        <stp>Dts=H</stp>
        <tr r="F271" s="2"/>
      </tp>
      <tp t="s">
        <v>#N/A Invalid Field</v>
        <stp/>
        <stp>##V3_BDHV12</stp>
        <stp>31410GH97 Mtge</stp>
        <stp>MTG_GEN_CPR_3M</stp>
        <stp>20090331</stp>
        <stp>20090331</stp>
        <stp>[Copy of 02_cpr_main.xlsx]data!R367C5</stp>
        <stp>Dts=H</stp>
        <tr r="E367" s="2"/>
      </tp>
      <tp t="s">
        <v>#N/A Invalid Field</v>
        <stp/>
        <stp>##V3_BDHV12</stp>
        <stp>31413CCD9 Mtge</stp>
        <stp>MTG_GEN_CPR_3M</stp>
        <stp>20090610</stp>
        <stp>20090610</stp>
        <stp>[Copy of 02_cpr_main.xlsx]data!R418C8</stp>
        <stp>Dts=H</stp>
        <tr r="H418" s="2"/>
      </tp>
      <tp t="s">
        <v>#N/A Invalid Field</v>
        <stp/>
        <stp>##V3_BDHV12</stp>
        <stp>312962KF9 Mtge</stp>
        <stp>MTG_GEN_CPR_3M</stp>
        <stp>20090610</stp>
        <stp>20090610</stp>
        <stp>[Copy of 02_cpr_main.xlsx]data!R138C8</stp>
        <stp>Dts=H</stp>
        <tr r="H138" s="2"/>
      </tp>
      <tp t="s">
        <v>#N/A Invalid Field</v>
        <stp/>
        <stp>##V3_BDHV12</stp>
        <stp>3128JRPE0 Mtge</stp>
        <stp>MTG_GEN_CPR_12M</stp>
        <stp>20090331</stp>
        <stp>20090331</stp>
        <stp>[Copy of 02_cpr_main.xlsx]data!R71C7</stp>
        <stp>Dts=H</stp>
        <tr r="G71" s="2"/>
      </tp>
      <tp t="s">
        <v>#N/A Invalid Field</v>
        <stp/>
        <stp>##V3_BDHV12</stp>
        <stp>312967ME9 Mtge</stp>
        <stp>MTG_GEN_CPR_3M</stp>
        <stp>20090610</stp>
        <stp>20090610</stp>
        <stp>[Copy of 02_cpr_main.xlsx]data!R141C8</stp>
        <stp>Dts=H</stp>
        <tr r="H141" s="2"/>
      </tp>
      <tp t="s">
        <v>#N/A Invalid Field</v>
        <stp/>
        <stp>##V3_BDHV12</stp>
        <stp>3128MBJS7 Mtge</stp>
        <stp>MTG_GEN_CPR_12M</stp>
        <stp>20090331</stp>
        <stp>20090331</stp>
        <stp>[Copy of 02_cpr_main.xlsx]data!R95C7</stp>
        <stp>Dts=H</stp>
        <tr r="G95" s="2"/>
      </tp>
      <tp t="s">
        <v>#N/A Invalid Field</v>
        <stp/>
        <stp>##V3_BDHV12</stp>
        <stp>3128KDAY1 Mtge</stp>
        <stp>MTG_GEN_CPR_12M</stp>
        <stp>20090331</stp>
        <stp>20090331</stp>
        <stp>[Copy of 02_cpr_main.xlsx]data!R74C7</stp>
        <stp>Dts=H</stp>
        <tr r="G74" s="2"/>
      </tp>
    </main>
    <main first="bloomberg.rtd">
      <tp t="s">
        <v>#N/A Invalid Field</v>
        <stp/>
        <stp>##V3_BDHV12</stp>
        <stp>31401XU96 Mtge</stp>
        <stp>MTG_GEN_CPR_3M</stp>
        <stp>20090331</stp>
        <stp>20090331</stp>
        <stp>[Copy of 02_cpr_main.xlsx]data!R261C5</stp>
        <stp>Dts=H</stp>
        <tr r="E261" s="2"/>
      </tp>
      <tp>
        <v>207</v>
        <stp/>
        <stp>##V3_BDPV12</stp>
        <stp>31377KKG9 Mtge</stp>
        <stp>MTG_PREPAY_SPEED</stp>
        <stp>[Copy of 02_cpr_main.xlsx]data!R187C12</stp>
        <tr r="L187" s="2"/>
      </tp>
      <tp t="s">
        <v>#N/A Invalid Field</v>
        <stp/>
        <stp>##V3_BDHV12</stp>
        <stp>31411UPM7 Mtge</stp>
        <stp>MTG_GEN_CPR_3M</stp>
        <stp>20090331</stp>
        <stp>20090331</stp>
        <stp>[Copy of 02_cpr_main.xlsx]data!R396C5</stp>
        <stp>Dts=H</stp>
        <tr r="E396" s="2"/>
      </tp>
      <tp t="s">
        <v>#N/A Invalid Field</v>
        <stp/>
        <stp>##V3_BDHV12</stp>
        <stp>31410UQW5 Mtge</stp>
        <stp>MTG_GEN_CPR_6M</stp>
        <stp>20090331</stp>
        <stp>20090331</stp>
        <stp>[Copy of 02_cpr_main.xlsx]data!R385C6</stp>
        <stp>Dts=H</stp>
        <tr r="F385" s="2"/>
      </tp>
      <tp t="s">
        <v>#N/A Invalid Field</v>
        <stp/>
        <stp>##V3_BDHV12</stp>
        <stp>31385XKK2 Mtge</stp>
        <stp>MTG_GEN_CPR_3M</stp>
        <stp>20090331</stp>
        <stp>20090331</stp>
        <stp>[Copy of 02_cpr_main.xlsx]data!R223C5</stp>
        <stp>Dts=H</stp>
        <tr r="E223" s="2"/>
      </tp>
      <tp t="s">
        <v>#N/A Invalid Field</v>
        <stp/>
        <stp>##V3_BDHV12</stp>
        <stp>31386Y5M2 Mtge</stp>
        <stp>MTG_GEN_CPR_6M</stp>
        <stp>20090331</stp>
        <stp>20090331</stp>
        <stp>[Copy of 02_cpr_main.xlsx]data!R227C6</stp>
        <stp>Dts=H</stp>
        <tr r="F227" s="2"/>
      </tp>
      <tp t="s">
        <v>#N/A Invalid Field</v>
        <stp/>
        <stp>##V3_BDHV12</stp>
        <stp>31405XXV0 Mtge</stp>
        <stp>MTG_GEN_CPR_6M</stp>
        <stp>20090331</stp>
        <stp>20090331</stp>
        <stp>[Copy of 02_cpr_main.xlsx]data!R330C6</stp>
        <stp>Dts=H</stp>
        <tr r="F330" s="2"/>
      </tp>
      <tp t="s">
        <v>#N/A Invalid Field</v>
        <stp/>
        <stp>##V3_BDHV12</stp>
        <stp>31379QA67 Mtge</stp>
        <stp>MTG_GEN_CPR_3M</stp>
        <stp>20090610</stp>
        <stp>20090610</stp>
        <stp>[Copy of 02_cpr_main.xlsx]data!R190C8</stp>
        <stp>Dts=H</stp>
        <tr r="H190" s="2"/>
      </tp>
      <tp t="s">
        <v>#N/A Invalid Field</v>
        <stp/>
        <stp>##V3_BDHV12</stp>
        <stp>3128M6AX6 Mtge</stp>
        <stp>MTG_GEN_CPR_12M</stp>
        <stp>20090331</stp>
        <stp>20090331</stp>
        <stp>[Copy of 02_cpr_main.xlsx]data!R87C7</stp>
        <stp>Dts=H</stp>
        <tr r="G87" s="2"/>
      </tp>
      <tp t="s">
        <v>#N/A Invalid Field</v>
        <stp/>
        <stp>##V3_BDHV12</stp>
        <stp>3128L8QS7 Mtge</stp>
        <stp>MTG_GEN_CPR_12M</stp>
        <stp>20090331</stp>
        <stp>20090331</stp>
        <stp>[Copy of 02_cpr_main.xlsx]data!R77C7</stp>
        <stp>Dts=H</stp>
        <tr r="G77" s="2"/>
      </tp>
      <tp t="s">
        <v>#N/A Invalid Field</v>
        <stp/>
        <stp>##V3_BDHV12</stp>
        <stp>36210VRS2 Mtge</stp>
        <stp>MTG_GEN_CPR_6M</stp>
        <stp>20090331</stp>
        <stp>20090331</stp>
        <stp>[Copy of 02_cpr_main.xlsx]data!R485C6</stp>
        <stp>Dts=H</stp>
        <tr r="F485" s="2"/>
      </tp>
      <tp t="s">
        <v>#N/A Invalid Field</v>
        <stp/>
        <stp>##V3_BDHV12</stp>
        <stp>31405YX48 Mtge</stp>
        <stp>MTG_GEN_CPR_6M</stp>
        <stp>20090610</stp>
        <stp>20090610</stp>
        <stp>[Copy of 02_cpr_main.xlsx]data!R331C9</stp>
        <stp>Dts=H</stp>
        <tr r="I331" s="2"/>
      </tp>
      <tp t="s">
        <v>#N/A Invalid Field</v>
        <stp/>
        <stp>##V3_BDHV12</stp>
        <stp>31385XDL8 Mtge</stp>
        <stp>MTG_GEN_CPR_3M</stp>
        <stp>20090610</stp>
        <stp>20090610</stp>
        <stp>[Copy of 02_cpr_main.xlsx]data!R220C8</stp>
        <stp>Dts=H</stp>
        <tr r="H220" s="2"/>
      </tp>
      <tp t="s">
        <v>#N/A Invalid Field</v>
        <stp/>
        <stp>##V3_BDHV12</stp>
        <stp>31385XFF9 Mtge</stp>
        <stp>MTG_GEN_CPR_6M</stp>
        <stp>20090610</stp>
        <stp>20090610</stp>
        <stp>[Copy of 02_cpr_main.xlsx]data!R222C9</stp>
        <stp>Dts=H</stp>
        <tr r="I222" s="2"/>
      </tp>
      <tp t="s">
        <v>#N/A Invalid Field</v>
        <stp/>
        <stp>##V3_BDHV12</stp>
        <stp>31385XNG8 Mtge</stp>
        <stp>MTG_GEN_CPR_3M</stp>
        <stp>20090610</stp>
        <stp>20090610</stp>
        <stp>[Copy of 02_cpr_main.xlsx]data!R226C8</stp>
        <stp>Dts=H</stp>
        <tr r="H226" s="2"/>
      </tp>
      <tp t="s">
        <v>#N/A Invalid Field</v>
        <stp/>
        <stp>##V3_BDHV12</stp>
        <stp>31382YJK5 Mtge</stp>
        <stp>MTG_GEN_CPR_3M</stp>
        <stp>20090331</stp>
        <stp>20090331</stp>
        <stp>[Copy of 02_cpr_main.xlsx]data!R207C5</stp>
        <stp>Dts=H</stp>
        <tr r="E207" s="2"/>
      </tp>
      <tp>
        <v>182</v>
        <stp/>
        <stp>##V3_BDPV12</stp>
        <stp>31382RRH8 Mtge</stp>
        <stp>MTG_PREPAY_SPEED</stp>
        <stp>[Copy of 02_cpr_main.xlsx]data!R202C12</stp>
        <tr r="L202" s="2"/>
      </tp>
      <tp t="s">
        <v>#N/A Invalid Field</v>
        <stp/>
        <stp>##V3_BDHV12</stp>
        <stp>31384V6K3 Mtge</stp>
        <stp>MTG_GEN_CPR_3M</stp>
        <stp>20090331</stp>
        <stp>20090331</stp>
        <stp>[Copy of 02_cpr_main.xlsx]data!R208C5</stp>
        <stp>Dts=H</stp>
        <tr r="E208" s="2"/>
      </tp>
      <tp t="s">
        <v>#N/A Invalid Field</v>
        <stp/>
        <stp>##V3_BDHV12</stp>
        <stp>31402QSL6 Mtge</stp>
        <stp>MTG_GEN_CPR_6M</stp>
        <stp>20090331</stp>
        <stp>20090331</stp>
        <stp>[Copy of 02_cpr_main.xlsx]data!R276C6</stp>
        <stp>Dts=H</stp>
        <tr r="F276" s="2"/>
      </tp>
      <tp t="s">
        <v>#N/A Invalid Field</v>
        <stp/>
        <stp>##V3_BDHV12</stp>
        <stp>31404WTM8 Mtge</stp>
        <stp>MTG_GEN_CPR_3M</stp>
        <stp>20090610</stp>
        <stp>20090610</stp>
        <stp>[Copy of 02_cpr_main.xlsx]data!R320C8</stp>
        <stp>Dts=H</stp>
        <tr r="H320" s="2"/>
      </tp>
      <tp t="s">
        <v>#N/A Invalid Field</v>
        <stp/>
        <stp>##V3_BDHV12</stp>
        <stp>31402QWA5 Mtge</stp>
        <stp>MTG_GEN_CPR_3M</stp>
        <stp>20090331</stp>
        <stp>20090331</stp>
        <stp>[Copy of 02_cpr_main.xlsx]data!R277C5</stp>
        <stp>Dts=H</stp>
        <tr r="E277" s="2"/>
      </tp>
      <tp t="s">
        <v>#N/A Invalid Field</v>
        <stp/>
        <stp>##V3_BDHV12</stp>
        <stp>31293TFD4 Mtge</stp>
        <stp>MTG_GEN_CPR_6M</stp>
        <stp>20090331</stp>
        <stp>20090331</stp>
        <stp>[Copy of 02_cpr_main.xlsx]data!R122C6</stp>
        <stp>Dts=H</stp>
        <tr r="F122" s="2"/>
      </tp>
      <tp t="s">
        <v>#N/A Invalid Field</v>
        <stp/>
        <stp>##V3_BDHV12</stp>
        <stp>31400RV24 Mtge</stp>
        <stp>MTG_GEN_CPR_6M</stp>
        <stp>20090331</stp>
        <stp>20090331</stp>
        <stp>[Copy of 02_cpr_main.xlsx]data!R250C6</stp>
        <stp>Dts=H</stp>
        <tr r="F250" s="2"/>
      </tp>
      <tp t="s">
        <v>#N/A Invalid Field</v>
        <stp/>
        <stp>##V3_BDHV12</stp>
        <stp>31384VR53 Mtge</stp>
        <stp>MTG_GEN_CPR_3M</stp>
        <stp>20090331</stp>
        <stp>20090331</stp>
        <stp>[Copy of 02_cpr_main.xlsx]data!R210C5</stp>
        <stp>Dts=H</stp>
        <tr r="E210" s="2"/>
      </tp>
      <tp t="s">
        <v>#N/A Invalid Field</v>
        <stp/>
        <stp>##V3_BDHV12</stp>
        <stp>36200WJE2 Mtge</stp>
        <stp>MTG_GEN_CPR_6M</stp>
        <stp>20090331</stp>
        <stp>20090331</stp>
        <stp>[Copy of 02_cpr_main.xlsx]data!R470C6</stp>
        <stp>Dts=H</stp>
        <tr r="F470" s="2"/>
      </tp>
      <tp t="s">
        <v>#N/A Invalid Field</v>
        <stp/>
        <stp>##V3_BDHV12</stp>
        <stp>31384VRC8 Mtge</stp>
        <stp>MTG_GEN_CPR_6M</stp>
        <stp>20090610</stp>
        <stp>20090610</stp>
        <stp>[Copy of 02_cpr_main.xlsx]data!R211C9</stp>
        <stp>Dts=H</stp>
        <tr r="I211" s="2"/>
      </tp>
      <tp t="s">
        <v>#N/A Invalid Field</v>
        <stp/>
        <stp>##V3_BDHV12</stp>
        <stp>31405UVD8 Mtge</stp>
        <stp>MTG_GEN_CPR_6M</stp>
        <stp>20090610</stp>
        <stp>20090610</stp>
        <stp>[Copy of 02_cpr_main.xlsx]data!R328C9</stp>
        <stp>Dts=H</stp>
        <tr r="I328" s="2"/>
      </tp>
      <tp t="s">
        <v>#N/A Invalid Field</v>
        <stp/>
        <stp>##V3_BDHV12</stp>
        <stp>31293VCT7 Mtge</stp>
        <stp>MTG_GEN_CPR_3M</stp>
        <stp>20090331</stp>
        <stp>20090331</stp>
        <stp>[Copy of 02_cpr_main.xlsx]data!R124C5</stp>
        <stp>Dts=H</stp>
        <tr r="E124" s="2"/>
      </tp>
      <tp t="s">
        <v>#N/A Invalid Field</v>
        <stp/>
        <stp>##V3_BDHV12</stp>
        <stp>36202WH69 Mtge</stp>
        <stp>MTG_GEN_CPR_3M</stp>
        <stp>20090610</stp>
        <stp>20090610</stp>
        <stp>[Copy of 02_cpr_main.xlsx]data!R477C8</stp>
        <stp>Dts=H</stp>
        <tr r="H477" s="2"/>
      </tp>
      <tp t="s">
        <v>#N/A N/A</v>
        <stp/>
        <stp>##V3_BDPV12</stp>
        <stp>31410G6A6 Mtge</stp>
        <stp>MTG_PREPAY_SPEED</stp>
        <stp>[Copy of 02_cpr_main.xlsx]data!R364C12</stp>
        <tr r="L364" s="2"/>
      </tp>
      <tp t="s">
        <v>#N/A Invalid Field</v>
        <stp/>
        <stp>##V3_BDHV12</stp>
        <stp>31412T5U3 Mtge</stp>
        <stp>MTG_GEN_CPR_3M</stp>
        <stp>20090331</stp>
        <stp>20090331</stp>
        <stp>[Copy of 02_cpr_main.xlsx]data!R413C5</stp>
        <stp>Dts=H</stp>
        <tr r="E413" s="2"/>
      </tp>
      <tp t="s">
        <v>#N/A Invalid Field</v>
        <stp/>
        <stp>##V3_BDHV12</stp>
        <stp>31385W7B9 Mtge</stp>
        <stp>MTG_GEN_CPR_6M</stp>
        <stp>20090610</stp>
        <stp>20090610</stp>
        <stp>[Copy of 02_cpr_main.xlsx]data!R217C9</stp>
        <stp>Dts=H</stp>
        <tr r="I217" s="2"/>
      </tp>
      <tp t="s">
        <v>#N/A Invalid Field</v>
        <stp/>
        <stp>##V3_BDHV12</stp>
        <stp>31402RBX6 Mtge</stp>
        <stp>MTG_GEN_CPR_6M</stp>
        <stp>20090331</stp>
        <stp>20090331</stp>
        <stp>[Copy of 02_cpr_main.xlsx]data!R279C6</stp>
        <stp>Dts=H</stp>
        <tr r="F279" s="2"/>
      </tp>
      <tp t="s">
        <v>#N/A Invalid Field</v>
        <stp/>
        <stp>##V3_BDHV12</stp>
        <stp>31409TRU4 Mtge</stp>
        <stp>MTG_GEN_CPR_6M</stp>
        <stp>20090610</stp>
        <stp>20090610</stp>
        <stp>[Copy of 02_cpr_main.xlsx]data!R354C9</stp>
        <stp>Dts=H</stp>
        <tr r="I354" s="2"/>
      </tp>
      <tp t="s">
        <v>#N/A Invalid Field</v>
        <stp/>
        <stp>##V3_BDHV12</stp>
        <stp>31390QTD7 Mtge</stp>
        <stp>MTG_GEN_CPR_3M</stp>
        <stp>20090331</stp>
        <stp>20090331</stp>
        <stp>[Copy of 02_cpr_main.xlsx]data!R234C5</stp>
        <stp>Dts=H</stp>
        <tr r="E234" s="2"/>
      </tp>
      <tp t="s">
        <v>#N/A Invalid Field</v>
        <stp/>
        <stp>##V3_BDHV12</stp>
        <stp>31412PEV9 Mtge</stp>
        <stp>MTG_GEN_CPR_3M</stp>
        <stp>20090610</stp>
        <stp>20090610</stp>
        <stp>[Copy of 02_cpr_main.xlsx]data!R412C8</stp>
        <stp>Dts=H</stp>
        <tr r="H412" s="2"/>
      </tp>
      <tp t="s">
        <v>#N/A Invalid Field</v>
        <stp/>
        <stp>##V3_BDHV12</stp>
        <stp>36200R6U1 Mtge</stp>
        <stp>MTG_GEN_CPR_3M</stp>
        <stp>20090331</stp>
        <stp>20090331</stp>
        <stp>[Copy of 02_cpr_main.xlsx]data!R469C5</stp>
        <stp>Dts=H</stp>
        <tr r="E469" s="2"/>
      </tp>
      <tp t="s">
        <v>#N/A Invalid Field</v>
        <stp/>
        <stp>##V3_BDHV12</stp>
        <stp>31391PUV6 Mtge</stp>
        <stp>MTG_GEN_CPR_3M</stp>
        <stp>20090331</stp>
        <stp>20090331</stp>
        <stp>[Copy of 02_cpr_main.xlsx]data!R239C5</stp>
        <stp>Dts=H</stp>
        <tr r="E239" s="2"/>
      </tp>
      <tp>
        <v>182</v>
        <stp/>
        <stp>##V3_BDPV12</stp>
        <stp>31413K5A5 Mtge</stp>
        <stp>MTG_PREPAY_SPEED</stp>
        <stp>[Copy of 02_cpr_main.xlsx]data!R423C12</stp>
        <tr r="L423" s="2"/>
      </tp>
      <tp t="s">
        <v>#N/A Invalid Field</v>
        <stp/>
        <stp>##V3_BDHV12</stp>
        <stp>31382PPC5 Mtge</stp>
        <stp>MTG_GEN_CPR_3M</stp>
        <stp>20090331</stp>
        <stp>20090331</stp>
        <stp>[Copy of 02_cpr_main.xlsx]data!R201C5</stp>
        <stp>Dts=H</stp>
        <tr r="E201" s="2"/>
      </tp>
      <tp t="s">
        <v>#N/A Invalid Field</v>
        <stp/>
        <stp>##V3_BDHV12</stp>
        <stp>31297VQA9 Mtge</stp>
        <stp>MTG_GEN_CPR_3M</stp>
        <stp>20090610</stp>
        <stp>20090610</stp>
        <stp>[Copy of 02_cpr_main.xlsx]data!R151C8</stp>
        <stp>Dts=H</stp>
        <tr r="H151" s="2"/>
      </tp>
      <tp t="s">
        <v>#N/A Invalid Field</v>
        <stp/>
        <stp>##V3_BDHV12</stp>
        <stp>31413SCS1 Mtge</stp>
        <stp>MTG_GEN_CPR_6M</stp>
        <stp>20090331</stp>
        <stp>20090331</stp>
        <stp>[Copy of 02_cpr_main.xlsx]data!R432C6</stp>
        <stp>Dts=H</stp>
        <tr r="F432" s="2"/>
      </tp>
      <tp t="s">
        <v>#N/A Invalid Field</v>
        <stp/>
        <stp>##V3_BDHV12</stp>
        <stp>31410XGK6 Mtge</stp>
        <stp>MTG_GEN_CPR_3M</stp>
        <stp>20090331</stp>
        <stp>20090331</stp>
        <stp>[Copy of 02_cpr_main.xlsx]data!R389C5</stp>
        <stp>Dts=H</stp>
        <tr r="E389" s="2"/>
      </tp>
      <tp>
        <v>169</v>
        <stp/>
        <stp>##V3_BDPV12</stp>
        <stp>31411YGA5 Mtge</stp>
        <stp>MTG_PREPAY_SPEED</stp>
        <stp>[Copy of 02_cpr_main.xlsx]data!R400C12</stp>
        <tr r="L400" s="2"/>
      </tp>
      <tp t="s">
        <v>#N/A Invalid Field</v>
        <stp/>
        <stp>##V3_BDHV12</stp>
        <stp>31374F2P3 Mtge</stp>
        <stp>MTG_GEN_CPR_6M</stp>
        <stp>20090331</stp>
        <stp>20090331</stp>
        <stp>[Copy of 02_cpr_main.xlsx]data!R182C6</stp>
        <stp>Dts=H</stp>
        <tr r="F182" s="2"/>
      </tp>
      <tp t="s">
        <v>#N/A Invalid Field</v>
        <stp/>
        <stp>##V3_BDHV12</stp>
        <stp>36225A3K4 Mtge</stp>
        <stp>MTG_GEN_CPR_3M</stp>
        <stp>20090331</stp>
        <stp>20090331</stp>
        <stp>[Copy of 02_cpr_main.xlsx]data!R489C5</stp>
        <stp>Dts=H</stp>
        <tr r="E489" s="2"/>
      </tp>
      <tp t="s">
        <v>#N/A Invalid Field</v>
        <stp/>
        <stp>##V3_BDHV12</stp>
        <stp>31408HXP5 Mtge</stp>
        <stp>MTG_GEN_CPR_6M</stp>
        <stp>20090610</stp>
        <stp>20090610</stp>
        <stp>[Copy of 02_cpr_main.xlsx]data!R351C9</stp>
        <stp>Dts=H</stp>
        <tr r="I351" s="2"/>
      </tp>
      <tp t="s">
        <v>#N/A Invalid Field</v>
        <stp/>
        <stp>##V3_BDHV12</stp>
        <stp>31400JBY4 Mtge</stp>
        <stp>MTG_GEN_CPR_6M</stp>
        <stp>20090331</stp>
        <stp>20090331</stp>
        <stp>[Copy of 02_cpr_main.xlsx]data!R246C6</stp>
        <stp>Dts=H</stp>
        <tr r="F246" s="2"/>
      </tp>
      <tp t="s">
        <v>#N/A Invalid Field</v>
        <stp/>
        <stp>##V3_BDHV12</stp>
        <stp>31413NDT9 Mtge</stp>
        <stp>MTG_GEN_CPR_6M</stp>
        <stp>20090610</stp>
        <stp>20090610</stp>
        <stp>[Copy of 02_cpr_main.xlsx]data!R430C9</stp>
        <stp>Dts=H</stp>
        <tr r="I430" s="2"/>
      </tp>
      <tp t="s">
        <v>#N/A Invalid Field</v>
        <stp/>
        <stp>##V3_BDHV12</stp>
        <stp>31368HM26 Mtge</stp>
        <stp>MTG_GEN_CPR_3M</stp>
        <stp>20090610</stp>
        <stp>20090610</stp>
        <stp>[Copy of 02_cpr_main.xlsx]data!R159C8</stp>
        <stp>Dts=H</stp>
        <tr r="H159" s="2"/>
      </tp>
      <tp t="s">
        <v>#N/A Invalid Field</v>
        <stp/>
        <stp>##V3_BDHV12</stp>
        <stp>31408HJ55 Mtge</stp>
        <stp>MTG_GEN_CPR_6M</stp>
        <stp>20090610</stp>
        <stp>20090610</stp>
        <stp>[Copy of 02_cpr_main.xlsx]data!R350C9</stp>
        <stp>Dts=H</stp>
        <tr r="I350" s="2"/>
      </tp>
      <tp t="s">
        <v>#N/A Invalid Field</v>
        <stp/>
        <stp>##V3_BDHV12</stp>
        <stp>31412LZK9 Mtge</stp>
        <stp>MTG_GEN_CPR_3M</stp>
        <stp>20090610</stp>
        <stp>20090610</stp>
        <stp>[Copy of 02_cpr_main.xlsx]data!R408C8</stp>
        <stp>Dts=H</stp>
        <tr r="H408" s="2"/>
      </tp>
      <tp t="s">
        <v>#N/A Invalid Field</v>
        <stp/>
        <stp>##V3_BDHV12</stp>
        <stp>31407KGJ2 Mtge</stp>
        <stp>MTG_GEN_CPR_6M</stp>
        <stp>20090331</stp>
        <stp>20090331</stp>
        <stp>[Copy of 02_cpr_main.xlsx]data!R343C6</stp>
        <stp>Dts=H</stp>
        <tr r="F343" s="2"/>
      </tp>
      <tp t="s">
        <v>#N/A Invalid Field</v>
        <stp/>
        <stp>##V3_BDHV12</stp>
        <stp>31413N5R2 Mtge</stp>
        <stp>MTG_GEN_CPR_3M</stp>
        <stp>20090331</stp>
        <stp>20090331</stp>
        <stp>[Copy of 02_cpr_main.xlsx]data!R428C5</stp>
        <stp>Dts=H</stp>
        <tr r="E428" s="2"/>
      </tp>
      <tp t="s">
        <v>#N/A Invalid Field</v>
        <stp/>
        <stp>##V3_BDHV12</stp>
        <stp>36225BPM4 Mtge</stp>
        <stp>MTG_GEN_CPR_3M</stp>
        <stp>20090331</stp>
        <stp>20090331</stp>
        <stp>[Copy of 02_cpr_main.xlsx]data!R493C5</stp>
        <stp>Dts=H</stp>
        <tr r="E493" s="2"/>
      </tp>
      <tp t="s">
        <v>#N/A Invalid Field</v>
        <stp/>
        <stp>##V3_BDHV12</stp>
        <stp>36225BWH7 Mtge</stp>
        <stp>MTG_GEN_CPR_6M</stp>
        <stp>20090331</stp>
        <stp>20090331</stp>
        <stp>[Copy of 02_cpr_main.xlsx]data!R494C6</stp>
        <stp>Dts=H</stp>
        <tr r="F494" s="2"/>
      </tp>
      <tp t="s">
        <v>#N/A Invalid Field</v>
        <stp/>
        <stp>##V3_BDHV12</stp>
        <stp>31410KQJ6 Mtge</stp>
        <stp>MTG_GEN_CPR_3M</stp>
        <stp>20090331</stp>
        <stp>20090331</stp>
        <stp>[Copy of 02_cpr_main.xlsx]data!R373C5</stp>
        <stp>Dts=H</stp>
        <tr r="E373" s="2"/>
      </tp>
      <tp t="s">
        <v>#N/A Invalid Field</v>
        <stp/>
        <stp>##V3_BDHV12</stp>
        <stp>31413ME78 Mtge</stp>
        <stp>MTG_GEN_CPR_3M</stp>
        <stp>20090610</stp>
        <stp>20090610</stp>
        <stp>[Copy of 02_cpr_main.xlsx]data!R427C8</stp>
        <stp>Dts=H</stp>
        <tr r="H427" s="2"/>
      </tp>
      <tp t="s">
        <v>#N/A Invalid Field</v>
        <stp/>
        <stp>##V3_BDHV12</stp>
        <stp>31371KDF5 Mtge</stp>
        <stp>MTG_GEN_CPR_3M</stp>
        <stp>20090331</stp>
        <stp>20090331</stp>
        <stp>[Copy of 02_cpr_main.xlsx]data!R170C5</stp>
        <stp>Dts=H</stp>
        <tr r="E170" s="2"/>
      </tp>
      <tp t="s">
        <v>#N/A Invalid Field</v>
        <stp/>
        <stp>##V3_BDHV12</stp>
        <stp>31371KGN5 Mtge</stp>
        <stp>MTG_GEN_CPR_3M</stp>
        <stp>20090331</stp>
        <stp>20090331</stp>
        <stp>[Copy of 02_cpr_main.xlsx]data!R171C5</stp>
        <stp>Dts=H</stp>
        <tr r="E171" s="2"/>
      </tp>
      <tp t="s">
        <v>#N/A Invalid Field</v>
        <stp/>
        <stp>##V3_BDHV12</stp>
        <stp>31412M3C0 Mtge</stp>
        <stp>MTG_GEN_CPR_6M</stp>
        <stp>20090331</stp>
        <stp>20090331</stp>
        <stp>[Copy of 02_cpr_main.xlsx]data!R409C6</stp>
        <stp>Dts=H</stp>
        <tr r="F409" s="2"/>
      </tp>
      <tp t="s">
        <v>#N/A Invalid Field</v>
        <stp/>
        <stp>##V3_BDHV12</stp>
        <stp>36291JVC1 Mtge</stp>
        <stp>MTG_GEN_CPR_3M</stp>
        <stp>20090331</stp>
        <stp>20090331</stp>
        <stp>[Copy of 02_cpr_main.xlsx]data!R502C5</stp>
        <stp>Dts=H</stp>
        <tr r="E502" s="2"/>
      </tp>
      <tp t="s">
        <v>#N/A Invalid Field</v>
        <stp/>
        <stp>##V3_BDHV12</stp>
        <stp>31403DDR7 Mtge</stp>
        <stp>MTG_GEN_CPR_6M</stp>
        <stp>20090331</stp>
        <stp>20090331</stp>
        <stp>[Copy of 02_cpr_main.xlsx]data!R297C6</stp>
        <stp>Dts=H</stp>
        <tr r="F297" s="2"/>
      </tp>
      <tp t="s">
        <v>#N/A Invalid Field</v>
        <stp/>
        <stp>##V3_BDHV12</stp>
        <stp>36295JMQ6 Mtge</stp>
        <stp>MTG_GEN_CPR_6M</stp>
        <stp>20090331</stp>
        <stp>20090331</stp>
        <stp>[Copy of 02_cpr_main.xlsx]data!R506C6</stp>
        <stp>Dts=H</stp>
        <tr r="F506" s="2"/>
      </tp>
      <tp t="s">
        <v>#N/A Invalid Field</v>
        <stp/>
        <stp>##V3_BDHV12</stp>
        <stp>31371MLN5 Mtge</stp>
        <stp>MTG_GEN_CPR_3M</stp>
        <stp>20090331</stp>
        <stp>20090331</stp>
        <stp>[Copy of 02_cpr_main.xlsx]data!R178C5</stp>
        <stp>Dts=H</stp>
        <tr r="E178" s="2"/>
      </tp>
      <tp t="s">
        <v>#N/A Invalid Field</v>
        <stp/>
        <stp>##V3_BDHV12</stp>
        <stp>31413JLB8 Mtge</stp>
        <stp>MTG_GEN_CPR_3M</stp>
        <stp>20090610</stp>
        <stp>20090610</stp>
        <stp>[Copy of 02_cpr_main.xlsx]data!R422C8</stp>
        <stp>Dts=H</stp>
        <tr r="H422" s="2"/>
      </tp>
      <tp t="s">
        <v>#N/A Invalid Field</v>
        <stp/>
        <stp>##V3_BDHV12</stp>
        <stp>31379C5N7 Mtge</stp>
        <stp>MTG_GEN_CPR_3M</stp>
        <stp>20090610</stp>
        <stp>20090610</stp>
        <stp>[Copy of 02_cpr_main.xlsx]data!R188C8</stp>
        <stp>Dts=H</stp>
        <tr r="H188" s="2"/>
      </tp>
      <tp t="s">
        <v>#N/A Invalid Field</v>
        <stp/>
        <stp>##V3_BDHV12</stp>
        <stp>31294KRY3 Mtge</stp>
        <stp>MTG_GEN_CPR_6M</stp>
        <stp>20090331</stp>
        <stp>20090331</stp>
        <stp>[Copy of 02_cpr_main.xlsx]data!R133C6</stp>
        <stp>Dts=H</stp>
        <tr r="F133" s="2"/>
      </tp>
      <tp t="s">
        <v>#N/A Invalid Field</v>
        <stp/>
        <stp>##V3_BDHV12</stp>
        <stp>31294JYR3 Mtge</stp>
        <stp>MTG_GEN_CPR_6M</stp>
        <stp>20090331</stp>
        <stp>20090331</stp>
        <stp>[Copy of 02_cpr_main.xlsx]data!R128C6</stp>
        <stp>Dts=H</stp>
        <tr r="F128" s="2"/>
      </tp>
      <tp t="s">
        <v>#N/A Invalid Field</v>
        <stp/>
        <stp>##V3_BDHV12</stp>
        <stp>31405JWZ3 Mtge</stp>
        <stp>MTG_GEN_CPR_3M</stp>
        <stp>20090331</stp>
        <stp>20090331</stp>
        <stp>[Copy of 02_cpr_main.xlsx]data!R326C5</stp>
        <stp>Dts=H</stp>
        <tr r="E326" s="2"/>
      </tp>
      <tp t="s">
        <v>#N/A Invalid Field</v>
        <stp/>
        <stp>##V3_BDHV12</stp>
        <stp>31385JD39 Mtge</stp>
        <stp>MTG_GEN_CPR_6M</stp>
        <stp>20090610</stp>
        <stp>20090610</stp>
        <stp>[Copy of 02_cpr_main.xlsx]data!R214C9</stp>
        <stp>Dts=H</stp>
        <tr r="I214" s="2"/>
      </tp>
      <tp t="s">
        <v>#N/A Invalid Field</v>
        <stp/>
        <stp>##V3_BDHV12</stp>
        <stp>31407LEA1 Mtge</stp>
        <stp>MTG_GEN_CPR_3M</stp>
        <stp>20090331</stp>
        <stp>20090331</stp>
        <stp>[Copy of 02_cpr_main.xlsx]data!R345C5</stp>
        <stp>Dts=H</stp>
        <tr r="E345" s="2"/>
      </tp>
      <tp t="s">
        <v>#N/A Invalid Field</v>
        <stp/>
        <stp>##V3_BDHV12</stp>
        <stp>31405H4U9 Mtge</stp>
        <stp>MTG_GEN_CPR_3M</stp>
        <stp>20090610</stp>
        <stp>20090610</stp>
        <stp>[Copy of 02_cpr_main.xlsx]data!R325C8</stp>
        <stp>Dts=H</stp>
        <tr r="H325" s="2"/>
      </tp>
      <tp t="s">
        <v>#N/A Invalid Field</v>
        <stp/>
        <stp>##V3_BDHV12</stp>
        <stp>31292HYT5 Mtge</stp>
        <stp>MTG_GEN_CPR_6M</stp>
        <stp>20090331</stp>
        <stp>20090331</stp>
        <stp>[Copy of 02_cpr_main.xlsx]data!R118C6</stp>
        <stp>Dts=H</stp>
        <tr r="F118" s="2"/>
      </tp>
      <tp t="s">
        <v>#N/A Invalid Field</v>
        <stp/>
        <stp>##V3_BDHV12</stp>
        <stp>36213EWY8 Mtge</stp>
        <stp>MTG_GEN_CPR_3M</stp>
        <stp>20090610</stp>
        <stp>20090610</stp>
        <stp>[Copy of 02_cpr_main.xlsx]data!R487C8</stp>
        <stp>Dts=H</stp>
        <tr r="H487" s="2"/>
      </tp>
      <tp t="s">
        <v>#N/A Invalid Field</v>
        <stp/>
        <stp>##V3_BDHV12</stp>
        <stp>36294NV54 Mtge</stp>
        <stp>MTG_GEN_CPR_3M</stp>
        <stp>20090331</stp>
        <stp>20090331</stp>
        <stp>[Copy of 02_cpr_main.xlsx]data!R505C5</stp>
        <stp>Dts=H</stp>
        <tr r="E505" s="2"/>
      </tp>
      <tp t="s">
        <v>#N/A Invalid Field</v>
        <stp/>
        <stp>##V3_BDHV12</stp>
        <stp>31390JTB7 Mtge</stp>
        <stp>MTG_GEN_CPR_3M</stp>
        <stp>20090331</stp>
        <stp>20090331</stp>
        <stp>[Copy of 02_cpr_main.xlsx]data!R232C5</stp>
        <stp>Dts=H</stp>
        <tr r="E232" s="2"/>
      </tp>
      <tp t="s">
        <v>#N/A Invalid Field</v>
        <stp/>
        <stp>##V3_BDHV12</stp>
        <stp>31405KZ20 Mtge</stp>
        <stp>MTG_GEN_CPR_6M</stp>
        <stp>20090331</stp>
        <stp>20090331</stp>
        <stp>[Copy of 02_cpr_main.xlsx]data!R327C6</stp>
        <stp>Dts=H</stp>
        <tr r="F327" s="2"/>
      </tp>
      <tp t="s">
        <v>#N/A Invalid Field</v>
        <stp/>
        <stp>##V3_BDHV12</stp>
        <stp>31292G4V5 Mtge</stp>
        <stp>MTG_GEN_CPR_6M</stp>
        <stp>20090331</stp>
        <stp>20090331</stp>
        <stp>[Copy of 02_cpr_main.xlsx]data!R114C6</stp>
        <stp>Dts=H</stp>
        <tr r="F114" s="2"/>
      </tp>
      <tp t="s">
        <v>#N/A Invalid Field</v>
        <stp/>
        <stp>##V3_BDHV12</stp>
        <stp>31410C6S6 Mtge</stp>
        <stp>MTG_GEN_CPR_3M</stp>
        <stp>20090331</stp>
        <stp>20090331</stp>
        <stp>[Copy of 02_cpr_main.xlsx]data!R358C5</stp>
        <stp>Dts=H</stp>
        <tr r="E358" s="2"/>
      </tp>
      <tp t="s">
        <v>#N/A Invalid Field</v>
        <stp/>
        <stp>##V3_BDHV12</stp>
        <stp>31413GMM9 Mtge</stp>
        <stp>MTG_GEN_CPR_6M</stp>
        <stp>20090610</stp>
        <stp>20090610</stp>
        <stp>[Copy of 02_cpr_main.xlsx]data!R420C9</stp>
        <stp>Dts=H</stp>
        <tr r="I420" s="2"/>
      </tp>
      <tp t="s">
        <v>#N/A Invalid Field</v>
        <stp/>
        <stp>##V3_BDHV12</stp>
        <stp>31412GSR3 Mtge</stp>
        <stp>MTG_GEN_CPR_3M</stp>
        <stp>20090331</stp>
        <stp>20090331</stp>
        <stp>[Copy of 02_cpr_main.xlsx]data!R407C5</stp>
        <stp>Dts=H</stp>
        <tr r="E407" s="2"/>
      </tp>
      <tp t="s">
        <v>#N/A Invalid Field</v>
        <stp/>
        <stp>##V3_BDHV12</stp>
        <stp>31404EVB9 Mtge</stp>
        <stp>MTG_GEN_CPR_6M</stp>
        <stp>20090610</stp>
        <stp>20090610</stp>
        <stp>[Copy of 02_cpr_main.xlsx]data!R312C9</stp>
        <stp>Dts=H</stp>
        <tr r="I312" s="2"/>
      </tp>
      <tp t="s">
        <v>#N/A Invalid Field</v>
        <stp/>
        <stp>##V3_BDHV12</stp>
        <stp>31403DTT6 Mtge</stp>
        <stp>MTG_GEN_CPR_6M</stp>
        <stp>20090331</stp>
        <stp>20090331</stp>
        <stp>[Copy of 02_cpr_main.xlsx]data!R302C6</stp>
        <stp>Dts=H</stp>
        <tr r="F302" s="2"/>
      </tp>
      <tp t="s">
        <v>#N/A Invalid Field</v>
        <stp/>
        <stp>##V3_BDHV12</stp>
        <stp>31402CZR6 Mtge</stp>
        <stp>MTG_GEN_CPR_6M</stp>
        <stp>20090331</stp>
        <stp>20090331</stp>
        <stp>[Copy of 02_cpr_main.xlsx]data!R267C6</stp>
        <stp>Dts=H</stp>
        <tr r="F267" s="2"/>
      </tp>
      <tp t="s">
        <v>#N/A Invalid Field</v>
        <stp/>
        <stp>##V3_BDHV12</stp>
        <stp>31382LKE5 Mtge</stp>
        <stp>MTG_GEN_CPR_6M</stp>
        <stp>20090331</stp>
        <stp>20090331</stp>
        <stp>[Copy of 02_cpr_main.xlsx]data!R199C6</stp>
        <stp>Dts=H</stp>
        <tr r="F199" s="2"/>
      </tp>
      <tp t="s">
        <v>#N/A Invalid Field</v>
        <stp/>
        <stp>##V3_BDHV12</stp>
        <stp>31413DGE1 Mtge</stp>
        <stp>MTG_GEN_CPR_6M</stp>
        <stp>20090331</stp>
        <stp>20090331</stp>
        <stp>[Copy of 02_cpr_main.xlsx]data!R419C6</stp>
        <stp>Dts=H</stp>
        <tr r="F419" s="2"/>
      </tp>
      <tp t="s">
        <v>#N/A Invalid Field</v>
        <stp/>
        <stp>##V3_BDHV12</stp>
        <stp>31414FKG5 Mtge</stp>
        <stp>MTG_GEN_CPR_3M</stp>
        <stp>20090331</stp>
        <stp>20090331</stp>
        <stp>[Copy of 02_cpr_main.xlsx]data!R437C5</stp>
        <stp>Dts=H</stp>
        <tr r="E437" s="2"/>
      </tp>
      <tp t="s">
        <v>#N/A Invalid Field</v>
        <stp/>
        <stp>##V3_BDHV12</stp>
        <stp>31412BWG3 Mtge</stp>
        <stp>MTG_GEN_CPR_3M</stp>
        <stp>20090331</stp>
        <stp>20090331</stp>
        <stp>[Copy of 02_cpr_main.xlsx]data!R403C5</stp>
        <stp>Dts=H</stp>
        <tr r="E403" s="2"/>
      </tp>
      <tp t="s">
        <v>#N/A Invalid Field</v>
        <stp/>
        <stp>##V3_BDHV12</stp>
        <stp>31382KR26 Mtge</stp>
        <stp>MTG_GEN_CPR_3M</stp>
        <stp>20090331</stp>
        <stp>20090331</stp>
        <stp>[Copy of 02_cpr_main.xlsx]data!R198C5</stp>
        <stp>Dts=H</stp>
        <tr r="E198" s="2"/>
      </tp>
      <tp t="s">
        <v>#N/A Invalid Field</v>
        <stp/>
        <stp>##V3_BDHV12</stp>
        <stp>31381JRV6 Mtge</stp>
        <stp>MTG_GEN_CPR_6M</stp>
        <stp>20090331</stp>
        <stp>20090331</stp>
        <stp>[Copy of 02_cpr_main.xlsx]data!R194C6</stp>
        <stp>Dts=H</stp>
        <tr r="F194" s="2"/>
      </tp>
      <tp t="s">
        <v>#N/A Invalid Field</v>
        <stp/>
        <stp>##V3_BDHV12</stp>
        <stp>31297GXZ9 Mtge</stp>
        <stp>MTG_GEN_CPR_3M</stp>
        <stp>20090610</stp>
        <stp>20090610</stp>
        <stp>[Copy of 02_cpr_main.xlsx]data!R148C8</stp>
        <stp>Dts=H</stp>
        <tr r="H148" s="2"/>
      </tp>
      <tp t="s">
        <v>#N/A Invalid Field</v>
        <stp/>
        <stp>##V3_BDHV12</stp>
        <stp>31410GRN5 Mtge</stp>
        <stp>MTG_GEN_CPR_6M</stp>
        <stp>20090331</stp>
        <stp>20090331</stp>
        <stp>[Copy of 02_cpr_main.xlsx]data!R372C6</stp>
        <stp>Dts=H</stp>
        <tr r="F372" s="2"/>
      </tp>
      <tp t="s">
        <v>#N/A Invalid Field</v>
        <stp/>
        <stp>##V3_BDHV12</stp>
        <stp>31410GQ55 Mtge</stp>
        <stp>MTG_GEN_CPR_6M</stp>
        <stp>20090331</stp>
        <stp>20090331</stp>
        <stp>[Copy of 02_cpr_main.xlsx]data!R370C6</stp>
        <stp>Dts=H</stp>
        <tr r="F370" s="2"/>
      </tp>
      <tp t="s">
        <v>#N/A Invalid Field</v>
        <stp/>
        <stp>##V3_BDHV12</stp>
        <stp>36291GYR1 Mtge</stp>
        <stp>MTG_GEN_CPR_3M</stp>
        <stp>20090331</stp>
        <stp>20090331</stp>
        <stp>[Copy of 02_cpr_main.xlsx]data!R501C5</stp>
        <stp>Dts=H</stp>
        <tr r="E501" s="2"/>
      </tp>
      <tp t="s">
        <v>#N/A Invalid Field</v>
        <stp/>
        <stp>##V3_BDHV12</stp>
        <stp>31377KKG9 Mtge</stp>
        <stp>MTG_GEN_CPR_3M</stp>
        <stp>20090610</stp>
        <stp>20090610</stp>
        <stp>[Copy of 02_cpr_main.xlsx]data!R187C8</stp>
        <stp>Dts=H</stp>
        <tr r="H187" s="2"/>
      </tp>
      <tp t="s">
        <v>#N/A Invalid Field</v>
        <stp/>
        <stp>##V3_BDHV12</stp>
        <stp>31376J2W8 Mtge</stp>
        <stp>MTG_GEN_CPR_3M</stp>
        <stp>20090610</stp>
        <stp>20090610</stp>
        <stp>[Copy of 02_cpr_main.xlsx]data!R186C8</stp>
        <stp>Dts=H</stp>
        <tr r="H186" s="2"/>
      </tp>
      <tp t="s">
        <v>#N/A Invalid Field</v>
        <stp/>
        <stp>##V3_BDHV12</stp>
        <stp>31410G6A6 Mtge</stp>
        <stp>MTG_GEN_CPR_3M</stp>
        <stp>20090331</stp>
        <stp>20090331</stp>
        <stp>[Copy of 02_cpr_main.xlsx]data!R364C5</stp>
        <stp>Dts=H</stp>
        <tr r="E364" s="2"/>
      </tp>
      <tp t="s">
        <v>#N/A Invalid Field</v>
        <stp/>
        <stp>##V3_BDHV12</stp>
        <stp>31412BPZ9 Mtge</stp>
        <stp>MTG_GEN_CPR_3M</stp>
        <stp>20090610</stp>
        <stp>20090610</stp>
        <stp>[Copy of 02_cpr_main.xlsx]data!R402C8</stp>
        <stp>Dts=H</stp>
        <tr r="H402" s="2"/>
      </tp>
      <tp t="s">
        <v>#N/A Invalid Field</v>
        <stp/>
        <stp>##V3_BDHV12</stp>
        <stp>31406BYJ3 Mtge</stp>
        <stp>MTG_GEN_CPR_6M</stp>
        <stp>20090331</stp>
        <stp>20090331</stp>
        <stp>[Copy of 02_cpr_main.xlsx]data!R333C6</stp>
        <stp>Dts=H</stp>
        <tr r="F333" s="2"/>
      </tp>
      <tp t="s">
        <v>#N/A Invalid Field</v>
        <stp/>
        <stp>##V3_BDHV12</stp>
        <stp>31410GE66 Mtge</stp>
        <stp>MTG_GEN_CPR_3M</stp>
        <stp>20090331</stp>
        <stp>20090331</stp>
        <stp>[Copy of 02_cpr_main.xlsx]data!R365C5</stp>
        <stp>Dts=H</stp>
        <tr r="E365" s="2"/>
      </tp>
      <tp t="s">
        <v>#N/A Invalid Field</v>
        <stp/>
        <stp>##V3_BDHV12</stp>
        <stp>31410GHN6 Mtge</stp>
        <stp>MTG_GEN_CPR_3M</stp>
        <stp>20090331</stp>
        <stp>20090331</stp>
        <stp>[Copy of 02_cpr_main.xlsx]data!R368C5</stp>
        <stp>Dts=H</stp>
        <tr r="E368" s="2"/>
      </tp>
      <tp t="s">
        <v>#N/A Invalid Field</v>
        <stp/>
        <stp>##V3_BDHV12</stp>
        <stp>31413CCD9 Mtge</stp>
        <stp>MTG_GEN_CPR_6M</stp>
        <stp>20090610</stp>
        <stp>20090610</stp>
        <stp>[Copy of 02_cpr_main.xlsx]data!R418C9</stp>
        <stp>Dts=H</stp>
        <tr r="I418" s="2"/>
      </tp>
      <tp t="s">
        <v>#N/A Invalid Field</v>
        <stp/>
        <stp>##V3_BDHV12</stp>
        <stp>3128LUSW7 Mtge</stp>
        <stp>MTG_GEN_CPR_12M</stp>
        <stp>20090331</stp>
        <stp>20090331</stp>
        <stp>[Copy of 02_cpr_main.xlsx]data!R80C7</stp>
        <stp>Dts=H</stp>
        <tr r="G80" s="2"/>
      </tp>
      <tp t="s">
        <v>#N/A Invalid Field</v>
        <stp/>
        <stp>##V3_BDHV12</stp>
        <stp>3128LXDE7 Mtge</stp>
        <stp>MTG_GEN_CPR_12M</stp>
        <stp>20090331</stp>
        <stp>20090331</stp>
        <stp>[Copy of 02_cpr_main.xlsx]data!R81C7</stp>
        <stp>Dts=H</stp>
        <tr r="G81" s="2"/>
      </tp>
      <tp t="s">
        <v>#N/A Invalid Field</v>
        <stp/>
        <stp>##V3_BDHV12</stp>
        <stp>3128KWMW0 Mtge</stp>
        <stp>MTG_GEN_CPR_12M</stp>
        <stp>20090331</stp>
        <stp>20090331</stp>
        <stp>[Copy of 02_cpr_main.xlsx]data!R75C7</stp>
        <stp>Dts=H</stp>
        <tr r="G75" s="2"/>
      </tp>
      <tp t="s">
        <v>#N/A Invalid Field</v>
        <stp/>
        <stp>##V3_BDHV12</stp>
        <stp>312962KF9 Mtge</stp>
        <stp>MTG_GEN_CPR_6M</stp>
        <stp>20090610</stp>
        <stp>20090610</stp>
        <stp>[Copy of 02_cpr_main.xlsx]data!R138C9</stp>
        <stp>Dts=H</stp>
        <tr r="I138" s="2"/>
      </tp>
      <tp t="s">
        <v>#N/A Invalid Field</v>
        <stp/>
        <stp>##V3_BDHV12</stp>
        <stp>312967HF2 Mtge</stp>
        <stp>MTG_GEN_CPR_3M</stp>
        <stp>20090331</stp>
        <stp>20090331</stp>
        <stp>[Copy of 02_cpr_main.xlsx]data!R140C5</stp>
        <stp>Dts=H</stp>
        <tr r="E140" s="2"/>
      </tp>
      <tp t="s">
        <v>#N/A Invalid Field</v>
        <stp/>
        <stp>##V3_BDHV12</stp>
        <stp>312967ME9 Mtge</stp>
        <stp>MTG_GEN_CPR_6M</stp>
        <stp>20090610</stp>
        <stp>20090610</stp>
        <stp>[Copy of 02_cpr_main.xlsx]data!R141C9</stp>
        <stp>Dts=H</stp>
        <tr r="I141" s="2"/>
      </tp>
      <tp t="s">
        <v>#N/A Invalid Field</v>
        <stp/>
        <stp>##V3_BDHV12</stp>
        <stp>3128MBH26 Mtge</stp>
        <stp>MTG_GEN_CPR_12M</stp>
        <stp>20090331</stp>
        <stp>20090331</stp>
        <stp>[Copy of 02_cpr_main.xlsx]data!R94C7</stp>
        <stp>Dts=H</stp>
        <tr r="G94" s="2"/>
      </tp>
      <tp t="s">
        <v>#N/A Invalid Field</v>
        <stp/>
        <stp>##V3_BDHV12</stp>
        <stp>3128NGF75 Mtge</stp>
        <stp>MTG_GEN_CPR_12M</stp>
        <stp>20090331</stp>
        <stp>20090331</stp>
        <stp>[Copy of 02_cpr_main.xlsx]data!R99C7</stp>
        <stp>Dts=H</stp>
        <tr r="G99" s="2"/>
      </tp>
    </main>
    <main first="bloomberg.rtd">
      <tp t="s">
        <v>#N/A Invalid Field</v>
        <stp/>
        <stp>##V3_BDHV12</stp>
        <stp>31402UHZ8 Mtge</stp>
        <stp>MTG_GEN_CPR_3M</stp>
        <stp>20090610</stp>
        <stp>20090610</stp>
        <stp>[Copy of 02_cpr_main.xlsx]data!R289C8</stp>
        <stp>Dts=H</stp>
        <tr r="H289" s="2"/>
      </tp>
      <tp t="s">
        <v>#N/A Invalid Field</v>
        <stp/>
        <stp>##V3_BDHV12</stp>
        <stp>31409XHN2 Mtge</stp>
        <stp>MTG_GEN_CPR_3M</stp>
        <stp>20090610</stp>
        <stp>20090610</stp>
        <stp>[Copy of 02_cpr_main.xlsx]data!R356C8</stp>
        <stp>Dts=H</stp>
        <tr r="H356" s="2"/>
      </tp>
      <tp t="s">
        <v>#N/A Invalid Field</v>
        <stp/>
        <stp>##V3_BDHV12</stp>
        <stp>3128M1B81 Mtge</stp>
        <stp>MTG_GEN_CPR_12M</stp>
        <stp>20090331</stp>
        <stp>20090331</stp>
        <stp>[Copy of 02_cpr_main.xlsx]data!R82C7</stp>
        <stp>Dts=H</stp>
        <tr r="G82" s="2"/>
      </tp>
      <tp t="s">
        <v>#N/A Invalid Field</v>
        <stp/>
        <stp>##V3_BDHV12</stp>
        <stp>31380V6X9 Mtge</stp>
        <stp>MTG_GEN_CPR_3M</stp>
        <stp>20090610</stp>
        <stp>20090610</stp>
        <stp>[Copy of 02_cpr_main.xlsx]data!R193C8</stp>
        <stp>Dts=H</stp>
        <tr r="H193" s="2"/>
      </tp>
      <tp t="s">
        <v>#N/A Invalid Field</v>
        <stp/>
        <stp>##V3_BDHV12</stp>
        <stp>31402TVS1 Mtge</stp>
        <stp>MTG_GEN_CPR_6M</stp>
        <stp>20090331</stp>
        <stp>20090331</stp>
        <stp>[Copy of 02_cpr_main.xlsx]data!R288C6</stp>
        <stp>Dts=H</stp>
        <tr r="F288" s="2"/>
      </tp>
      <tp t="s">
        <v>#N/A Invalid Field</v>
        <stp/>
        <stp>##V3_BDHV12</stp>
        <stp>31402WMC9 Mtge</stp>
        <stp>MTG_GEN_CPR_6M</stp>
        <stp>20090610</stp>
        <stp>20090610</stp>
        <stp>[Copy of 02_cpr_main.xlsx]data!R290C9</stp>
        <stp>Dts=H</stp>
        <tr r="I290" s="2"/>
      </tp>
      <tp t="s">
        <v>#N/A Invalid Field</v>
        <stp/>
        <stp>##V3_BDHV12</stp>
        <stp>31405YXX4 Mtge</stp>
        <stp>MTG_GEN_CPR_3M</stp>
        <stp>20090331</stp>
        <stp>20090331</stp>
        <stp>[Copy of 02_cpr_main.xlsx]data!R332C5</stp>
        <stp>Dts=H</stp>
        <tr r="E332" s="2"/>
      </tp>
      <tp t="s">
        <v>#N/A N/A</v>
        <stp/>
        <stp>##V3_BDPV12</stp>
        <stp>31409TUG1 Mtge</stp>
        <stp>MTG_PREPAY_SPEED</stp>
        <stp>[Copy of 02_cpr_main.xlsx]data!R355C12</stp>
        <tr r="L355" s="2"/>
      </tp>
      <tp>
        <v>0.43</v>
        <stp/>
        <stp>##V3_BDPV12</stp>
        <stp>31411SNF9 Mtge</stp>
        <stp>MTG_PREPAY_SPEED</stp>
        <stp>[Copy of 02_cpr_main.xlsx]data!R394C12</stp>
        <tr r="L394" s="2"/>
      </tp>
      <tp t="s">
        <v>#N/A Invalid Field</v>
        <stp/>
        <stp>##V3_BDHV12</stp>
        <stp>31404YDK5 Mtge</stp>
        <stp>MTG_GEN_CPR_3M</stp>
        <stp>20090331</stp>
        <stp>20090331</stp>
        <stp>[Copy of 02_cpr_main.xlsx]data!R322C5</stp>
        <stp>Dts=H</stp>
        <tr r="E322" s="2"/>
      </tp>
      <tp t="s">
        <v>#N/A Invalid Field</v>
        <stp/>
        <stp>##V3_BDHV12</stp>
        <stp>36290V5G5 Mtge</stp>
        <stp>MTG_GEN_CPR_6M</stp>
        <stp>20090331</stp>
        <stp>20090331</stp>
        <stp>[Copy of 02_cpr_main.xlsx]data!R497C6</stp>
        <stp>Dts=H</stp>
        <tr r="F497" s="2"/>
      </tp>
      <tp t="s">
        <v>#N/A N/A</v>
        <stp/>
        <stp>##V3_BDPV12</stp>
        <stp>31403DGG8 Mtge</stp>
        <stp>MTG_PREPAY_SPEED</stp>
        <stp>[Copy of 02_cpr_main.xlsx]data!R299C12</stp>
        <tr r="L299" s="2"/>
      </tp>
      <tp t="s">
        <v>#N/A Invalid Field</v>
        <stp/>
        <stp>##V3_BDHV12</stp>
        <stp>36290W3Y6 Mtge</stp>
        <stp>MTG_GEN_CPR_3M</stp>
        <stp>20090331</stp>
        <stp>20090331</stp>
        <stp>[Copy of 02_cpr_main.xlsx]data!R498C5</stp>
        <stp>Dts=H</stp>
        <tr r="E498" s="2"/>
      </tp>
      <tp t="s">
        <v>#N/A Invalid Field</v>
        <stp/>
        <stp>##V3_BDHV12</stp>
        <stp>31412XSV7 Mtge</stp>
        <stp>MTG_GEN_CPR_6M</stp>
        <stp>20090331</stp>
        <stp>20090331</stp>
        <stp>[Copy of 02_cpr_main.xlsx]data!R414C6</stp>
        <stp>Dts=H</stp>
        <tr r="F414" s="2"/>
      </tp>
      <tp t="s">
        <v>#N/A Invalid Field</v>
        <stp/>
        <stp>##V3_BDHV12</stp>
        <stp>31410QPT2 Mtge</stp>
        <stp>MTG_GEN_CPR_6M</stp>
        <stp>20090331</stp>
        <stp>20090331</stp>
        <stp>[Copy of 02_cpr_main.xlsx]data!R381C6</stp>
        <stp>Dts=H</stp>
        <tr r="F381" s="2"/>
      </tp>
      <tp t="s">
        <v>#N/A Invalid Field</v>
        <stp/>
        <stp>##V3_BDHV12</stp>
        <stp>31402REL9 Mtge</stp>
        <stp>MTG_GEN_CPR_6M</stp>
        <stp>20090610</stp>
        <stp>20090610</stp>
        <stp>[Copy of 02_cpr_main.xlsx]data!R282C9</stp>
        <stp>Dts=H</stp>
        <tr r="I282" s="2"/>
      </tp>
      <tp t="s">
        <v>#N/A Invalid Field</v>
        <stp/>
        <stp>##V3_BDHV12</stp>
        <stp>31402RCV9 Mtge</stp>
        <stp>MTG_GEN_CPR_6M</stp>
        <stp>20090610</stp>
        <stp>20090610</stp>
        <stp>[Copy of 02_cpr_main.xlsx]data!R280C9</stp>
        <stp>Dts=H</stp>
        <tr r="I280" s="2"/>
      </tp>
      <tp t="s">
        <v>#N/A Invalid Field</v>
        <stp/>
        <stp>##V3_BDHV12</stp>
        <stp>31402RH28 Mtge</stp>
        <stp>MTG_GEN_CPR_3M</stp>
        <stp>20090610</stp>
        <stp>20090610</stp>
        <stp>[Copy of 02_cpr_main.xlsx]data!R284C8</stp>
        <stp>Dts=H</stp>
        <tr r="H284" s="2"/>
      </tp>
      <tp t="s">
        <v>#N/A Invalid Field</v>
        <stp/>
        <stp>##V3_BDHV12</stp>
        <stp>31402RLV9 Mtge</stp>
        <stp>MTG_GEN_CPR_6M</stp>
        <stp>20090610</stp>
        <stp>20090610</stp>
        <stp>[Copy of 02_cpr_main.xlsx]data!R286C9</stp>
        <stp>Dts=H</stp>
        <tr r="I286" s="2"/>
      </tp>
      <tp t="s">
        <v>#N/A Invalid Field</v>
        <stp/>
        <stp>##V3_BDHV12</stp>
        <stp>31385W6V6 Mtge</stp>
        <stp>MTG_GEN_CPR_6M</stp>
        <stp>20090331</stp>
        <stp>20090331</stp>
        <stp>[Copy of 02_cpr_main.xlsx]data!R216C6</stp>
        <stp>Dts=H</stp>
        <tr r="F216" s="2"/>
      </tp>
      <tp t="s">
        <v>#N/A Invalid Field</v>
        <stp/>
        <stp>##V3_BDHV12</stp>
        <stp>31296RSK5 Mtge</stp>
        <stp>MTG_GEN_CPR_3M</stp>
        <stp>20090331</stp>
        <stp>20090331</stp>
        <stp>[Copy of 02_cpr_main.xlsx]data!R145C5</stp>
        <stp>Dts=H</stp>
        <tr r="E145" s="2"/>
      </tp>
      <tp t="s">
        <v>#N/A Invalid Field</v>
        <stp/>
        <stp>##V3_BDHV12</stp>
        <stp>31415SCE0 Mtge</stp>
        <stp>MTG_GEN_CPR_6M</stp>
        <stp>20090331</stp>
        <stp>20090331</stp>
        <stp>[Copy of 02_cpr_main.xlsx]data!R454C6</stp>
        <stp>Dts=H</stp>
        <tr r="F454" s="2"/>
      </tp>
      <tp t="s">
        <v>#N/A Invalid Field</v>
        <stp/>
        <stp>##V3_BDHV12</stp>
        <stp>31415PMH8 Mtge</stp>
        <stp>MTG_GEN_CPR_6M</stp>
        <stp>20090610</stp>
        <stp>20090610</stp>
        <stp>[Copy of 02_cpr_main.xlsx]data!R450C9</stp>
        <stp>Dts=H</stp>
        <tr r="I450" s="2"/>
      </tp>
      <tp t="s">
        <v>#N/A Invalid Field</v>
        <stp/>
        <stp>##V3_BDHV12</stp>
        <stp>31388TC68 Mtge</stp>
        <stp>MTG_GEN_CPR_3M</stp>
        <stp>20090331</stp>
        <stp>20090331</stp>
        <stp>[Copy of 02_cpr_main.xlsx]data!R229C5</stp>
        <stp>Dts=H</stp>
        <tr r="E229" s="2"/>
      </tp>
      <tp t="s">
        <v>#N/A N/A</v>
        <stp/>
        <stp>##V3_BDPV12</stp>
        <stp>31404XJG0 Mtge</stp>
        <stp>MTG_PREPAY_SPEED</stp>
        <stp>[Copy of 02_cpr_main.xlsx]data!R321C12</stp>
        <tr r="L321" s="2"/>
      </tp>
      <tp>
        <v>123</v>
        <stp/>
        <stp>##V3_BDPV12</stp>
        <stp>36200M6G3 Mtge</stp>
        <stp>MTG_PREPAY_SPEED</stp>
        <stp>[Copy of 02_cpr_main.xlsx]data!R465C12</stp>
        <tr r="L465" s="2"/>
      </tp>
      <tp t="s">
        <v>#N/A Invalid Field</v>
        <stp/>
        <stp>##V3_BDHV12</stp>
        <stp>31415RR30 Mtge</stp>
        <stp>MTG_GEN_CPR_6M</stp>
        <stp>20090331</stp>
        <stp>20090331</stp>
        <stp>[Copy of 02_cpr_main.xlsx]data!R453C6</stp>
        <stp>Dts=H</stp>
        <tr r="F453" s="2"/>
      </tp>
      <tp t="s">
        <v>#N/A Invalid Field</v>
        <stp/>
        <stp>##V3_BDHV12</stp>
        <stp>31293UAS3 Mtge</stp>
        <stp>MTG_GEN_CPR_6M</stp>
        <stp>20090331</stp>
        <stp>20090331</stp>
        <stp>[Copy of 02_cpr_main.xlsx]data!R123C6</stp>
        <stp>Dts=H</stp>
        <tr r="F123" s="2"/>
      </tp>
      <tp t="s">
        <v>#N/A Invalid Field</v>
        <stp/>
        <stp>##V3_BDHV12</stp>
        <stp>31415PGB8 Mtge</stp>
        <stp>MTG_GEN_CPR_6M</stp>
        <stp>20090610</stp>
        <stp>20090610</stp>
        <stp>[Copy of 02_cpr_main.xlsx]data!R449C9</stp>
        <stp>Dts=H</stp>
        <tr r="I449" s="2"/>
      </tp>
      <tp t="s">
        <v>#N/A Invalid Field</v>
        <stp/>
        <stp>##V3_BDHV12</stp>
        <stp>31414PTH2 Mtge</stp>
        <stp>MTG_GEN_CPR_3M</stp>
        <stp>20090331</stp>
        <stp>20090331</stp>
        <stp>[Copy of 02_cpr_main.xlsx]data!R442C5</stp>
        <stp>Dts=H</stp>
        <tr r="E442" s="2"/>
      </tp>
      <tp t="s">
        <v>#N/A Invalid Field</v>
        <stp/>
        <stp>##V3_BDHV12</stp>
        <stp>31382TUC1 Mtge</stp>
        <stp>MTG_GEN_CPR_6M</stp>
        <stp>20090331</stp>
        <stp>20090331</stp>
        <stp>[Copy of 02_cpr_main.xlsx]data!R204C6</stp>
        <stp>Dts=H</stp>
        <tr r="F204" s="2"/>
      </tp>
      <tp t="s">
        <v>#N/A Invalid Field</v>
        <stp/>
        <stp>##V3_BDHV12</stp>
        <stp>31402Q2X8 Mtge</stp>
        <stp>MTG_GEN_CPR_3M</stp>
        <stp>20090610</stp>
        <stp>20090610</stp>
        <stp>[Copy of 02_cpr_main.xlsx]data!R273C8</stp>
        <stp>Dts=H</stp>
        <tr r="H273" s="2"/>
      </tp>
      <tp t="s">
        <v>#N/A Invalid Field</v>
        <stp/>
        <stp>##V3_BDHV12</stp>
        <stp>31402Q4R9 Mtge</stp>
        <stp>MTG_GEN_CPR_6M</stp>
        <stp>20090610</stp>
        <stp>20090610</stp>
        <stp>[Copy of 02_cpr_main.xlsx]data!R274C9</stp>
        <stp>Dts=H</stp>
        <tr r="I274" s="2"/>
      </tp>
      <tp t="s">
        <v>#N/A Invalid Field</v>
        <stp/>
        <stp>##V3_BDHV12</stp>
        <stp>31402QYZ8 Mtge</stp>
        <stp>MTG_GEN_CPR_3M</stp>
        <stp>20090610</stp>
        <stp>20090610</stp>
        <stp>[Copy of 02_cpr_main.xlsx]data!R278C8</stp>
        <stp>Dts=H</stp>
        <tr r="H278" s="2"/>
      </tp>
      <tp t="s">
        <v>#N/A Invalid Field</v>
        <stp/>
        <stp>##V3_BDHV12</stp>
        <stp>31349SF40 Mtge</stp>
        <stp>MTG_GEN_CPR_3M</stp>
        <stp>20090610</stp>
        <stp>20090610</stp>
        <stp>[Copy of 02_cpr_main.xlsx]data!R157C8</stp>
        <stp>Dts=H</stp>
        <tr r="H157" s="2"/>
      </tp>
      <tp t="s">
        <v>#N/A Invalid Field</v>
        <stp/>
        <stp>##V3_BDHV12</stp>
        <stp>31382VHM9 Mtge</stp>
        <stp>MTG_GEN_CPR_6M</stp>
        <stp>20090610</stp>
        <stp>20090610</stp>
        <stp>[Copy of 02_cpr_main.xlsx]data!R205C9</stp>
        <stp>Dts=H</stp>
        <tr r="I205" s="2"/>
      </tp>
      <tp>
        <v>169</v>
        <stp/>
        <stp>##V3_BDPV12</stp>
        <stp>31415BBF5 Mtge</stp>
        <stp>MTG_PREPAY_SPEED</stp>
        <stp>[Copy of 02_cpr_main.xlsx]data!R447C12</stp>
        <tr r="L447" s="2"/>
      </tp>
      <tp>
        <v>169</v>
        <stp/>
        <stp>##V3_BDPV12</stp>
        <stp>31411AYF6 Mtge</stp>
        <stp>MTG_PREPAY_SPEED</stp>
        <stp>[Copy of 02_cpr_main.xlsx]data!R390C12</stp>
        <tr r="L390" s="2"/>
      </tp>
      <tp t="s">
        <v>#N/A N/A</v>
        <stp/>
        <stp>##V3_BDPV12</stp>
        <stp>36201JDG1 Mtge</stp>
        <stp>MTG_PREPAY_SPEED</stp>
        <stp>[Copy of 02_cpr_main.xlsx]data!R471C12</stp>
        <tr r="L471" s="2"/>
      </tp>
      <tp t="s">
        <v>#N/A Invalid Field</v>
        <stp/>
        <stp>##V3_BDHV12</stp>
        <stp>31415WQC0 Mtge</stp>
        <stp>MTG_GEN_CPR_6M</stp>
        <stp>20090331</stp>
        <stp>20090331</stp>
        <stp>[Copy of 02_cpr_main.xlsx]data!R457C6</stp>
        <stp>Dts=H</stp>
        <tr r="F457" s="2"/>
      </tp>
      <tp t="s">
        <v>#N/A Invalid Field</v>
        <stp/>
        <stp>##V3_BDHV12</stp>
        <stp>31406VQ74 Mtge</stp>
        <stp>MTG_GEN_CPR_6M</stp>
        <stp>20090331</stp>
        <stp>20090331</stp>
        <stp>[Copy of 02_cpr_main.xlsx]data!R340C6</stp>
        <stp>Dts=H</stp>
        <tr r="F340" s="2"/>
      </tp>
      <tp>
        <v>182</v>
        <stp/>
        <stp>##V3_BDPV12</stp>
        <stp>31413SHF4 Mtge</stp>
        <stp>MTG_PREPAY_SPEED</stp>
        <stp>[Copy of 02_cpr_main.xlsx]data!R433C12</stp>
        <tr r="L433" s="2"/>
      </tp>
      <tp t="s">
        <v>#N/A N/A</v>
        <stp/>
        <stp>##V3_BDPV12</stp>
        <stp>31294J3N6 Mtge</stp>
        <stp>MTG_PREPAY_SPEED</stp>
        <stp>[Copy of 02_cpr_main.xlsx]data!R126C12</stp>
        <tr r="L126" s="2"/>
      </tp>
      <tp t="s">
        <v>#N/A Invalid Field</v>
        <stp/>
        <stp>##V3_BDHV12</stp>
        <stp>31403R3B2 Mtge</stp>
        <stp>MTG_GEN_CPR_3M</stp>
        <stp>20090331</stp>
        <stp>20090331</stp>
        <stp>[Copy of 02_cpr_main.xlsx]data!R310C5</stp>
        <stp>Dts=H</stp>
        <tr r="E310" s="2"/>
      </tp>
      <tp t="s">
        <v>#N/A Invalid Field</v>
        <stp/>
        <stp>##V3_BDHV12</stp>
        <stp>36201SRB7 Mtge</stp>
        <stp>MTG_GEN_CPR_3M</stp>
        <stp>20090331</stp>
        <stp>20090331</stp>
        <stp>[Copy of 02_cpr_main.xlsx]data!R473C5</stp>
        <stp>Dts=H</stp>
        <tr r="E473" s="2"/>
      </tp>
      <tp t="s">
        <v>#N/A Invalid Field</v>
        <stp/>
        <stp>##V3_BDHV12</stp>
        <stp>31414TSB8 Mtge</stp>
        <stp>MTG_GEN_CPR_3M</stp>
        <stp>20090610</stp>
        <stp>20090610</stp>
        <stp>[Copy of 02_cpr_main.xlsx]data!R445C8</stp>
        <stp>Dts=H</stp>
        <tr r="H445" s="2"/>
      </tp>
      <tp t="s">
        <v>#N/A Invalid Field</v>
        <stp/>
        <stp>##V3_BDHV12</stp>
        <stp>36202SBN7 Mtge</stp>
        <stp>MTG_GEN_CPR_6M</stp>
        <stp>20090331</stp>
        <stp>20090331</stp>
        <stp>[Copy of 02_cpr_main.xlsx]data!R475C6</stp>
        <stp>Dts=H</stp>
        <tr r="F475" s="2"/>
      </tp>
      <tp t="s">
        <v>#N/A Invalid Field</v>
        <stp/>
        <stp>##V3_BDHV12</stp>
        <stp>31414TNR8 Mtge</stp>
        <stp>MTG_GEN_CPR_3M</stp>
        <stp>20090610</stp>
        <stp>20090610</stp>
        <stp>[Copy of 02_cpr_main.xlsx]data!R444C8</stp>
        <stp>Dts=H</stp>
        <tr r="H444" s="2"/>
      </tp>
      <tp t="s">
        <v>#N/A Invalid Field</v>
        <stp/>
        <stp>##V3_BDHV12</stp>
        <stp>31403R4H8 Mtge</stp>
        <stp>MTG_GEN_CPR_3M</stp>
        <stp>20090610</stp>
        <stp>20090610</stp>
        <stp>[Copy of 02_cpr_main.xlsx]data!R311C8</stp>
        <stp>Dts=H</stp>
        <tr r="H311" s="2"/>
      </tp>
      <tp t="s">
        <v>#N/A Invalid Field</v>
        <stp/>
        <stp>##V3_BDHV12</stp>
        <stp>31349UFK9 Mtge</stp>
        <stp>MTG_GEN_CPR_6M</stp>
        <stp>20090331</stp>
        <stp>20090331</stp>
        <stp>[Copy of 02_cpr_main.xlsx]data!R158C6</stp>
        <stp>Dts=H</stp>
        <tr r="F158" s="2"/>
      </tp>
      <tp>
        <v>125</v>
        <stp/>
        <stp>##V3_BDPV12</stp>
        <stp>31368HMA8 Mtge</stp>
        <stp>MTG_PREPAY_SPEED</stp>
        <stp>[Copy of 02_cpr_main.xlsx]data!R160C12</stp>
        <tr r="L160" s="2"/>
      </tp>
      <tp t="s">
        <v>#N/A Invalid Field</v>
        <stp/>
        <stp>##V3_BDHV12</stp>
        <stp>31411X6Z3 Mtge</stp>
        <stp>MTG_GEN_CPR_6M</stp>
        <stp>20090331</stp>
        <stp>20090331</stp>
        <stp>[Copy of 02_cpr_main.xlsx]data!R398C6</stp>
        <stp>Dts=H</stp>
        <tr r="F398" s="2"/>
      </tp>
      <tp t="s">
        <v>#N/A Invalid Field</v>
        <stp/>
        <stp>##V3_BDHV12</stp>
        <stp>31382RRH8 Mtge</stp>
        <stp>MTG_GEN_CPR_3M</stp>
        <stp>20090610</stp>
        <stp>20090610</stp>
        <stp>[Copy of 02_cpr_main.xlsx]data!R202C8</stp>
        <stp>Dts=H</stp>
        <tr r="H202" s="2"/>
      </tp>
      <tp t="s">
        <v>#N/A Invalid Field</v>
        <stp/>
        <stp>##V3_BDHV12</stp>
        <stp>31415TF70 Mtge</stp>
        <stp>MTG_GEN_CPR_6M</stp>
        <stp>20090331</stp>
        <stp>20090331</stp>
        <stp>[Copy of 02_cpr_main.xlsx]data!R455C6</stp>
        <stp>Dts=H</stp>
        <tr r="F455" s="2"/>
      </tp>
      <tp t="s">
        <v>#N/A Invalid Field</v>
        <stp/>
        <stp>##V3_BDHV12</stp>
        <stp>31415TLM0 Mtge</stp>
        <stp>MTG_GEN_CPR_6M</stp>
        <stp>20090331</stp>
        <stp>20090331</stp>
        <stp>[Copy of 02_cpr_main.xlsx]data!R456C6</stp>
        <stp>Dts=H</stp>
        <tr r="F456" s="2"/>
      </tp>
      <tp t="s">
        <v>#N/A N/A</v>
        <stp/>
        <stp>##V3_BDPV12</stp>
        <stp>31413KKF7 Mtge</stp>
        <stp>MTG_PREPAY_SPEED</stp>
        <stp>[Copy of 02_cpr_main.xlsx]data!R425C12</stp>
        <tr r="L425" s="2"/>
      </tp>
      <tp t="s">
        <v>#N/A Invalid Field</v>
        <stp/>
        <stp>##V3_BDHV12</stp>
        <stp>31411GP30 Mtge</stp>
        <stp>MTG_GEN_CPR_3M</stp>
        <stp>20090331</stp>
        <stp>20090331</stp>
        <stp>[Copy of 02_cpr_main.xlsx]data!R392C5</stp>
        <stp>Dts=H</stp>
        <tr r="E392" s="2"/>
      </tp>
      <tp t="s">
        <v>#N/A Invalid Field</v>
        <stp/>
        <stp>##V3_BDHV12</stp>
        <stp>31411GDL3 Mtge</stp>
        <stp>MTG_GEN_CPR_6M</stp>
        <stp>20090331</stp>
        <stp>20090331</stp>
        <stp>[Copy of 02_cpr_main.xlsx]data!R391C6</stp>
        <stp>Dts=H</stp>
        <tr r="F391" s="2"/>
      </tp>
      <tp t="s">
        <v>#N/A Invalid Field</v>
        <stp/>
        <stp>##V3_BDHV12</stp>
        <stp>31407JBC5 Mtge</stp>
        <stp>MTG_GEN_CPR_6M</stp>
        <stp>20090331</stp>
        <stp>20090331</stp>
        <stp>[Copy of 02_cpr_main.xlsx]data!R342C6</stp>
        <stp>Dts=H</stp>
        <tr r="F342" s="2"/>
      </tp>
      <tp t="s">
        <v>#N/A Invalid Field</v>
        <stp/>
        <stp>##V3_BDHV12</stp>
        <stp>31403DGG8 Mtge</stp>
        <stp>MTG_GEN_CPR_6M</stp>
        <stp>20090610</stp>
        <stp>20090610</stp>
        <stp>[Copy of 02_cpr_main.xlsx]data!R299C9</stp>
        <stp>Dts=H</stp>
        <tr r="I299" s="2"/>
      </tp>
      <tp t="s">
        <v>#N/A Invalid Field</v>
        <stp/>
        <stp>##V3_BDHV12</stp>
        <stp>31368HMA8 Mtge</stp>
        <stp>MTG_GEN_CPR_6M</stp>
        <stp>20090331</stp>
        <stp>20090331</stp>
        <stp>[Copy of 02_cpr_main.xlsx]data!R160C6</stp>
        <stp>Dts=H</stp>
        <tr r="F160" s="2"/>
      </tp>
      <tp t="s">
        <v>#N/A Invalid Field</v>
        <stp/>
        <stp>##V3_BDHV12</stp>
        <stp>31414KAV2 Mtge</stp>
        <stp>MTG_GEN_CPR_3M</stp>
        <stp>20090331</stp>
        <stp>20090331</stp>
        <stp>[Copy of 02_cpr_main.xlsx]data!R440C5</stp>
        <stp>Dts=H</stp>
        <tr r="E440" s="2"/>
      </tp>
      <tp t="s">
        <v>#N/A Invalid Field</v>
        <stp/>
        <stp>##V3_BDHV12</stp>
        <stp>36291ACW7 Mtge</stp>
        <stp>MTG_GEN_CPR_3M</stp>
        <stp>20090331</stp>
        <stp>20090331</stp>
        <stp>[Copy of 02_cpr_main.xlsx]data!R499C5</stp>
        <stp>Dts=H</stp>
        <tr r="E499" s="2"/>
      </tp>
      <tp t="s">
        <v>#N/A Invalid Field</v>
        <stp/>
        <stp>##V3_BDHV12</stp>
        <stp>31410KR22 Mtge</stp>
        <stp>MTG_GEN_CPR_6M</stp>
        <stp>20090331</stp>
        <stp>20090331</stp>
        <stp>[Copy of 02_cpr_main.xlsx]data!R374C6</stp>
        <stp>Dts=H</stp>
        <tr r="F374" s="2"/>
      </tp>
      <tp t="s">
        <v>#N/A Invalid Field</v>
        <stp/>
        <stp>##V3_BDHV12</stp>
        <stp>31410KUN2 Mtge</stp>
        <stp>MTG_GEN_CPR_6M</stp>
        <stp>20090331</stp>
        <stp>20090331</stp>
        <stp>[Copy of 02_cpr_main.xlsx]data!R377C6</stp>
        <stp>Dts=H</stp>
        <tr r="F377" s="2"/>
      </tp>
      <tp t="s">
        <v>#N/A Invalid Field</v>
        <stp/>
        <stp>##V3_BDHV12</stp>
        <stp>36225BAP3 Mtge</stp>
        <stp>MTG_GEN_CPR_3M</stp>
        <stp>20090331</stp>
        <stp>20090331</stp>
        <stp>[Copy of 02_cpr_main.xlsx]data!R490C5</stp>
        <stp>Dts=H</stp>
        <tr r="E490" s="2"/>
      </tp>
      <tp t="s">
        <v>#N/A Invalid Field</v>
        <stp/>
        <stp>##V3_BDHV12</stp>
        <stp>36225BG93 Mtge</stp>
        <stp>MTG_GEN_CPR_3M</stp>
        <stp>20090331</stp>
        <stp>20090331</stp>
        <stp>[Copy of 02_cpr_main.xlsx]data!R492C5</stp>
        <stp>Dts=H</stp>
        <tr r="E492" s="2"/>
      </tp>
      <tp t="s">
        <v>#N/A Invalid Field</v>
        <stp/>
        <stp>##V3_BDHV12</stp>
        <stp>31413NCZ6 Mtge</stp>
        <stp>MTG_GEN_CPR_6M</stp>
        <stp>20090331</stp>
        <stp>20090331</stp>
        <stp>[Copy of 02_cpr_main.xlsx]data!R429C6</stp>
        <stp>Dts=H</stp>
        <tr r="F429" s="2"/>
      </tp>
      <tp t="s">
        <v>#N/A Invalid Field</v>
        <stp/>
        <stp>##V3_BDHV12</stp>
        <stp>31335H4K6 Mtge</stp>
        <stp>MTG_GEN_CPR_3M</stp>
        <stp>20090331</stp>
        <stp>20090331</stp>
        <stp>[Copy of 02_cpr_main.xlsx]data!R154C5</stp>
        <stp>Dts=H</stp>
        <tr r="E154" s="2"/>
      </tp>
      <tp t="s">
        <v>#N/A Invalid Field</v>
        <stp/>
        <stp>##V3_BDHV12</stp>
        <stp>31371K6K2 Mtge</stp>
        <stp>MTG_GEN_CPR_3M</stp>
        <stp>20090331</stp>
        <stp>20090331</stp>
        <stp>[Copy of 02_cpr_main.xlsx]data!R169C5</stp>
        <stp>Dts=H</stp>
        <tr r="E169" s="2"/>
      </tp>
      <tp t="s">
        <v>#N/A Invalid Field</v>
        <stp/>
        <stp>##V3_BDHV12</stp>
        <stp>31403DDL0 Mtge</stp>
        <stp>MTG_GEN_CPR_6M</stp>
        <stp>20090331</stp>
        <stp>20090331</stp>
        <stp>[Copy of 02_cpr_main.xlsx]data!R296C6</stp>
        <stp>Dts=H</stp>
        <tr r="F296" s="2"/>
      </tp>
      <tp t="s">
        <v>#N/A Invalid Field</v>
        <stp/>
        <stp>##V3_BDHV12</stp>
        <stp>31368HME0 Mtge</stp>
        <stp>MTG_GEN_CPR_6M</stp>
        <stp>20090610</stp>
        <stp>20090610</stp>
        <stp>[Copy of 02_cpr_main.xlsx]data!R161C9</stp>
        <stp>Dts=H</stp>
        <tr r="I161" s="2"/>
      </tp>
      <tp t="s">
        <v>#N/A Invalid Field</v>
        <stp/>
        <stp>##V3_BDHV12</stp>
        <stp>31380GNU9 Mtge</stp>
        <stp>MTG_GEN_CPR_3M</stp>
        <stp>20090610</stp>
        <stp>20090610</stp>
        <stp>[Copy of 02_cpr_main.xlsx]data!R191C8</stp>
        <stp>Dts=H</stp>
        <tr r="H191" s="2"/>
      </tp>
      <tp t="s">
        <v>#N/A Invalid Field</v>
        <stp/>
        <stp>##V3_BDHV12</stp>
        <stp>31403C6L0 Mtge</stp>
        <stp>MTG_GEN_CPR_6M</stp>
        <stp>20090331</stp>
        <stp>20090331</stp>
        <stp>[Copy of 02_cpr_main.xlsx]data!R293C6</stp>
        <stp>Dts=H</stp>
        <tr r="F293" s="2"/>
      </tp>
      <tp t="s">
        <v>#N/A Invalid Field</v>
        <stp/>
        <stp>##V3_BDHV12</stp>
        <stp>31403C2Z3 Mtge</stp>
        <stp>MTG_GEN_CPR_3M</stp>
        <stp>20090331</stp>
        <stp>20090331</stp>
        <stp>[Copy of 02_cpr_main.xlsx]data!R292C5</stp>
        <stp>Dts=H</stp>
        <tr r="E292" s="2"/>
      </tp>
      <tp t="s">
        <v>#N/A Invalid Field</v>
        <stp/>
        <stp>##V3_BDHV12</stp>
        <stp>31410M4L1 Mtge</stp>
        <stp>MTG_GEN_CPR_3M</stp>
        <stp>20090331</stp>
        <stp>20090331</stp>
        <stp>[Copy of 02_cpr_main.xlsx]data!R378C5</stp>
        <stp>Dts=H</stp>
        <tr r="E378" s="2"/>
      </tp>
      <tp t="s">
        <v>#N/A Invalid Field</v>
        <stp/>
        <stp>##V3_BDHV12</stp>
        <stp>31371MWJ2 Mtge</stp>
        <stp>MTG_GEN_CPR_3M</stp>
        <stp>20090331</stp>
        <stp>20090331</stp>
        <stp>[Copy of 02_cpr_main.xlsx]data!R179C5</stp>
        <stp>Dts=H</stp>
        <tr r="E179" s="2"/>
      </tp>
      <tp t="s">
        <v>#N/A Invalid Field</v>
        <stp/>
        <stp>##V3_BDHV12</stp>
        <stp>36201JFW4 Mtge</stp>
        <stp>MTG_GEN_CPR_6M</stp>
        <stp>20090331</stp>
        <stp>20090331</stp>
        <stp>[Copy of 02_cpr_main.xlsx]data!R472C6</stp>
        <stp>Dts=H</stp>
        <tr r="F472" s="2"/>
      </tp>
      <tp t="s">
        <v>#N/A Invalid Field</v>
        <stp/>
        <stp>##V3_BDHV12</stp>
        <stp>31406H3D7 Mtge</stp>
        <stp>MTG_GEN_CPR_3M</stp>
        <stp>20090331</stp>
        <stp>20090331</stp>
        <stp>[Copy of 02_cpr_main.xlsx]data!R337C5</stp>
        <stp>Dts=H</stp>
        <tr r="E337" s="2"/>
      </tp>
      <tp t="s">
        <v>#N/A Invalid Field</v>
        <stp/>
        <stp>##V3_BDHV12</stp>
        <stp>31371LQW2 Mtge</stp>
        <stp>MTG_GEN_CPR_3M</stp>
        <stp>20090331</stp>
        <stp>20090331</stp>
        <stp>[Copy of 02_cpr_main.xlsx]data!R176C5</stp>
        <stp>Dts=H</stp>
        <tr r="E176" s="2"/>
      </tp>
      <tp t="s">
        <v>#N/A Invalid Field</v>
        <stp/>
        <stp>##V3_BDHV12</stp>
        <stp>36211DPQ7 Mtge</stp>
        <stp>MTG_GEN_CPR_3M</stp>
        <stp>20090331</stp>
        <stp>20090331</stp>
        <stp>[Copy of 02_cpr_main.xlsx]data!R486C5</stp>
        <stp>Dts=H</stp>
        <tr r="E486" s="2"/>
      </tp>
      <tp t="s">
        <v>#N/A Invalid Field</v>
        <stp/>
        <stp>##V3_BDHV12</stp>
        <stp>31403KRB1 Mtge</stp>
        <stp>MTG_GEN_CPR_6M</stp>
        <stp>20090331</stp>
        <stp>20090331</stp>
        <stp>[Copy of 02_cpr_main.xlsx]data!R308C6</stp>
        <stp>Dts=H</stp>
        <tr r="F308" s="2"/>
      </tp>
      <tp t="s">
        <v>#N/A Invalid Field</v>
        <stp/>
        <stp>##V3_BDHV12</stp>
        <stp>31371LDY2 Mtge</stp>
        <stp>MTG_GEN_CPR_3M</stp>
        <stp>20090331</stp>
        <stp>20090331</stp>
        <stp>[Copy of 02_cpr_main.xlsx]data!R175C5</stp>
        <stp>Dts=H</stp>
        <tr r="E175" s="2"/>
      </tp>
      <tp t="s">
        <v>#N/A Invalid Field</v>
        <stp/>
        <stp>##V3_BDHV12</stp>
        <stp>31391HFQ2 Mtge</stp>
        <stp>MTG_GEN_CPR_6M</stp>
        <stp>20090331</stp>
        <stp>20090331</stp>
        <stp>[Copy of 02_cpr_main.xlsx]data!R236C6</stp>
        <stp>Dts=H</stp>
        <tr r="F236" s="2"/>
      </tp>
      <tp t="s">
        <v>#N/A Invalid Field</v>
        <stp/>
        <stp>##V3_BDHV12</stp>
        <stp>31385JJF6 Mtge</stp>
        <stp>MTG_GEN_CPR_6M</stp>
        <stp>20090331</stp>
        <stp>20090331</stp>
        <stp>[Copy of 02_cpr_main.xlsx]data!R215C6</stp>
        <stp>Dts=H</stp>
        <tr r="F215" s="2"/>
      </tp>
      <tp t="s">
        <v>#N/A Invalid Field</v>
        <stp/>
        <stp>##V3_BDHV12</stp>
        <stp>31389HN79 Mtge</stp>
        <stp>MTG_GEN_CPR_3M</stp>
        <stp>20090331</stp>
        <stp>20090331</stp>
        <stp>[Copy of 02_cpr_main.xlsx]data!R230C5</stp>
        <stp>Dts=H</stp>
        <tr r="E230" s="2"/>
      </tp>
      <tp t="s">
        <v>#N/A Invalid Field</v>
        <stp/>
        <stp>##V3_BDHV12</stp>
        <stp>36213GSU6 Mtge</stp>
        <stp>MTG_GEN_CPR_6M</stp>
        <stp>20090331</stp>
        <stp>20090331</stp>
        <stp>[Copy of 02_cpr_main.xlsx]data!R488C6</stp>
        <stp>Dts=H</stp>
        <tr r="F488" s="2"/>
      </tp>
      <tp t="s">
        <v>#N/A Invalid Field</v>
        <stp/>
        <stp>##V3_BDHV12</stp>
        <stp>31414LAH1 Mtge</stp>
        <stp>MTG_GEN_CPR_6M</stp>
        <stp>20090331</stp>
        <stp>20090331</stp>
        <stp>[Copy of 02_cpr_main.xlsx]data!R441C6</stp>
        <stp>Dts=H</stp>
        <tr r="F441" s="2"/>
      </tp>
      <tp t="s">
        <v>#N/A Invalid Field</v>
        <stp/>
        <stp>##V3_BDHV12</stp>
        <stp>31391KAL1 Mtge</stp>
        <stp>MTG_GEN_CPR_3M</stp>
        <stp>20090331</stp>
        <stp>20090331</stp>
        <stp>[Copy of 02_cpr_main.xlsx]data!R237C5</stp>
        <stp>Dts=H</stp>
        <tr r="E237" s="2"/>
      </tp>
      <tp t="s">
        <v>#N/A Invalid Field</v>
        <stp/>
        <stp>##V3_BDHV12</stp>
        <stp>31413JJ96 Mtge</stp>
        <stp>MTG_GEN_CPR_6M</stp>
        <stp>20090331</stp>
        <stp>20090331</stp>
        <stp>[Copy of 02_cpr_main.xlsx]data!R421C6</stp>
        <stp>Dts=H</stp>
        <tr r="F421" s="2"/>
      </tp>
      <tp t="s">
        <v>#N/A Invalid Field</v>
        <stp/>
        <stp>##V3_BDHV12</stp>
        <stp>31413K5A5 Mtge</stp>
        <stp>MTG_GEN_CPR_3M</stp>
        <stp>20090331</stp>
        <stp>20090331</stp>
        <stp>[Copy of 02_cpr_main.xlsx]data!R423C5</stp>
        <stp>Dts=H</stp>
        <tr r="E423" s="2"/>
      </tp>
      <tp t="s">
        <v>#N/A Invalid Field</v>
        <stp/>
        <stp>##V3_BDHV12</stp>
        <stp>31292G2K1 Mtge</stp>
        <stp>MTG_GEN_CPR_3M</stp>
        <stp>20090331</stp>
        <stp>20090331</stp>
        <stp>[Copy of 02_cpr_main.xlsx]data!R113C5</stp>
        <stp>Dts=H</stp>
        <tr r="E113" s="2"/>
      </tp>
      <tp t="s">
        <v>#N/A Invalid Field</v>
        <stp/>
        <stp>##V3_BDHV12</stp>
        <stp>31402C5E8 Mtge</stp>
        <stp>MTG_GEN_CPR_3M</stp>
        <stp>20090610</stp>
        <stp>20090610</stp>
        <stp>[Copy of 02_cpr_main.xlsx]data!R263C8</stp>
        <stp>Dts=H</stp>
        <tr r="H263" s="2"/>
      </tp>
      <tp t="s">
        <v>#N/A Invalid Field</v>
        <stp/>
        <stp>##V3_BDHV12</stp>
        <stp>31402CQZ8 Mtge</stp>
        <stp>MTG_GEN_CPR_3M</stp>
        <stp>20090610</stp>
        <stp>20090610</stp>
        <stp>[Copy of 02_cpr_main.xlsx]data!R265C8</stp>
        <stp>Dts=H</stp>
        <tr r="H265" s="2"/>
      </tp>
      <tp t="s">
        <v>#N/A Invalid Field</v>
        <stp/>
        <stp>##V3_BDHV12</stp>
        <stp>31402CTT9 Mtge</stp>
        <stp>MTG_GEN_CPR_6M</stp>
        <stp>20090610</stp>
        <stp>20090610</stp>
        <stp>[Copy of 02_cpr_main.xlsx]data!R266C9</stp>
        <stp>Dts=H</stp>
        <tr r="I266" s="2"/>
      </tp>
      <tp t="s">
        <v>#N/A Invalid Field</v>
        <stp/>
        <stp>##V3_BDHV12</stp>
        <stp>31414FPH8 Mtge</stp>
        <stp>MTG_GEN_CPR_3M</stp>
        <stp>20090610</stp>
        <stp>20090610</stp>
        <stp>[Copy of 02_cpr_main.xlsx]data!R438C8</stp>
        <stp>Dts=H</stp>
        <tr r="H438" s="2"/>
      </tp>
      <tp t="s">
        <v>#N/A Invalid Field</v>
        <stp/>
        <stp>##V3_BDHV12</stp>
        <stp>31415BNG0 Mtge</stp>
        <stp>MTG_GEN_CPR_6M</stp>
        <stp>20090331</stp>
        <stp>20090331</stp>
        <stp>[Copy of 02_cpr_main.xlsx]data!R448C6</stp>
        <stp>Dts=H</stp>
        <tr r="F448" s="2"/>
      </tp>
      <tp t="s">
        <v>#N/A Invalid Field</v>
        <stp/>
        <stp>##V3_BDHV12</stp>
        <stp>31404GGN5 Mtge</stp>
        <stp>MTG_GEN_CPR_3M</stp>
        <stp>20090331</stp>
        <stp>20090331</stp>
        <stp>[Copy of 02_cpr_main.xlsx]data!R313C5</stp>
        <stp>Dts=H</stp>
        <tr r="E313" s="2"/>
      </tp>
      <tp t="s">
        <v>#N/A Invalid Field</v>
        <stp/>
        <stp>##V3_BDHV12</stp>
        <stp>31403EDC8 Mtge</stp>
        <stp>MTG_GEN_CPR_3M</stp>
        <stp>20090610</stp>
        <stp>20090610</stp>
        <stp>[Copy of 02_cpr_main.xlsx]data!R305C8</stp>
        <stp>Dts=H</stp>
        <tr r="H305" s="2"/>
      </tp>
      <tp t="s">
        <v>#N/A Invalid Field</v>
        <stp/>
        <stp>##V3_BDHV12</stp>
        <stp>31403DR68 Mtge</stp>
        <stp>MTG_GEN_CPR_3M</stp>
        <stp>20090610</stp>
        <stp>20090610</stp>
        <stp>[Copy of 02_cpr_main.xlsx]data!R301C8</stp>
        <stp>Dts=H</stp>
        <tr r="H301" s="2"/>
      </tp>
      <tp t="s">
        <v>#N/A Invalid Field</v>
        <stp/>
        <stp>##V3_BDHV12</stp>
        <stp>31403DWU9 Mtge</stp>
        <stp>MTG_GEN_CPR_6M</stp>
        <stp>20090610</stp>
        <stp>20090610</stp>
        <stp>[Copy of 02_cpr_main.xlsx]data!R304C9</stp>
        <stp>Dts=H</stp>
        <tr r="I304" s="2"/>
      </tp>
      <tp t="s">
        <v>#N/A Invalid Field</v>
        <stp/>
        <stp>##V3_BDHV12</stp>
        <stp>31403DQT9 Mtge</stp>
        <stp>MTG_GEN_CPR_6M</stp>
        <stp>20090610</stp>
        <stp>20090610</stp>
        <stp>[Copy of 02_cpr_main.xlsx]data!R300C9</stp>
        <stp>Dts=H</stp>
        <tr r="I300" s="2"/>
      </tp>
      <tp t="s">
        <v>#N/A Invalid Field</v>
        <stp/>
        <stp>##V3_BDHV12</stp>
        <stp>31403DV22 Mtge</stp>
        <stp>MTG_GEN_CPR_3M</stp>
        <stp>20090331</stp>
        <stp>20090331</stp>
        <stp>[Copy of 02_cpr_main.xlsx]data!R303C5</stp>
        <stp>Dts=H</stp>
        <tr r="E303" s="2"/>
      </tp>
      <tp t="s">
        <v>#N/A Invalid Field</v>
        <stp/>
        <stp>##V3_BDHV12</stp>
        <stp>31412DYV4 Mtge</stp>
        <stp>MTG_GEN_CPR_3M</stp>
        <stp>20090331</stp>
        <stp>20090331</stp>
        <stp>[Copy of 02_cpr_main.xlsx]data!R404C5</stp>
        <stp>Dts=H</stp>
        <tr r="E404" s="2"/>
      </tp>
      <tp t="s">
        <v>#N/A Invalid Field</v>
        <stp/>
        <stp>##V3_BDHV12</stp>
        <stp>31402BGQ1 Mtge</stp>
        <stp>MTG_GEN_CPR_6M</stp>
        <stp>20090331</stp>
        <stp>20090331</stp>
        <stp>[Copy of 02_cpr_main.xlsx]data!R262C6</stp>
        <stp>Dts=H</stp>
        <tr r="F262" s="2"/>
      </tp>
      <tp t="s">
        <v>#N/A Invalid Field</v>
        <stp/>
        <stp>##V3_BDHV12</stp>
        <stp>31415A3C3 Mtge</stp>
        <stp>MTG_GEN_CPR_3M</stp>
        <stp>20090331</stp>
        <stp>20090331</stp>
        <stp>[Copy of 02_cpr_main.xlsx]data!R446C5</stp>
        <stp>Dts=H</stp>
        <tr r="E446" s="2"/>
      </tp>
      <tp t="s">
        <v>#N/A Invalid Field</v>
        <stp/>
        <stp>##V3_BDHV12</stp>
        <stp>31403F6S8 Mtge</stp>
        <stp>MTG_GEN_CPR_3M</stp>
        <stp>20090610</stp>
        <stp>20090610</stp>
        <stp>[Copy of 02_cpr_main.xlsx]data!R306C8</stp>
        <stp>Dts=H</stp>
        <tr r="H306" s="2"/>
      </tp>
      <tp t="s">
        <v>#N/A Invalid Field</v>
        <stp/>
        <stp>##V3_BDHV12</stp>
        <stp>31371NJD8 Mtge</stp>
        <stp>MTG_GEN_CPR_3M</stp>
        <stp>20090610</stp>
        <stp>20090610</stp>
        <stp>[Copy of 02_cpr_main.xlsx]data!R181C8</stp>
        <stp>Dts=H</stp>
        <tr r="H181" s="2"/>
      </tp>
      <tp t="s">
        <v>#N/A Invalid Field</v>
        <stp/>
        <stp>##V3_BDHV12</stp>
        <stp>31400AMX3 Mtge</stp>
        <stp>MTG_GEN_CPR_6M</stp>
        <stp>20090331</stp>
        <stp>20090331</stp>
        <stp>[Copy of 02_cpr_main.xlsx]data!R244C6</stp>
        <stp>Dts=H</stp>
        <tr r="F244" s="2"/>
      </tp>
      <tp t="s">
        <v>#N/A Invalid Field</v>
        <stp/>
        <stp>##V3_BDHV12</stp>
        <stp>31414CV88 Mtge</stp>
        <stp>MTG_GEN_CPR_3M</stp>
        <stp>20090610</stp>
        <stp>20090610</stp>
        <stp>[Copy of 02_cpr_main.xlsx]data!R435C8</stp>
        <stp>Dts=H</stp>
        <tr r="H435" s="2"/>
      </tp>
      <tp t="s">
        <v>#N/A Invalid Field</v>
        <stp/>
        <stp>##V3_BDHV12</stp>
        <stp>31410EPE2 Mtge</stp>
        <stp>MTG_GEN_CPR_6M</stp>
        <stp>20090331</stp>
        <stp>20090331</stp>
        <stp>[Copy of 02_cpr_main.xlsx]data!R361C6</stp>
        <stp>Dts=H</stp>
        <tr r="F361" s="2"/>
      </tp>
      <tp t="s">
        <v>#N/A Invalid Field</v>
        <stp/>
        <stp>##V3_BDHV12</stp>
        <stp>31298EZD0 Mtge</stp>
        <stp>MTG_GEN_CPR_6M</stp>
        <stp>20090610</stp>
        <stp>20090610</stp>
        <stp>[Copy of 02_cpr_main.xlsx]data!R152C9</stp>
        <stp>Dts=H</stp>
        <tr r="I152" s="2"/>
      </tp>
      <tp t="s">
        <v>#N/A Invalid Field</v>
        <stp/>
        <stp>##V3_BDHV12</stp>
        <stp>31405AZR7 Mtge</stp>
        <stp>MTG_GEN_CPR_6M</stp>
        <stp>20090331</stp>
        <stp>20090331</stp>
        <stp>[Copy of 02_cpr_main.xlsx]data!R323C6</stp>
        <stp>Dts=H</stp>
        <tr r="F323" s="2"/>
      </tp>
      <tp t="s">
        <v>#N/A Invalid Field</v>
        <stp/>
        <stp>##V3_BDHV12</stp>
        <stp>31402DP79 Mtge</stp>
        <stp>MTG_GEN_CPR_6M</stp>
        <stp>20090610</stp>
        <stp>20090610</stp>
        <stp>[Copy of 02_cpr_main.xlsx]data!R270C9</stp>
        <stp>Dts=H</stp>
        <tr r="I270" s="2"/>
      </tp>
      <tp t="s">
        <v>#N/A Invalid Field</v>
        <stp/>
        <stp>##V3_BDHV12</stp>
        <stp>31413AGJ6 Mtge</stp>
        <stp>MTG_GEN_CPR_6M</stp>
        <stp>20090331</stp>
        <stp>20090331</stp>
        <stp>[Copy of 02_cpr_main.xlsx]data!R416C6</stp>
        <stp>Dts=H</stp>
        <tr r="F416" s="2"/>
      </tp>
      <tp t="s">
        <v>#N/A Invalid Field</v>
        <stp/>
        <stp>##V3_BDHV12</stp>
        <stp>312967XJ6 Mtge</stp>
        <stp>MTG_GEN_CPR_6M</stp>
        <stp>20090331</stp>
        <stp>20090331</stp>
        <stp>[Copy of 02_cpr_main.xlsx]data!R142C6</stp>
        <stp>Dts=H</stp>
        <tr r="F142" s="2"/>
      </tp>
      <tp t="s">
        <v>#N/A Invalid Field</v>
        <stp/>
        <stp>##V3_BDHV12</stp>
        <stp>3128MBZR1 Mtge</stp>
        <stp>MTG_GEN_CPR_12M</stp>
        <stp>20090331</stp>
        <stp>20090331</stp>
        <stp>[Copy of 02_cpr_main.xlsx]data!R96C7</stp>
        <stp>Dts=H</stp>
        <tr r="G96" s="2"/>
      </tp>
    </main>
    <main first="bloomberg.rtd">
      <tp t="s">
        <v>#N/A Invalid Field</v>
        <stp/>
        <stp>##V3_BDHV12</stp>
        <stp>31410V2L3 Mtge</stp>
        <stp>MTG_GEN_CPR_6M</stp>
        <stp>20090331</stp>
        <stp>20090331</stp>
        <stp>[Copy of 02_cpr_main.xlsx]data!R386C6</stp>
        <stp>Dts=H</stp>
        <tr r="F386" s="2"/>
      </tp>
      <tp t="s">
        <v>#N/A Invalid Field</v>
        <stp/>
        <stp>##V3_BDHV12</stp>
        <stp>31402UHZ8 Mtge</stp>
        <stp>MTG_GEN_CPR_6M</stp>
        <stp>20090610</stp>
        <stp>20090610</stp>
        <stp>[Copy of 02_cpr_main.xlsx]data!R289C9</stp>
        <stp>Dts=H</stp>
        <tr r="I289" s="2"/>
      </tp>
      <tp t="s">
        <v>#N/A Invalid Field</v>
        <stp/>
        <stp>##V3_BDHV12</stp>
        <stp>31409XHN2 Mtge</stp>
        <stp>MTG_GEN_CPR_6M</stp>
        <stp>20090610</stp>
        <stp>20090610</stp>
        <stp>[Copy of 02_cpr_main.xlsx]data!R356C9</stp>
        <stp>Dts=H</stp>
        <tr r="I356" s="2"/>
      </tp>
      <tp t="s">
        <v>#N/A Invalid Field</v>
        <stp/>
        <stp>##V3_BDHV12</stp>
        <stp>31417YAY3 Mtge</stp>
        <stp>MTG_GEN_CPR_6M</stp>
        <stp>20090331</stp>
        <stp>20090331</stp>
        <stp>[Copy of 02_cpr_main.xlsx]data!R462C6</stp>
        <stp>Dts=H</stp>
        <tr r="F462" s="2"/>
      </tp>
      <tp t="s">
        <v>#N/A Invalid Field</v>
        <stp/>
        <stp>##V3_BDHV12</stp>
        <stp>3128M1L80 Mtge</stp>
        <stp>MTG_GEN_CPR_12M</stp>
        <stp>20090331</stp>
        <stp>20090331</stp>
        <stp>[Copy of 02_cpr_main.xlsx]data!R83C7</stp>
        <stp>Dts=H</stp>
        <tr r="G83" s="2"/>
      </tp>
      <tp t="s">
        <v>#N/A Invalid Field</v>
        <stp/>
        <stp>##V3_BDHV12</stp>
        <stp>31380V6X9 Mtge</stp>
        <stp>MTG_GEN_CPR_6M</stp>
        <stp>20090610</stp>
        <stp>20090610</stp>
        <stp>[Copy of 02_cpr_main.xlsx]data!R193C9</stp>
        <stp>Dts=H</stp>
        <tr r="I193" s="2"/>
      </tp>
      <tp t="s">
        <v>#N/A Invalid Field</v>
        <stp/>
        <stp>##V3_BDHV12</stp>
        <stp>31411UDL2 Mtge</stp>
        <stp>MTG_GEN_CPR_6M</stp>
        <stp>20090331</stp>
        <stp>20090331</stp>
        <stp>[Copy of 02_cpr_main.xlsx]data!R395C6</stp>
        <stp>Dts=H</stp>
        <tr r="F395" s="2"/>
      </tp>
      <tp t="s">
        <v>#N/A Invalid Field</v>
        <stp/>
        <stp>##V3_BDHV12</stp>
        <stp>31391YTH0 Mtge</stp>
        <stp>MTG_GEN_CPR_3M</stp>
        <stp>20090331</stp>
        <stp>20090331</stp>
        <stp>[Copy of 02_cpr_main.xlsx]data!R243C5</stp>
        <stp>Dts=H</stp>
        <tr r="E243" s="2"/>
      </tp>
      <tp t="s">
        <v>#N/A Invalid Field</v>
        <stp/>
        <stp>##V3_BDHV12</stp>
        <stp>31415XJE2 Mtge</stp>
        <stp>MTG_GEN_CPR_3M</stp>
        <stp>20090331</stp>
        <stp>20090331</stp>
        <stp>[Copy of 02_cpr_main.xlsx]data!R458C5</stp>
        <stp>Dts=H</stp>
        <tr r="E458" s="2"/>
      </tp>
      <tp t="s">
        <v>#N/A Invalid Field</v>
        <stp/>
        <stp>##V3_BDHV12</stp>
        <stp>31402WMC9 Mtge</stp>
        <stp>MTG_GEN_CPR_3M</stp>
        <stp>20090610</stp>
        <stp>20090610</stp>
        <stp>[Copy of 02_cpr_main.xlsx]data!R290C8</stp>
        <stp>Dts=H</stp>
        <tr r="H290" s="2"/>
      </tp>
      <tp t="s">
        <v>#N/A Invalid Field</v>
        <stp/>
        <stp>##V3_BDHV12</stp>
        <stp>3128M4VW0 Mtge</stp>
        <stp>MTG_GEN_CPR_12M</stp>
        <stp>20090331</stp>
        <stp>20090331</stp>
        <stp>[Copy of 02_cpr_main.xlsx]data!R85C7</stp>
        <stp>Dts=H</stp>
        <tr r="G85" s="2"/>
      </tp>
      <tp t="s">
        <v>#N/A Invalid Field</v>
        <stp/>
        <stp>##V3_BDHV12</stp>
        <stp>31402RD30 Mtge</stp>
        <stp>MTG_GEN_CPR_6M</stp>
        <stp>20090331</stp>
        <stp>20090331</stp>
        <stp>[Copy of 02_cpr_main.xlsx]data!R281C6</stp>
        <stp>Dts=H</stp>
        <tr r="F281" s="2"/>
      </tp>
      <tp t="s">
        <v>#N/A Invalid Field</v>
        <stp/>
        <stp>##V3_BDHV12</stp>
        <stp>31385XEC7 Mtge</stp>
        <stp>MTG_GEN_CPR_6M</stp>
        <stp>20090331</stp>
        <stp>20090331</stp>
        <stp>[Copy of 02_cpr_main.xlsx]data!R221C6</stp>
        <stp>Dts=H</stp>
        <tr r="F221" s="2"/>
      </tp>
      <tp t="s">
        <v>#N/A Invalid Field</v>
        <stp/>
        <stp>##V3_BDHV12</stp>
        <stp>31385XLV7 Mtge</stp>
        <stp>MTG_GEN_CPR_6M</stp>
        <stp>20090331</stp>
        <stp>20090331</stp>
        <stp>[Copy of 02_cpr_main.xlsx]data!R225C6</stp>
        <stp>Dts=H</stp>
        <tr r="F225" s="2"/>
      </tp>
      <tp t="s">
        <v>#N/A Invalid Field</v>
        <stp/>
        <stp>##V3_BDHV12</stp>
        <stp>31385XLM7 Mtge</stp>
        <stp>MTG_GEN_CPR_6M</stp>
        <stp>20090331</stp>
        <stp>20090331</stp>
        <stp>[Copy of 02_cpr_main.xlsx]data!R224C6</stp>
        <stp>Dts=H</stp>
        <tr r="F224" s="2"/>
      </tp>
      <tp t="s">
        <v>#N/A Invalid Field</v>
        <stp/>
        <stp>##V3_BDHV12</stp>
        <stp>31380RMS1 Mtge</stp>
        <stp>MTG_GEN_CPR_6M</stp>
        <stp>20090331</stp>
        <stp>20090331</stp>
        <stp>[Copy of 02_cpr_main.xlsx]data!R192C6</stp>
        <stp>Dts=H</stp>
        <tr r="F192" s="2"/>
      </tp>
      <tp t="s">
        <v>#N/A N/A</v>
        <stp/>
        <stp>##V3_BDPV12</stp>
        <stp>31401GLF9 Mtge</stp>
        <stp>MTG_PREPAY_SPEED</stp>
        <stp>[Copy of 02_cpr_main.xlsx]data!R253C12</stp>
        <tr r="L253" s="2"/>
      </tp>
      <tp t="s">
        <v>#N/A Invalid Field</v>
        <stp/>
        <stp>##V3_BDHV12</stp>
        <stp>31382XQE3 Mtge</stp>
        <stp>MTG_GEN_CPR_3M</stp>
        <stp>20090331</stp>
        <stp>20090331</stp>
        <stp>[Copy of 02_cpr_main.xlsx]data!R206C5</stp>
        <stp>Dts=H</stp>
        <tr r="E206" s="2"/>
      </tp>
      <tp t="s">
        <v>#N/A Invalid Field</v>
        <stp/>
        <stp>##V3_BDHV12</stp>
        <stp>31412YFJ6 Mtge</stp>
        <stp>MTG_GEN_CPR_6M</stp>
        <stp>20090331</stp>
        <stp>20090331</stp>
        <stp>[Copy of 02_cpr_main.xlsx]data!R415C6</stp>
        <stp>Dts=H</stp>
        <tr r="F415" s="2"/>
      </tp>
      <tp t="s">
        <v>#N/A Invalid Field</v>
        <stp/>
        <stp>##V3_BDHV12</stp>
        <stp>3128M6UU0 Mtge</stp>
        <stp>MTG_GEN_CPR_12M</stp>
        <stp>20090331</stp>
        <stp>20090331</stp>
        <stp>[Copy of 02_cpr_main.xlsx]data!R91C7</stp>
        <stp>Dts=H</stp>
        <tr r="G91" s="2"/>
      </tp>
      <tp t="s">
        <v>#N/A Invalid Field</v>
        <stp/>
        <stp>##V3_BDHV12</stp>
        <stp>31402REL9 Mtge</stp>
        <stp>MTG_GEN_CPR_3M</stp>
        <stp>20090610</stp>
        <stp>20090610</stp>
        <stp>[Copy of 02_cpr_main.xlsx]data!R282C8</stp>
        <stp>Dts=H</stp>
        <tr r="H282" s="2"/>
      </tp>
      <tp t="s">
        <v>#N/A Invalid Field</v>
        <stp/>
        <stp>##V3_BDHV12</stp>
        <stp>31411YGA5 Mtge</stp>
        <stp>MTG_GEN_CPR_6M</stp>
        <stp>20090331</stp>
        <stp>20090331</stp>
        <stp>[Copy of 02_cpr_main.xlsx]data!R400C6</stp>
        <stp>Dts=H</stp>
        <tr r="F400" s="2"/>
      </tp>
      <tp t="s">
        <v>#N/A Invalid Field</v>
        <stp/>
        <stp>##V3_BDHV12</stp>
        <stp>31402RCV9 Mtge</stp>
        <stp>MTG_GEN_CPR_3M</stp>
        <stp>20090610</stp>
        <stp>20090610</stp>
        <stp>[Copy of 02_cpr_main.xlsx]data!R280C8</stp>
        <stp>Dts=H</stp>
        <tr r="H280" s="2"/>
      </tp>
      <tp t="s">
        <v>#N/A Invalid Field</v>
        <stp/>
        <stp>##V3_BDHV12</stp>
        <stp>36201YC95 Mtge</stp>
        <stp>MTG_GEN_CPR_6M</stp>
        <stp>20090331</stp>
        <stp>20090331</stp>
        <stp>[Copy of 02_cpr_main.xlsx]data!R474C6</stp>
        <stp>Dts=H</stp>
        <tr r="F474" s="2"/>
      </tp>
      <tp t="s">
        <v>#N/A Invalid Field</v>
        <stp/>
        <stp>##V3_BDHV12</stp>
        <stp>31402RH28 Mtge</stp>
        <stp>MTG_GEN_CPR_6M</stp>
        <stp>20090610</stp>
        <stp>20090610</stp>
        <stp>[Copy of 02_cpr_main.xlsx]data!R284C9</stp>
        <stp>Dts=H</stp>
        <tr r="I284" s="2"/>
      </tp>
      <tp t="s">
        <v>#N/A Invalid Field</v>
        <stp/>
        <stp>##V3_BDHV12</stp>
        <stp>31402RLV9 Mtge</stp>
        <stp>MTG_GEN_CPR_3M</stp>
        <stp>20090610</stp>
        <stp>20090610</stp>
        <stp>[Copy of 02_cpr_main.xlsx]data!R286C8</stp>
        <stp>Dts=H</stp>
        <tr r="H286" s="2"/>
      </tp>
      <tp t="s">
        <v>#N/A Invalid Field</v>
        <stp/>
        <stp>##V3_BDHV12</stp>
        <stp>31385WYC7 Mtge</stp>
        <stp>MTG_GEN_CPR_6M</stp>
        <stp>20090331</stp>
        <stp>20090331</stp>
        <stp>[Copy of 02_cpr_main.xlsx]data!R218C6</stp>
        <stp>Dts=H</stp>
        <tr r="F218" s="2"/>
      </tp>
      <tp t="s">
        <v>#N/A Invalid Field</v>
        <stp/>
        <stp>##V3_BDHV12</stp>
        <stp>31413UWD7 Mtge</stp>
        <stp>MTG_GEN_CPR_6M</stp>
        <stp>20090331</stp>
        <stp>20090331</stp>
        <stp>[Copy of 02_cpr_main.xlsx]data!R434C6</stp>
        <stp>Dts=H</stp>
        <tr r="F434" s="2"/>
      </tp>
      <tp t="s">
        <v>#N/A Invalid Field</v>
        <stp/>
        <stp>##V3_BDHV12</stp>
        <stp>3128L7UY1 Mtge</stp>
        <stp>MTG_GEN_CPR_12M</stp>
        <stp>20090331</stp>
        <stp>20090331</stp>
        <stp>[Copy of 02_cpr_main.xlsx]data!R76C7</stp>
        <stp>Dts=H</stp>
        <tr r="G76" s="2"/>
      </tp>
      <tp t="s">
        <v>#N/A Invalid Field</v>
        <stp/>
        <stp>##V3_BDHV12</stp>
        <stp>31384VQR6 Mtge</stp>
        <stp>MTG_GEN_CPR_6M</stp>
        <stp>20090331</stp>
        <stp>20090331</stp>
        <stp>[Copy of 02_cpr_main.xlsx]data!R209C6</stp>
        <stp>Dts=H</stp>
        <tr r="F209" s="2"/>
      </tp>
      <tp t="s">
        <v>#N/A Invalid Field</v>
        <stp/>
        <stp>##V3_BDHV12</stp>
        <stp>31415PMH8 Mtge</stp>
        <stp>MTG_GEN_CPR_3M</stp>
        <stp>20090610</stp>
        <stp>20090610</stp>
        <stp>[Copy of 02_cpr_main.xlsx]data!R450C8</stp>
        <stp>Dts=H</stp>
        <tr r="H450" s="2"/>
      </tp>
      <tp t="s">
        <v>#N/A Invalid Field</v>
        <stp/>
        <stp>##V3_BDHV12</stp>
        <stp>31402QHS3 Mtge</stp>
        <stp>MTG_GEN_CPR_3M</stp>
        <stp>20090331</stp>
        <stp>20090331</stp>
        <stp>[Copy of 02_cpr_main.xlsx]data!R275C5</stp>
        <stp>Dts=H</stp>
        <tr r="E275" s="2"/>
      </tp>
      <tp t="s">
        <v>#N/A N/A</v>
        <stp/>
        <stp>##V3_BDPV12</stp>
        <stp>31402FFF7 Mtge</stp>
        <stp>MTG_PREPAY_SPEED</stp>
        <stp>[Copy of 02_cpr_main.xlsx]data!R271C12</stp>
        <tr r="L271" s="2"/>
      </tp>
      <tp>
        <v>161</v>
        <stp/>
        <stp>##V3_BDPV12</stp>
        <stp>31371K3A7 Mtge</stp>
        <stp>MTG_PREPAY_SPEED</stp>
        <stp>[Copy of 02_cpr_main.xlsx]data!R167C12</stp>
        <tr r="L167" s="2"/>
      </tp>
      <tp t="s">
        <v>#N/A Invalid Field</v>
        <stp/>
        <stp>##V3_BDHV12</stp>
        <stp>36202WGD5 Mtge</stp>
        <stp>MTG_GEN_CPR_3M</stp>
        <stp>20090331</stp>
        <stp>20090331</stp>
        <stp>[Copy of 02_cpr_main.xlsx]data!R476C5</stp>
        <stp>Dts=H</stp>
        <tr r="E476" s="2"/>
      </tp>
      <tp t="s">
        <v>#N/A Invalid Field</v>
        <stp/>
        <stp>##V3_BDHV12</stp>
        <stp>31415RFH2 Mtge</stp>
        <stp>MTG_GEN_CPR_3M</stp>
        <stp>20090331</stp>
        <stp>20090331</stp>
        <stp>[Copy of 02_cpr_main.xlsx]data!R452C5</stp>
        <stp>Dts=H</stp>
        <tr r="E452" s="2"/>
      </tp>
      <tp t="s">
        <v>#N/A Invalid Field</v>
        <stp/>
        <stp>##V3_BDHV12</stp>
        <stp>31415PGB8 Mtge</stp>
        <stp>MTG_GEN_CPR_3M</stp>
        <stp>20090610</stp>
        <stp>20090610</stp>
        <stp>[Copy of 02_cpr_main.xlsx]data!R449C8</stp>
        <stp>Dts=H</stp>
        <tr r="H449" s="2"/>
      </tp>
      <tp t="s">
        <v>#N/A Invalid Field</v>
        <stp/>
        <stp>##V3_BDHV12</stp>
        <stp>31405VG76 Mtge</stp>
        <stp>MTG_GEN_CPR_6M</stp>
        <stp>20090331</stp>
        <stp>20090331</stp>
        <stp>[Copy of 02_cpr_main.xlsx]data!R329C6</stp>
        <stp>Dts=H</stp>
        <tr r="F329" s="2"/>
      </tp>
      <tp t="s">
        <v>#N/A N/A</v>
        <stp/>
        <stp>##V3_BDPV12</stp>
        <stp>31414FKG5 Mtge</stp>
        <stp>MTG_PREPAY_SPEED</stp>
        <stp>[Copy of 02_cpr_main.xlsx]data!R437C12</stp>
        <tr r="L437" s="2"/>
      </tp>
      <tp>
        <v>0.3</v>
        <stp/>
        <stp>##V3_BDPV12</stp>
        <stp>31412BWG3 Mtge</stp>
        <stp>MTG_PREPAY_SPEED</stp>
        <stp>[Copy of 02_cpr_main.xlsx]data!R403C12</stp>
        <tr r="L403" s="2"/>
      </tp>
      <tp t="s">
        <v>#N/A Invalid Field</v>
        <stp/>
        <stp>##V3_BDHV12</stp>
        <stp>31402Q2X8 Mtge</stp>
        <stp>MTG_GEN_CPR_6M</stp>
        <stp>20090610</stp>
        <stp>20090610</stp>
        <stp>[Copy of 02_cpr_main.xlsx]data!R273C9</stp>
        <stp>Dts=H</stp>
        <tr r="I273" s="2"/>
      </tp>
      <tp t="s">
        <v>#N/A Invalid Field</v>
        <stp/>
        <stp>##V3_BDHV12</stp>
        <stp>31402Q4R9 Mtge</stp>
        <stp>MTG_GEN_CPR_3M</stp>
        <stp>20090610</stp>
        <stp>20090610</stp>
        <stp>[Copy of 02_cpr_main.xlsx]data!R274C8</stp>
        <stp>Dts=H</stp>
        <tr r="H274" s="2"/>
      </tp>
      <tp t="s">
        <v>#N/A Invalid Field</v>
        <stp/>
        <stp>##V3_BDHV12</stp>
        <stp>31391QTJ3 Mtge</stp>
        <stp>MTG_GEN_CPR_6M</stp>
        <stp>20090331</stp>
        <stp>20090331</stp>
        <stp>[Copy of 02_cpr_main.xlsx]data!R240C6</stp>
        <stp>Dts=H</stp>
        <tr r="F240" s="2"/>
      </tp>
      <tp t="s">
        <v>#N/A Invalid Field</v>
        <stp/>
        <stp>##V3_BDHV12</stp>
        <stp>31402QYZ8 Mtge</stp>
        <stp>MTG_GEN_CPR_6M</stp>
        <stp>20090610</stp>
        <stp>20090610</stp>
        <stp>[Copy of 02_cpr_main.xlsx]data!R278C9</stp>
        <stp>Dts=H</stp>
        <tr r="I278" s="2"/>
      </tp>
      <tp t="s">
        <v>#N/A Invalid Field</v>
        <stp/>
        <stp>##V3_BDHV12</stp>
        <stp>31349SF40 Mtge</stp>
        <stp>MTG_GEN_CPR_6M</stp>
        <stp>20090610</stp>
        <stp>20090610</stp>
        <stp>[Copy of 02_cpr_main.xlsx]data!R157C9</stp>
        <stp>Dts=H</stp>
        <tr r="I157" s="2"/>
      </tp>
      <tp t="s">
        <v>#N/A Invalid Field</v>
        <stp/>
        <stp>##V3_BDHV12</stp>
        <stp>31293WAR1 Mtge</stp>
        <stp>MTG_GEN_CPR_3M</stp>
        <stp>20090331</stp>
        <stp>20090331</stp>
        <stp>[Copy of 02_cpr_main.xlsx]data!R125C5</stp>
        <stp>Dts=H</stp>
        <tr r="E125" s="2"/>
      </tp>
      <tp t="s">
        <v>#N/A Invalid Field</v>
        <stp/>
        <stp>##V3_BDHV12</stp>
        <stp>31382VHM9 Mtge</stp>
        <stp>MTG_GEN_CPR_3M</stp>
        <stp>20090610</stp>
        <stp>20090610</stp>
        <stp>[Copy of 02_cpr_main.xlsx]data!R205C8</stp>
        <stp>Dts=H</stp>
        <tr r="H205" s="2"/>
      </tp>
      <tp>
        <v>169</v>
        <stp/>
        <stp>##V3_BDPV12</stp>
        <stp>31415QGG5 Mtge</stp>
        <stp>MTG_PREPAY_SPEED</stp>
        <stp>[Copy of 02_cpr_main.xlsx]data!R451C12</stp>
        <tr r="L451" s="2"/>
      </tp>
      <tp>
        <v>123</v>
        <stp/>
        <stp>##V3_BDPV12</stp>
        <stp>36200MTF0 Mtge</stp>
        <stp>MTG_PREPAY_SPEED</stp>
        <stp>[Copy of 02_cpr_main.xlsx]data!R466C12</stp>
        <tr r="L466" s="2"/>
      </tp>
      <tp t="s">
        <v>#N/A N/A</v>
        <stp/>
        <stp>##V3_BDPV12</stp>
        <stp>31412PBG5 Mtge</stp>
        <stp>MTG_PREPAY_SPEED</stp>
        <stp>[Copy of 02_cpr_main.xlsx]data!R411C12</stp>
        <tr r="L411" s="2"/>
      </tp>
      <tp t="s">
        <v>#N/A N/A</v>
        <stp/>
        <stp>##V3_BDPV12</stp>
        <stp>31401KCF0 Mtge</stp>
        <stp>MTG_PREPAY_SPEED</stp>
        <stp>[Copy of 02_cpr_main.xlsx]data!R256C12</stp>
        <tr r="L256" s="2"/>
      </tp>
      <tp t="s">
        <v>#N/A Invalid Field</v>
        <stp/>
        <stp>##V3_BDHV12</stp>
        <stp>31391W6L0 Mtge</stp>
        <stp>MTG_GEN_CPR_3M</stp>
        <stp>20090331</stp>
        <stp>20090331</stp>
        <stp>[Copy of 02_cpr_main.xlsx]data!R242C5</stp>
        <stp>Dts=H</stp>
        <tr r="E242" s="2"/>
      </tp>
      <tp t="s">
        <v>#N/A Invalid Field</v>
        <stp/>
        <stp>##V3_BDHV12</stp>
        <stp>31414TSB8 Mtge</stp>
        <stp>MTG_GEN_CPR_6M</stp>
        <stp>20090610</stp>
        <stp>20090610</stp>
        <stp>[Copy of 02_cpr_main.xlsx]data!R445C9</stp>
        <stp>Dts=H</stp>
        <tr r="I445" s="2"/>
      </tp>
      <tp t="s">
        <v>#N/A Invalid Field</v>
        <stp/>
        <stp>##V3_BDHV12</stp>
        <stp>31414TNR8 Mtge</stp>
        <stp>MTG_GEN_CPR_6M</stp>
        <stp>20090610</stp>
        <stp>20090610</stp>
        <stp>[Copy of 02_cpr_main.xlsx]data!R444C9</stp>
        <stp>Dts=H</stp>
        <tr r="I444" s="2"/>
      </tp>
      <tp t="s">
        <v>#N/A Invalid Field</v>
        <stp/>
        <stp>##V3_BDHV12</stp>
        <stp>31403R4H8 Mtge</stp>
        <stp>MTG_GEN_CPR_6M</stp>
        <stp>20090610</stp>
        <stp>20090610</stp>
        <stp>[Copy of 02_cpr_main.xlsx]data!R311C9</stp>
        <stp>Dts=H</stp>
        <tr r="I311" s="2"/>
      </tp>
      <tp t="s">
        <v>#N/A Invalid Field</v>
        <stp/>
        <stp>##V3_BDHV12</stp>
        <stp>31413SHF4 Mtge</stp>
        <stp>MTG_GEN_CPR_3M</stp>
        <stp>20090331</stp>
        <stp>20090331</stp>
        <stp>[Copy of 02_cpr_main.xlsx]data!R433C5</stp>
        <stp>Dts=H</stp>
        <tr r="E433" s="2"/>
      </tp>
      <tp t="s">
        <v>#N/A Invalid Field</v>
        <stp/>
        <stp>##V3_BDHV12</stp>
        <stp>36200QJD7 Mtge</stp>
        <stp>MTG_GEN_CPR_3M</stp>
        <stp>20090331</stp>
        <stp>20090331</stp>
        <stp>[Copy of 02_cpr_main.xlsx]data!R467C5</stp>
        <stp>Dts=H</stp>
        <tr r="E467" s="2"/>
      </tp>
      <tp t="s">
        <v>#N/A Invalid Field</v>
        <stp/>
        <stp>##V3_BDHV12</stp>
        <stp>31404QA74 Mtge</stp>
        <stp>MTG_GEN_CPR_3M</stp>
        <stp>20090331</stp>
        <stp>20090331</stp>
        <stp>[Copy of 02_cpr_main.xlsx]data!R318C5</stp>
        <stp>Dts=H</stp>
        <tr r="E318" s="2"/>
      </tp>
      <tp>
        <v>169</v>
        <stp/>
        <stp>##V3_BDPV12</stp>
        <stp>31415BNG0 Mtge</stp>
        <stp>MTG_PREPAY_SPEED</stp>
        <stp>[Copy of 02_cpr_main.xlsx]data!R448C12</stp>
        <tr r="L448" s="2"/>
      </tp>
      <tp t="s">
        <v>#N/A Invalid Field</v>
        <stp/>
        <stp>##V3_BDHV12</stp>
        <stp>31382RRH8 Mtge</stp>
        <stp>MTG_GEN_CPR_6M</stp>
        <stp>20090610</stp>
        <stp>20090610</stp>
        <stp>[Copy of 02_cpr_main.xlsx]data!R202C9</stp>
        <stp>Dts=H</stp>
        <tr r="I202" s="2"/>
      </tp>
      <tp t="s">
        <v>#N/A Invalid Field</v>
        <stp/>
        <stp>##V3_BDHV12</stp>
        <stp>31412PBG5 Mtge</stp>
        <stp>MTG_GEN_CPR_3M</stp>
        <stp>20090331</stp>
        <stp>20090331</stp>
        <stp>[Copy of 02_cpr_main.xlsx]data!R411C5</stp>
        <stp>Dts=H</stp>
        <tr r="E411" s="2"/>
      </tp>
      <tp t="s">
        <v>#N/A Invalid Field</v>
        <stp/>
        <stp>##V3_BDHV12</stp>
        <stp>31371HQS0 Mtge</stp>
        <stp>MTG_GEN_CPR_6M</stp>
        <stp>20090331</stp>
        <stp>20090331</stp>
        <stp>[Copy of 02_cpr_main.xlsx]data!R165C6</stp>
        <stp>Dts=H</stp>
        <tr r="F165" s="2"/>
      </tp>
      <tp t="s">
        <v>#N/A Invalid Field</v>
        <stp/>
        <stp>##V3_BDHV12</stp>
        <stp>31401KCF0 Mtge</stp>
        <stp>MTG_GEN_CPR_3M</stp>
        <stp>20090331</stp>
        <stp>20090331</stp>
        <stp>[Copy of 02_cpr_main.xlsx]data!R256C5</stp>
        <stp>Dts=H</stp>
        <tr r="E256" s="2"/>
      </tp>
      <tp t="s">
        <v>#N/A Invalid Field</v>
        <stp/>
        <stp>##V3_BDHV12</stp>
        <stp>31403DGG8 Mtge</stp>
        <stp>MTG_GEN_CPR_3M</stp>
        <stp>20090610</stp>
        <stp>20090610</stp>
        <stp>[Copy of 02_cpr_main.xlsx]data!R299C8</stp>
        <stp>Dts=H</stp>
        <tr r="H299" s="2"/>
      </tp>
      <tp t="s">
        <v>#N/A Invalid Field</v>
        <stp/>
        <stp>##V3_BDHV12</stp>
        <stp>31371HNJ3 Mtge</stp>
        <stp>MTG_GEN_CPR_3M</stp>
        <stp>20090331</stp>
        <stp>20090331</stp>
        <stp>[Copy of 02_cpr_main.xlsx]data!R164C5</stp>
        <stp>Dts=H</stp>
        <tr r="E164" s="2"/>
      </tp>
      <tp t="s">
        <v>#N/A Invalid Field</v>
        <stp/>
        <stp>##V3_BDHV12</stp>
        <stp>31401JTD0 Mtge</stp>
        <stp>MTG_GEN_CPR_3M</stp>
        <stp>20090331</stp>
        <stp>20090331</stp>
        <stp>[Copy of 02_cpr_main.xlsx]data!R254C5</stp>
        <stp>Dts=H</stp>
        <tr r="E254" s="2"/>
      </tp>
      <tp t="s">
        <v>#N/A Invalid Field</v>
        <stp/>
        <stp>##V3_BDHV12</stp>
        <stp>31404M5N4 Mtge</stp>
        <stp>MTG_GEN_CPR_3M</stp>
        <stp>20090331</stp>
        <stp>20090331</stp>
        <stp>[Copy of 02_cpr_main.xlsx]data!R316C5</stp>
        <stp>Dts=H</stp>
        <tr r="E316" s="2"/>
      </tp>
      <tp t="s">
        <v>#N/A Invalid Field</v>
        <stp/>
        <stp>##V3_BDHV12</stp>
        <stp>31371KWH0 Mtge</stp>
        <stp>MTG_GEN_CPR_6M</stp>
        <stp>20090331</stp>
        <stp>20090331</stp>
        <stp>[Copy of 02_cpr_main.xlsx]data!R173C6</stp>
        <stp>Dts=H</stp>
        <tr r="F173" s="2"/>
      </tp>
      <tp t="s">
        <v>#N/A Invalid Field</v>
        <stp/>
        <stp>##V3_BDHV12</stp>
        <stp>36225BYJ1 Mtge</stp>
        <stp>MTG_GEN_CPR_6M</stp>
        <stp>20090331</stp>
        <stp>20090331</stp>
        <stp>[Copy of 02_cpr_main.xlsx]data!R495C6</stp>
        <stp>Dts=H</stp>
        <tr r="F495" s="2"/>
      </tp>
      <tp t="s">
        <v>#N/A Invalid Field</v>
        <stp/>
        <stp>##V3_BDHV12</stp>
        <stp>36225BB31 Mtge</stp>
        <stp>MTG_GEN_CPR_6M</stp>
        <stp>20090331</stp>
        <stp>20090331</stp>
        <stp>[Copy of 02_cpr_main.xlsx]data!R491C6</stp>
        <stp>Dts=H</stp>
        <tr r="F491" s="2"/>
      </tp>
      <tp t="s">
        <v>#N/A Invalid Field</v>
        <stp/>
        <stp>##V3_BDHV12</stp>
        <stp>31404ML97 Mtge</stp>
        <stp>MTG_GEN_CPR_6M</stp>
        <stp>20090331</stp>
        <stp>20090331</stp>
        <stp>[Copy of 02_cpr_main.xlsx]data!R317C6</stp>
        <stp>Dts=H</stp>
        <tr r="F317" s="2"/>
      </tp>
      <tp t="s">
        <v>#N/A Invalid Field</v>
        <stp/>
        <stp>##V3_BDHV12</stp>
        <stp>31335HUZ4 Mtge</stp>
        <stp>MTG_GEN_CPR_6M</stp>
        <stp>20090331</stp>
        <stp>20090331</stp>
        <stp>[Copy of 02_cpr_main.xlsx]data!R155C6</stp>
        <stp>Dts=H</stp>
        <tr r="F155" s="2"/>
      </tp>
      <tp t="s">
        <v>#N/A Invalid Field</v>
        <stp/>
        <stp>##V3_BDHV12</stp>
        <stp>31403DDK2 Mtge</stp>
        <stp>MTG_GEN_CPR_3M</stp>
        <stp>20090331</stp>
        <stp>20090331</stp>
        <stp>[Copy of 02_cpr_main.xlsx]data!R295C5</stp>
        <stp>Dts=H</stp>
        <tr r="E295" s="2"/>
      </tp>
      <tp t="s">
        <v>#N/A Invalid Field</v>
        <stp/>
        <stp>##V3_BDHV12</stp>
        <stp>31403DET2 Mtge</stp>
        <stp>MTG_GEN_CPR_3M</stp>
        <stp>20090331</stp>
        <stp>20090331</stp>
        <stp>[Copy of 02_cpr_main.xlsx]data!R298C5</stp>
        <stp>Dts=H</stp>
        <tr r="E298" s="2"/>
      </tp>
      <tp t="s">
        <v>#N/A Invalid Field</v>
        <stp/>
        <stp>##V3_BDHV12</stp>
        <stp>31368HME0 Mtge</stp>
        <stp>MTG_GEN_CPR_3M</stp>
        <stp>20090610</stp>
        <stp>20090610</stp>
        <stp>[Copy of 02_cpr_main.xlsx]data!R161C8</stp>
        <stp>Dts=H</stp>
        <tr r="H161" s="2"/>
      </tp>
      <tp t="s">
        <v>#N/A Invalid Field</v>
        <stp/>
        <stp>##V3_BDHV12</stp>
        <stp>31380GNU9 Mtge</stp>
        <stp>MTG_GEN_CPR_6M</stp>
        <stp>20090610</stp>
        <stp>20090610</stp>
        <stp>[Copy of 02_cpr_main.xlsx]data!R191C9</stp>
        <stp>Dts=H</stp>
        <tr r="I191" s="2"/>
      </tp>
      <tp t="s">
        <v>#N/A Invalid Field</v>
        <stp/>
        <stp>##V3_BDHV12</stp>
        <stp>31403CUZ2 Mtge</stp>
        <stp>MTG_GEN_CPR_3M</stp>
        <stp>20090331</stp>
        <stp>20090331</stp>
        <stp>[Copy of 02_cpr_main.xlsx]data!R294C5</stp>
        <stp>Dts=H</stp>
        <tr r="E294" s="2"/>
      </tp>
      <tp t="s">
        <v>#N/A Invalid Field</v>
        <stp/>
        <stp>##V3_BDHV12</stp>
        <stp>31403K4Q3 Mtge</stp>
        <stp>MTG_GEN_CPR_3M</stp>
        <stp>20090331</stp>
        <stp>20090331</stp>
        <stp>[Copy of 02_cpr_main.xlsx]data!R307C5</stp>
        <stp>Dts=H</stp>
        <tr r="E307" s="2"/>
      </tp>
      <tp t="s">
        <v>#N/A Invalid Field</v>
        <stp/>
        <stp>##V3_BDHV12</stp>
        <stp>31371LBD0 Mtge</stp>
        <stp>MTG_GEN_CPR_6M</stp>
        <stp>20090331</stp>
        <stp>20090331</stp>
        <stp>[Copy of 02_cpr_main.xlsx]data!R174C6</stp>
        <stp>Dts=H</stp>
        <tr r="F174" s="2"/>
      </tp>
      <tp t="s">
        <v>#N/A Invalid Field</v>
        <stp/>
        <stp>##V3_BDHV12</stp>
        <stp>31414HDB0 Mtge</stp>
        <stp>MTG_GEN_CPR_6M</stp>
        <stp>20090331</stp>
        <stp>20090331</stp>
        <stp>[Copy of 02_cpr_main.xlsx]data!R439C6</stp>
        <stp>Dts=H</stp>
        <tr r="F439" s="2"/>
      </tp>
      <tp t="s">
        <v>#N/A Invalid Field</v>
        <stp/>
        <stp>##V3_BDHV12</stp>
        <stp>31294J3N6 Mtge</stp>
        <stp>MTG_GEN_CPR_3M</stp>
        <stp>20090331</stp>
        <stp>20090331</stp>
        <stp>[Copy of 02_cpr_main.xlsx]data!R126C5</stp>
        <stp>Dts=H</stp>
        <tr r="E126" s="2"/>
      </tp>
      <tp t="s">
        <v>#N/A Invalid Field</v>
        <stp/>
        <stp>##V3_BDHV12</stp>
        <stp>31401MDP3 Mtge</stp>
        <stp>MTG_GEN_CPR_6M</stp>
        <stp>20090331</stp>
        <stp>20090331</stp>
        <stp>[Copy of 02_cpr_main.xlsx]data!R258C6</stp>
        <stp>Dts=H</stp>
        <tr r="F258" s="2"/>
      </tp>
      <tp t="s">
        <v>#N/A Invalid Field</v>
        <stp/>
        <stp>##V3_BDHV12</stp>
        <stp>31294KJS5 Mtge</stp>
        <stp>MTG_GEN_CPR_6M</stp>
        <stp>20090331</stp>
        <stp>20090331</stp>
        <stp>[Copy of 02_cpr_main.xlsx]data!R130C6</stp>
        <stp>Dts=H</stp>
        <tr r="F130" s="2"/>
      </tp>
      <tp t="s">
        <v>#N/A Invalid Field</v>
        <stp/>
        <stp>##V3_BDHV12</stp>
        <stp>31296MC64 Mtge</stp>
        <stp>MTG_GEN_CPR_3M</stp>
        <stp>20090331</stp>
        <stp>20090331</stp>
        <stp>[Copy of 02_cpr_main.xlsx]data!R143C5</stp>
        <stp>Dts=H</stp>
        <tr r="E143" s="2"/>
      </tp>
      <tp t="s">
        <v>#N/A Invalid Field</v>
        <stp/>
        <stp>##V3_BDHV12</stp>
        <stp>31413KBU4 Mtge</stp>
        <stp>MTG_GEN_CPR_3M</stp>
        <stp>20090331</stp>
        <stp>20090331</stp>
        <stp>[Copy of 02_cpr_main.xlsx]data!R424C5</stp>
        <stp>Dts=H</stp>
        <tr r="E424" s="2"/>
      </tp>
      <tp t="s">
        <v>#N/A Invalid Field</v>
        <stp/>
        <stp>##V3_BDHV12</stp>
        <stp>31413KKF7 Mtge</stp>
        <stp>MTG_GEN_CPR_6M</stp>
        <stp>20090331</stp>
        <stp>20090331</stp>
        <stp>[Copy of 02_cpr_main.xlsx]data!R425C6</stp>
        <stp>Dts=H</stp>
        <tr r="F425" s="2"/>
      </tp>
      <tp t="s">
        <v>#N/A Invalid Field</v>
        <stp/>
        <stp>##V3_BDHV12</stp>
        <stp>31402C5E8 Mtge</stp>
        <stp>MTG_GEN_CPR_6M</stp>
        <stp>20090610</stp>
        <stp>20090610</stp>
        <stp>[Copy of 02_cpr_main.xlsx]data!R263C9</stp>
        <stp>Dts=H</stp>
        <tr r="I263" s="2"/>
      </tp>
      <tp t="s">
        <v>#N/A Invalid Field</v>
        <stp/>
        <stp>##V3_BDHV12</stp>
        <stp>31410C3Q3 Mtge</stp>
        <stp>MTG_GEN_CPR_6M</stp>
        <stp>20090331</stp>
        <stp>20090331</stp>
        <stp>[Copy of 02_cpr_main.xlsx]data!R357C6</stp>
        <stp>Dts=H</stp>
        <tr r="F357" s="2"/>
      </tp>
      <tp t="s">
        <v>#N/A Invalid Field</v>
        <stp/>
        <stp>##V3_BDHV12</stp>
        <stp>31402CQZ8 Mtge</stp>
        <stp>MTG_GEN_CPR_6M</stp>
        <stp>20090610</stp>
        <stp>20090610</stp>
        <stp>[Copy of 02_cpr_main.xlsx]data!R265C9</stp>
        <stp>Dts=H</stp>
        <tr r="I265" s="2"/>
      </tp>
      <tp t="s">
        <v>#N/A Invalid Field</v>
        <stp/>
        <stp>##V3_BDHV12</stp>
        <stp>31402CTT9 Mtge</stp>
        <stp>MTG_GEN_CPR_3M</stp>
        <stp>20090610</stp>
        <stp>20090610</stp>
        <stp>[Copy of 02_cpr_main.xlsx]data!R266C8</stp>
        <stp>Dts=H</stp>
        <tr r="H266" s="2"/>
      </tp>
      <tp t="s">
        <v>#N/A Invalid Field</v>
        <stp/>
        <stp>##V3_BDHV12</stp>
        <stp>31414FPH8 Mtge</stp>
        <stp>MTG_GEN_CPR_6M</stp>
        <stp>20090610</stp>
        <stp>20090610</stp>
        <stp>[Copy of 02_cpr_main.xlsx]data!R438C9</stp>
        <stp>Dts=H</stp>
        <tr r="I438" s="2"/>
      </tp>
      <tp t="s">
        <v>#N/A Invalid Field</v>
        <stp/>
        <stp>##V3_BDHV12</stp>
        <stp>31371NGU3 Mtge</stp>
        <stp>MTG_GEN_CPR_3M</stp>
        <stp>20090331</stp>
        <stp>20090331</stp>
        <stp>[Copy of 02_cpr_main.xlsx]data!R180C5</stp>
        <stp>Dts=H</stp>
        <tr r="E180" s="2"/>
      </tp>
      <tp t="s">
        <v>#N/A Invalid Field</v>
        <stp/>
        <stp>##V3_BDHV12</stp>
        <stp>31403EDC8 Mtge</stp>
        <stp>MTG_GEN_CPR_6M</stp>
        <stp>20090610</stp>
        <stp>20090610</stp>
        <stp>[Copy of 02_cpr_main.xlsx]data!R305C9</stp>
        <stp>Dts=H</stp>
        <tr r="I305" s="2"/>
      </tp>
      <tp t="s">
        <v>#N/A Invalid Field</v>
        <stp/>
        <stp>##V3_BDHV12</stp>
        <stp>31403DR68 Mtge</stp>
        <stp>MTG_GEN_CPR_6M</stp>
        <stp>20090610</stp>
        <stp>20090610</stp>
        <stp>[Copy of 02_cpr_main.xlsx]data!R301C9</stp>
        <stp>Dts=H</stp>
        <tr r="I301" s="2"/>
      </tp>
      <tp t="s">
        <v>#N/A Invalid Field</v>
        <stp/>
        <stp>##V3_BDHV12</stp>
        <stp>31403DWU9 Mtge</stp>
        <stp>MTG_GEN_CPR_3M</stp>
        <stp>20090610</stp>
        <stp>20090610</stp>
        <stp>[Copy of 02_cpr_main.xlsx]data!R304C8</stp>
        <stp>Dts=H</stp>
        <tr r="H304" s="2"/>
      </tp>
      <tp t="s">
        <v>#N/A Invalid Field</v>
        <stp/>
        <stp>##V3_BDHV12</stp>
        <stp>31403DQT9 Mtge</stp>
        <stp>MTG_GEN_CPR_3M</stp>
        <stp>20090610</stp>
        <stp>20090610</stp>
        <stp>[Copy of 02_cpr_main.xlsx]data!R300C8</stp>
        <stp>Dts=H</stp>
        <tr r="H300" s="2"/>
      </tp>
      <tp t="s">
        <v>#N/A Invalid Field</v>
        <stp/>
        <stp>##V3_BDHV12</stp>
        <stp>31406DJX5 Mtge</stp>
        <stp>MTG_GEN_CPR_6M</stp>
        <stp>20090331</stp>
        <stp>20090331</stp>
        <stp>[Copy of 02_cpr_main.xlsx]data!R335C6</stp>
        <stp>Dts=H</stp>
        <tr r="F335" s="2"/>
      </tp>
      <tp t="s">
        <v>#N/A Invalid Field</v>
        <stp/>
        <stp>##V3_BDHV12</stp>
        <stp>31293FJZ1 Mtge</stp>
        <stp>MTG_GEN_CPR_3M</stp>
        <stp>20090331</stp>
        <stp>20090331</stp>
        <stp>[Copy of 02_cpr_main.xlsx]data!R121C5</stp>
        <stp>Dts=H</stp>
        <tr r="E121" s="2"/>
      </tp>
      <tp t="s">
        <v>#N/A Invalid Field</v>
        <stp/>
        <stp>##V3_BDHV12</stp>
        <stp>31403F6S8 Mtge</stp>
        <stp>MTG_GEN_CPR_6M</stp>
        <stp>20090610</stp>
        <stp>20090610</stp>
        <stp>[Copy of 02_cpr_main.xlsx]data!R306C9</stp>
        <stp>Dts=H</stp>
        <tr r="I306" s="2"/>
      </tp>
      <tp t="s">
        <v>#N/A Invalid Field</v>
        <stp/>
        <stp>##V3_BDHV12</stp>
        <stp>31402CPL0 Mtge</stp>
        <stp>MTG_GEN_CPR_6M</stp>
        <stp>20090331</stp>
        <stp>20090331</stp>
        <stp>[Copy of 02_cpr_main.xlsx]data!R264C6</stp>
        <stp>Dts=H</stp>
        <tr r="F264" s="2"/>
      </tp>
      <tp t="s">
        <v>#N/A Invalid Field</v>
        <stp/>
        <stp>##V3_BDHV12</stp>
        <stp>31371NJD8 Mtge</stp>
        <stp>MTG_GEN_CPR_6M</stp>
        <stp>20090610</stp>
        <stp>20090610</stp>
        <stp>[Copy of 02_cpr_main.xlsx]data!R181C9</stp>
        <stp>Dts=H</stp>
        <tr r="I181" s="2"/>
      </tp>
      <tp t="s">
        <v>#N/A Invalid Field</v>
        <stp/>
        <stp>##V3_BDHV12</stp>
        <stp>31412B2P6 Mtge</stp>
        <stp>MTG_GEN_CPR_6M</stp>
        <stp>20090331</stp>
        <stp>20090331</stp>
        <stp>[Copy of 02_cpr_main.xlsx]data!R401C6</stp>
        <stp>Dts=H</stp>
        <tr r="F401" s="2"/>
      </tp>
      <tp t="s">
        <v>#N/A Invalid Field</v>
        <stp/>
        <stp>##V3_BDHV12</stp>
        <stp>31376J2J7 Mtge</stp>
        <stp>MTG_GEN_CPR_6M</stp>
        <stp>20090331</stp>
        <stp>20090331</stp>
        <stp>[Copy of 02_cpr_main.xlsx]data!R185C6</stp>
        <stp>Dts=H</stp>
        <tr r="F185" s="2"/>
      </tp>
      <tp t="s">
        <v>#N/A Invalid Field</v>
        <stp/>
        <stp>##V3_BDHV12</stp>
        <stp>31402D7K0 Mtge</stp>
        <stp>MTG_GEN_CPR_6M</stp>
        <stp>20090331</stp>
        <stp>20090331</stp>
        <stp>[Copy of 02_cpr_main.xlsx]data!R268C6</stp>
        <stp>Dts=H</stp>
        <tr r="F268" s="2"/>
      </tp>
      <tp t="s">
        <v>#N/A Invalid Field</v>
        <stp/>
        <stp>##V3_BDHV12</stp>
        <stp>31382KQ43 Mtge</stp>
        <stp>MTG_GEN_CPR_6M</stp>
        <stp>20090331</stp>
        <stp>20090331</stp>
        <stp>[Copy of 02_cpr_main.xlsx]data!R197C6</stp>
        <stp>Dts=H</stp>
        <tr r="F197" s="2"/>
      </tp>
      <tp t="s">
        <v>#N/A Invalid Field</v>
        <stp/>
        <stp>##V3_BDHV12</stp>
        <stp>31402DDK3 Mtge</stp>
        <stp>MTG_GEN_CPR_3M</stp>
        <stp>20090331</stp>
        <stp>20090331</stp>
        <stp>[Copy of 02_cpr_main.xlsx]data!R269C5</stp>
        <stp>Dts=H</stp>
        <tr r="E269" s="2"/>
      </tp>
      <tp t="s">
        <v>#N/A Invalid Field</v>
        <stp/>
        <stp>##V3_BDHV12</stp>
        <stp>31414CV88 Mtge</stp>
        <stp>MTG_GEN_CPR_6M</stp>
        <stp>20090610</stp>
        <stp>20090610</stp>
        <stp>[Copy of 02_cpr_main.xlsx]data!R435C9</stp>
        <stp>Dts=H</stp>
        <tr r="I435" s="2"/>
      </tp>
      <tp t="s">
        <v>#N/A Invalid Field</v>
        <stp/>
        <stp>##V3_BDHV12</stp>
        <stp>36210LPE7 Mtge</stp>
        <stp>MTG_GEN_CPR_3M</stp>
        <stp>20090331</stp>
        <stp>20090331</stp>
        <stp>[Copy of 02_cpr_main.xlsx]data!R484C5</stp>
        <stp>Dts=H</stp>
        <tr r="E484" s="2"/>
      </tp>
      <tp t="s">
        <v>#N/A Invalid Field</v>
        <stp/>
        <stp>##V3_BDHV12</stp>
        <stp>31298EZD0 Mtge</stp>
        <stp>MTG_GEN_CPR_3M</stp>
        <stp>20090610</stp>
        <stp>20090610</stp>
        <stp>[Copy of 02_cpr_main.xlsx]data!R152C8</stp>
        <stp>Dts=H</stp>
        <tr r="H152" s="2"/>
      </tp>
      <tp t="s">
        <v>#N/A Invalid Field</v>
        <stp/>
        <stp>##V3_BDHV12</stp>
        <stp>31413BEW7 Mtge</stp>
        <stp>MTG_GEN_CPR_6M</stp>
        <stp>20090331</stp>
        <stp>20090331</stp>
        <stp>[Copy of 02_cpr_main.xlsx]data!R417C6</stp>
        <stp>Dts=H</stp>
        <tr r="F417" s="2"/>
      </tp>
      <tp t="s">
        <v>#N/A Invalid Field</v>
        <stp/>
        <stp>##V3_BDHV12</stp>
        <stp>31402DP79 Mtge</stp>
        <stp>MTG_GEN_CPR_3M</stp>
        <stp>20090610</stp>
        <stp>20090610</stp>
        <stp>[Copy of 02_cpr_main.xlsx]data!R270C8</stp>
        <stp>Dts=H</stp>
        <tr r="H270" s="2"/>
      </tp>
      <tp t="s">
        <v>#N/A Invalid Field</v>
        <stp/>
        <stp>##V3_BDHV12</stp>
        <stp>31405CQ85 Mtge</stp>
        <stp>MTG_GEN_CPR_3M</stp>
        <stp>20090331</stp>
        <stp>20090331</stp>
        <stp>[Copy of 02_cpr_main.xlsx]data!R324C5</stp>
        <stp>Dts=H</stp>
        <tr r="E324" s="2"/>
      </tp>
      <tp t="s">
        <v>#N/A Invalid Field</v>
        <stp/>
        <stp>##V3_BDHV12</stp>
        <stp>31382HBK0 Mtge</stp>
        <stp>MTG_GEN_CPR_3M</stp>
        <stp>20090331</stp>
        <stp>20090331</stp>
        <stp>[Copy of 02_cpr_main.xlsx]data!R196C5</stp>
        <stp>Dts=H</stp>
        <tr r="E196" s="2"/>
      </tp>
      <tp t="s">
        <v>#N/A Invalid Field</v>
        <stp/>
        <stp>##V3_BDHV12</stp>
        <stp>31410GJB0 Mtge</stp>
        <stp>MTG_GEN_CPR_3M</stp>
        <stp>20090331</stp>
        <stp>20090331</stp>
        <stp>[Copy of 02_cpr_main.xlsx]data!R369C5</stp>
        <stp>Dts=H</stp>
        <tr r="E369" s="2"/>
      </tp>
      <tp t="s">
        <v>#N/A Invalid Field</v>
        <stp/>
        <stp>##V3_BDHV12</stp>
        <stp>31410GFV0 Mtge</stp>
        <stp>MTG_GEN_CPR_3M</stp>
        <stp>20090331</stp>
        <stp>20090331</stp>
        <stp>[Copy of 02_cpr_main.xlsx]data!R366C5</stp>
        <stp>Dts=H</stp>
        <tr r="E366" s="2"/>
      </tp>
      <tp t="s">
        <v>#N/A Invalid Field</v>
        <stp/>
        <stp>##V3_BDHV12</stp>
        <stp>312965L87 Mtge</stp>
        <stp>MTG_GEN_CPR_6M</stp>
        <stp>20090331</stp>
        <stp>20090331</stp>
        <stp>[Copy of 02_cpr_main.xlsx]data!R139C6</stp>
        <stp>Dts=H</stp>
        <tr r="F139" s="2"/>
      </tp>
      <tp t="s">
        <v>#N/A Invalid Field</v>
        <stp/>
        <stp>##V3_BDHV12</stp>
        <stp>312962EA7 Mtge</stp>
        <stp>MTG_GEN_CPR_6M</stp>
        <stp>20090331</stp>
        <stp>20090331</stp>
        <stp>[Copy of 02_cpr_main.xlsx]data!R137C6</stp>
        <stp>Dts=H</stp>
        <tr r="F137" s="2"/>
      </tp>
      <tp t="s">
        <v>#N/A Invalid Field</v>
        <stp/>
        <stp>##V3_BDHV12</stp>
        <stp>3128NGEM3 Mtge</stp>
        <stp>MTG_GEN_CPR_12M</stp>
        <stp>20090331</stp>
        <stp>20090331</stp>
        <stp>[Copy of 02_cpr_main.xlsx]data!R98C7</stp>
        <stp>Dts=H</stp>
        <tr r="G98" s="2"/>
      </tp>
      <tp t="s">
        <v>#N/A Invalid Field</v>
        <stp/>
        <stp>##V3_BDHV12</stp>
        <stp>3128LDMN1 Mtge</stp>
        <stp>MTG_GEN_CPR_12M</stp>
        <stp>20090331</stp>
        <stp>20090331</stp>
        <stp>[Copy of 02_cpr_main.xlsx]data!R78C7</stp>
        <stp>Dts=H</stp>
        <tr r="G78" s="2"/>
      </tp>
    </main>
    <main first="bloomberg.rtd">
      <tp t="s">
        <v>#N/A Invalid Field</v>
        <stp/>
        <stp>##V3_BDHV12</stp>
        <stp>31410V2L3 Mtge</stp>
        <stp>MTG_GEN_CPR_3M</stp>
        <stp>20090331</stp>
        <stp>20090331</stp>
        <stp>[Copy of 02_cpr_main.xlsx]data!R386C5</stp>
        <stp>Dts=H</stp>
        <tr r="E386" s="2"/>
      </tp>
      <tp t="s">
        <v>#N/A Invalid Field</v>
        <stp/>
        <stp>##V3_BDHV12</stp>
        <stp>31410TVY8 Mtge</stp>
        <stp>MTG_GEN_CPR_6M</stp>
        <stp>20090610</stp>
        <stp>20090610</stp>
        <stp>[Copy of 02_cpr_main.xlsx]data!R384C9</stp>
        <stp>Dts=H</stp>
        <tr r="I384" s="2"/>
      </tp>
      <tp t="s">
        <v>#N/A Invalid Field</v>
        <stp/>
        <stp>##V3_BDHV12</stp>
        <stp>31417YAY3 Mtge</stp>
        <stp>MTG_GEN_CPR_3M</stp>
        <stp>20090331</stp>
        <stp>20090331</stp>
        <stp>[Copy of 02_cpr_main.xlsx]data!R462C5</stp>
        <stp>Dts=H</stp>
        <tr r="E462" s="2"/>
      </tp>
      <tp t="s">
        <v>#N/A N/A</v>
        <stp/>
        <stp>##V3_BDPV12</stp>
        <stp>31413CCD9 Mtge</stp>
        <stp>MTG_PREPAY_SPEED</stp>
        <stp>[Copy of 02_cpr_main.xlsx]data!R418C12</stp>
        <tr r="L418" s="2"/>
      </tp>
      <tp t="s">
        <v>#N/A Invalid Field</v>
        <stp/>
        <stp>##V3_BDHV12</stp>
        <stp>31411UDL2 Mtge</stp>
        <stp>MTG_GEN_CPR_3M</stp>
        <stp>20090331</stp>
        <stp>20090331</stp>
        <stp>[Copy of 02_cpr_main.xlsx]data!R395C5</stp>
        <stp>Dts=H</stp>
        <tr r="E395" s="2"/>
      </tp>
      <tp t="s">
        <v>#N/A Invalid Field</v>
        <stp/>
        <stp>##V3_BDHV12</stp>
        <stp>31391YTH0 Mtge</stp>
        <stp>MTG_GEN_CPR_6M</stp>
        <stp>20090331</stp>
        <stp>20090331</stp>
        <stp>[Copy of 02_cpr_main.xlsx]data!R243C6</stp>
        <stp>Dts=H</stp>
        <tr r="F243" s="2"/>
      </tp>
      <tp t="s">
        <v>#N/A Invalid Field</v>
        <stp/>
        <stp>##V3_BDHV12</stp>
        <stp>31411WA49 Mtge</stp>
        <stp>MTG_GEN_CPR_6M</stp>
        <stp>20090610</stp>
        <stp>20090610</stp>
        <stp>[Copy of 02_cpr_main.xlsx]data!R397C9</stp>
        <stp>Dts=H</stp>
        <tr r="I397" s="2"/>
      </tp>
      <tp t="s">
        <v>#N/A Invalid Field</v>
        <stp/>
        <stp>##V3_BDHV12</stp>
        <stp>31415XJE2 Mtge</stp>
        <stp>MTG_GEN_CPR_6M</stp>
        <stp>20090331</stp>
        <stp>20090331</stp>
        <stp>[Copy of 02_cpr_main.xlsx]data!R458C6</stp>
        <stp>Dts=H</stp>
        <tr r="F458" s="2"/>
      </tp>
      <tp t="s">
        <v>#N/A Invalid Field</v>
        <stp/>
        <stp>##V3_BDHV12</stp>
        <stp>31402RD30 Mtge</stp>
        <stp>MTG_GEN_CPR_3M</stp>
        <stp>20090331</stp>
        <stp>20090331</stp>
        <stp>[Copy of 02_cpr_main.xlsx]data!R281C5</stp>
        <stp>Dts=H</stp>
        <tr r="E281" s="2"/>
      </tp>
      <tp t="s">
        <v>#N/A Invalid Field</v>
        <stp/>
        <stp>##V3_BDHV12</stp>
        <stp>31385XEC7 Mtge</stp>
        <stp>MTG_GEN_CPR_3M</stp>
        <stp>20090331</stp>
        <stp>20090331</stp>
        <stp>[Copy of 02_cpr_main.xlsx]data!R221C5</stp>
        <stp>Dts=H</stp>
        <tr r="E221" s="2"/>
      </tp>
      <tp t="s">
        <v>#N/A Invalid Field</v>
        <stp/>
        <stp>##V3_BDHV12</stp>
        <stp>31385XLV7 Mtge</stp>
        <stp>MTG_GEN_CPR_3M</stp>
        <stp>20090331</stp>
        <stp>20090331</stp>
        <stp>[Copy of 02_cpr_main.xlsx]data!R225C5</stp>
        <stp>Dts=H</stp>
        <tr r="E225" s="2"/>
      </tp>
      <tp t="s">
        <v>#N/A Invalid Field</v>
        <stp/>
        <stp>##V3_BDHV12</stp>
        <stp>31385XLM7 Mtge</stp>
        <stp>MTG_GEN_CPR_3M</stp>
        <stp>20090331</stp>
        <stp>20090331</stp>
        <stp>[Copy of 02_cpr_main.xlsx]data!R224C5</stp>
        <stp>Dts=H</stp>
        <tr r="E224" s="2"/>
      </tp>
      <tp t="s">
        <v>#N/A N/A</v>
        <stp/>
        <stp>##V3_BDPV12</stp>
        <stp>31401WKE8 Mtge</stp>
        <stp>MTG_PREPAY_SPEED</stp>
        <stp>[Copy of 02_cpr_main.xlsx]data!R259C12</stp>
        <tr r="L259" s="2"/>
      </tp>
      <tp t="s">
        <v>#N/A Invalid Field</v>
        <stp/>
        <stp>##V3_BDHV12</stp>
        <stp>31410PYM9 Mtge</stp>
        <stp>MTG_GEN_CPR_3M</stp>
        <stp>20090610</stp>
        <stp>20090610</stp>
        <stp>[Copy of 02_cpr_main.xlsx]data!R380C8</stp>
        <stp>Dts=H</stp>
        <tr r="H380" s="2"/>
      </tp>
      <tp t="s">
        <v>#N/A Invalid Field</v>
        <stp/>
        <stp>##V3_BDHV12</stp>
        <stp>31380RMS1 Mtge</stp>
        <stp>MTG_GEN_CPR_3M</stp>
        <stp>20090331</stp>
        <stp>20090331</stp>
        <stp>[Copy of 02_cpr_main.xlsx]data!R192C5</stp>
        <stp>Dts=H</stp>
        <tr r="E192" s="2"/>
      </tp>
      <tp t="s">
        <v>#N/A Invalid Field</v>
        <stp/>
        <stp>##V3_BDHV12</stp>
        <stp>31410S5Y9 Mtge</stp>
        <stp>MTG_GEN_CPR_3M</stp>
        <stp>20090610</stp>
        <stp>20090610</stp>
        <stp>[Copy of 02_cpr_main.xlsx]data!R383C8</stp>
        <stp>Dts=H</stp>
        <tr r="H383" s="2"/>
      </tp>
      <tp t="s">
        <v>#N/A Invalid Field</v>
        <stp/>
        <stp>##V3_BDHV12</stp>
        <stp>31382XQE3 Mtge</stp>
        <stp>MTG_GEN_CPR_6M</stp>
        <stp>20090331</stp>
        <stp>20090331</stp>
        <stp>[Copy of 02_cpr_main.xlsx]data!R206C6</stp>
        <stp>Dts=H</stp>
        <tr r="F206" s="2"/>
      </tp>
      <tp t="s">
        <v>#N/A Invalid Field</v>
        <stp/>
        <stp>##V3_BDHV12</stp>
        <stp>31412YFJ6 Mtge</stp>
        <stp>MTG_GEN_CPR_3M</stp>
        <stp>20090331</stp>
        <stp>20090331</stp>
        <stp>[Copy of 02_cpr_main.xlsx]data!R415C5</stp>
        <stp>Dts=H</stp>
        <tr r="E415" s="2"/>
      </tp>
      <tp t="s">
        <v>#N/A Invalid Field</v>
        <stp/>
        <stp>##V3_BDHV12</stp>
        <stp>31411RCQ9 Mtge</stp>
        <stp>MTG_GEN_CPR_6M</stp>
        <stp>20090610</stp>
        <stp>20090610</stp>
        <stp>[Copy of 02_cpr_main.xlsx]data!R393C9</stp>
        <stp>Dts=H</stp>
        <tr r="I393" s="2"/>
      </tp>
      <tp t="s">
        <v>#N/A N/A</v>
        <stp/>
        <stp>##V3_BDPV12</stp>
        <stp>31382VHM9 Mtge</stp>
        <stp>MTG_PREPAY_SPEED</stp>
        <stp>[Copy of 02_cpr_main.xlsx]data!R205C12</stp>
        <tr r="L205" s="2"/>
      </tp>
      <tp t="s">
        <v>#N/A Invalid Field</v>
        <stp/>
        <stp>##V3_BDHV12</stp>
        <stp>31410RP29 Mtge</stp>
        <stp>MTG_GEN_CPR_3M</stp>
        <stp>20090610</stp>
        <stp>20090610</stp>
        <stp>[Copy of 02_cpr_main.xlsx]data!R382C8</stp>
        <stp>Dts=H</stp>
        <tr r="H382" s="2"/>
      </tp>
      <tp t="s">
        <v>#N/A Invalid Field</v>
        <stp/>
        <stp>##V3_BDHV12</stp>
        <stp>31411YGA5 Mtge</stp>
        <stp>MTG_GEN_CPR_3M</stp>
        <stp>20090331</stp>
        <stp>20090331</stp>
        <stp>[Copy of 02_cpr_main.xlsx]data!R400C5</stp>
        <stp>Dts=H</stp>
        <tr r="E400" s="2"/>
      </tp>
      <tp t="s">
        <v>#N/A Invalid Field</v>
        <stp/>
        <stp>##V3_BDHV12</stp>
        <stp>36201YC95 Mtge</stp>
        <stp>MTG_GEN_CPR_3M</stp>
        <stp>20090331</stp>
        <stp>20090331</stp>
        <stp>[Copy of 02_cpr_main.xlsx]data!R474C5</stp>
        <stp>Dts=H</stp>
        <tr r="E474" s="2"/>
      </tp>
      <tp t="s">
        <v>#N/A Invalid Field</v>
        <stp/>
        <stp>##V3_BDHV12</stp>
        <stp>31411SNF9 Mtge</stp>
        <stp>MTG_GEN_CPR_6M</stp>
        <stp>20090610</stp>
        <stp>20090610</stp>
        <stp>[Copy of 02_cpr_main.xlsx]data!R394C9</stp>
        <stp>Dts=H</stp>
        <tr r="I394" s="2"/>
      </tp>
      <tp t="s">
        <v>#N/A N/A</v>
        <stp/>
        <stp>##V3_BDPV12</stp>
        <stp>31402C5E8 Mtge</stp>
        <stp>MTG_PREPAY_SPEED</stp>
        <stp>[Copy of 02_cpr_main.xlsx]data!R263C12</stp>
        <tr r="L263" s="2"/>
      </tp>
      <tp t="s">
        <v>#N/A Invalid Field</v>
        <stp/>
        <stp>##V3_BDHV12</stp>
        <stp>31385WYC7 Mtge</stp>
        <stp>MTG_GEN_CPR_3M</stp>
        <stp>20090331</stp>
        <stp>20090331</stp>
        <stp>[Copy of 02_cpr_main.xlsx]data!R218C5</stp>
        <stp>Dts=H</stp>
        <tr r="E218" s="2"/>
      </tp>
      <tp t="s">
        <v>#N/A Invalid Field</v>
        <stp/>
        <stp>##V3_BDHV12</stp>
        <stp>31413UWD7 Mtge</stp>
        <stp>MTG_GEN_CPR_3M</stp>
        <stp>20090331</stp>
        <stp>20090331</stp>
        <stp>[Copy of 02_cpr_main.xlsx]data!R434C5</stp>
        <stp>Dts=H</stp>
        <tr r="E434" s="2"/>
      </tp>
      <tp t="s">
        <v>#N/A Invalid Field</v>
        <stp/>
        <stp>##V3_BDHV12</stp>
        <stp>31384VQR6 Mtge</stp>
        <stp>MTG_GEN_CPR_3M</stp>
        <stp>20090331</stp>
        <stp>20090331</stp>
        <stp>[Copy of 02_cpr_main.xlsx]data!R209C5</stp>
        <stp>Dts=H</stp>
        <tr r="E209" s="2"/>
      </tp>
      <tp t="s">
        <v>#N/A Invalid Field</v>
        <stp/>
        <stp>##V3_BDHV12</stp>
        <stp>3128K7DW5 Mtge</stp>
        <stp>MTG_GEN_CPR_12M</stp>
        <stp>20090331</stp>
        <stp>20090331</stp>
        <stp>[Copy of 02_cpr_main.xlsx]data!R73C7</stp>
        <stp>Dts=H</stp>
        <tr r="G73" s="2"/>
      </tp>
      <tp t="s">
        <v>#N/A Invalid Field</v>
        <stp/>
        <stp>##V3_BDHV12</stp>
        <stp>31402QHS3 Mtge</stp>
        <stp>MTG_GEN_CPR_6M</stp>
        <stp>20090331</stp>
        <stp>20090331</stp>
        <stp>[Copy of 02_cpr_main.xlsx]data!R275C6</stp>
        <stp>Dts=H</stp>
        <tr r="F275" s="2"/>
      </tp>
      <tp>
        <v>227</v>
        <stp/>
        <stp>##V3_BDPV12</stp>
        <stp>31403R2E7 Mtge</stp>
        <stp>MTG_PREPAY_SPEED</stp>
        <stp>[Copy of 02_cpr_main.xlsx]data!R309C12</stp>
        <tr r="L309" s="2"/>
      </tp>
      <tp t="s">
        <v>#N/A N/A</v>
        <stp/>
        <stp>##V3_BDPV12</stp>
        <stp>31294KZL2 Mtge</stp>
        <stp>MTG_PREPAY_SPEED</stp>
        <stp>[Copy of 02_cpr_main.xlsx]data!R135C12</stp>
        <tr r="L135" s="2"/>
      </tp>
      <tp t="s">
        <v>#N/A Invalid Field</v>
        <stp/>
        <stp>##V3_BDHV12</stp>
        <stp>36202WGD5 Mtge</stp>
        <stp>MTG_GEN_CPR_6M</stp>
        <stp>20090331</stp>
        <stp>20090331</stp>
        <stp>[Copy of 02_cpr_main.xlsx]data!R476C6</stp>
        <stp>Dts=H</stp>
        <tr r="F476" s="2"/>
      </tp>
      <tp t="s">
        <v>#N/A Invalid Field</v>
        <stp/>
        <stp>##V3_BDHV12</stp>
        <stp>31415RFH2 Mtge</stp>
        <stp>MTG_GEN_CPR_6M</stp>
        <stp>20090331</stp>
        <stp>20090331</stp>
        <stp>[Copy of 02_cpr_main.xlsx]data!R452C6</stp>
        <stp>Dts=H</stp>
        <tr r="F452" s="2"/>
      </tp>
      <tp>
        <v>123</v>
        <stp/>
        <stp>##V3_BDPV12</stp>
        <stp>36200WJE2 Mtge</stp>
        <stp>MTG_PREPAY_SPEED</stp>
        <stp>[Copy of 02_cpr_main.xlsx]data!R470C12</stp>
        <tr r="L470" s="2"/>
      </tp>
      <tp>
        <v>1.37</v>
        <stp/>
        <stp>##V3_BDPV12</stp>
        <stp>31386Y5M2 Mtge</stp>
        <stp>MTG_PREPAY_SPEED</stp>
        <stp>[Copy of 02_cpr_main.xlsx]data!R227C12</stp>
        <tr r="L227" s="2"/>
      </tp>
      <tp t="s">
        <v>#N/A Invalid Field</v>
        <stp/>
        <stp>##V3_BDHV12</stp>
        <stp>31400RXM8 Mtge</stp>
        <stp>MTG_GEN_CPR_3M</stp>
        <stp>20090610</stp>
        <stp>20090610</stp>
        <stp>[Copy of 02_cpr_main.xlsx]data!R251C8</stp>
        <stp>Dts=H</stp>
        <tr r="H251" s="2"/>
      </tp>
      <tp t="s">
        <v>#N/A Invalid Field</v>
        <stp/>
        <stp>##V3_BDHV12</stp>
        <stp>31405VG76 Mtge</stp>
        <stp>MTG_GEN_CPR_3M</stp>
        <stp>20090331</stp>
        <stp>20090331</stp>
        <stp>[Copy of 02_cpr_main.xlsx]data!R329C5</stp>
        <stp>Dts=H</stp>
        <tr r="E329" s="2"/>
      </tp>
      <tp t="s">
        <v>#N/A Invalid Field</v>
        <stp/>
        <stp>##V3_BDHV12</stp>
        <stp>31391QTJ3 Mtge</stp>
        <stp>MTG_GEN_CPR_3M</stp>
        <stp>20090331</stp>
        <stp>20090331</stp>
        <stp>[Copy of 02_cpr_main.xlsx]data!R240C5</stp>
        <stp>Dts=H</stp>
        <tr r="E240" s="2"/>
      </tp>
      <tp t="s">
        <v>#N/A Invalid Field</v>
        <stp/>
        <stp>##V3_BDHV12</stp>
        <stp>31293WAR1 Mtge</stp>
        <stp>MTG_GEN_CPR_6M</stp>
        <stp>20090331</stp>
        <stp>20090331</stp>
        <stp>[Copy of 02_cpr_main.xlsx]data!R125C6</stp>
        <stp>Dts=H</stp>
        <tr r="F125" s="2"/>
      </tp>
      <tp t="s">
        <v>#N/A Invalid Field</v>
        <stp/>
        <stp>##V3_BDHV12</stp>
        <stp>31391REW8 Mtge</stp>
        <stp>MTG_GEN_CPR_6M</stp>
        <stp>20090610</stp>
        <stp>20090610</stp>
        <stp>[Copy of 02_cpr_main.xlsx]data!R241C9</stp>
        <stp>Dts=H</stp>
        <tr r="I241" s="2"/>
      </tp>
      <tp t="s">
        <v>#N/A Invalid Field</v>
        <stp/>
        <stp>##V3_BDHV12</stp>
        <stp>36208YF46 Mtge</stp>
        <stp>MTG_GEN_CPR_3M</stp>
        <stp>20090610</stp>
        <stp>20090610</stp>
        <stp>[Copy of 02_cpr_main.xlsx]data!R480C8</stp>
        <stp>Dts=H</stp>
        <tr r="H480" s="2"/>
      </tp>
      <tp>
        <v>8.98</v>
        <stp/>
        <stp>##V3_BDPV12</stp>
        <stp>31406QGE1 Mtge</stp>
        <stp>MTG_PREPAY_SPEED</stp>
        <stp>[Copy of 02_cpr_main.xlsx]data!R338C12</stp>
        <tr r="L338" s="2"/>
      </tp>
      <tp t="s">
        <v>#N/A Invalid Field</v>
        <stp/>
        <stp>##V3_BDHV12</stp>
        <stp>31409TUG1 Mtge</stp>
        <stp>MTG_GEN_CPR_6M</stp>
        <stp>20090610</stp>
        <stp>20090610</stp>
        <stp>[Copy of 02_cpr_main.xlsx]data!R355C9</stp>
        <stp>Dts=H</stp>
        <tr r="I355" s="2"/>
      </tp>
      <tp t="s">
        <v>#N/A N/A</v>
        <stp/>
        <stp>##V3_BDPV12</stp>
        <stp>31391W6L0 Mtge</stp>
        <stp>MTG_PREPAY_SPEED</stp>
        <stp>[Copy of 02_cpr_main.xlsx]data!R242C12</stp>
        <tr r="L242" s="2"/>
      </tp>
      <tp t="s">
        <v>#N/A Invalid Field</v>
        <stp/>
        <stp>##V3_BDHV12</stp>
        <stp>31391W6L0 Mtge</stp>
        <stp>MTG_GEN_CPR_6M</stp>
        <stp>20090331</stp>
        <stp>20090331</stp>
        <stp>[Copy of 02_cpr_main.xlsx]data!R242C6</stp>
        <stp>Dts=H</stp>
        <tr r="F242" s="2"/>
      </tp>
      <tp t="s">
        <v>#N/A Invalid Field</v>
        <stp/>
        <stp>##V3_BDHV12</stp>
        <stp>31411YDS9 Mtge</stp>
        <stp>MTG_GEN_CPR_6M</stp>
        <stp>20090610</stp>
        <stp>20090610</stp>
        <stp>[Copy of 02_cpr_main.xlsx]data!R399C9</stp>
        <stp>Dts=H</stp>
        <tr r="I399" s="2"/>
      </tp>
      <tp t="s">
        <v>#N/A N/A</v>
        <stp/>
        <stp>##V3_BDPV12</stp>
        <stp>31391KAL1 Mtge</stp>
        <stp>MTG_PREPAY_SPEED</stp>
        <stp>[Copy of 02_cpr_main.xlsx]data!R237C12</stp>
        <tr r="L237" s="2"/>
      </tp>
      <tp t="s">
        <v>#N/A Invalid Field</v>
        <stp/>
        <stp>##V3_BDHV12</stp>
        <stp>31413SHF4 Mtge</stp>
        <stp>MTG_GEN_CPR_6M</stp>
        <stp>20090331</stp>
        <stp>20090331</stp>
        <stp>[Copy of 02_cpr_main.xlsx]data!R433C6</stp>
        <stp>Dts=H</stp>
        <tr r="F433" s="2"/>
      </tp>
      <tp t="s">
        <v>#N/A Invalid Field</v>
        <stp/>
        <stp>##V3_BDHV12</stp>
        <stp>36200QJD7 Mtge</stp>
        <stp>MTG_GEN_CPR_6M</stp>
        <stp>20090331</stp>
        <stp>20090331</stp>
        <stp>[Copy of 02_cpr_main.xlsx]data!R467C6</stp>
        <stp>Dts=H</stp>
        <tr r="F467" s="2"/>
      </tp>
      <tp t="s">
        <v>#N/A Invalid Field</v>
        <stp/>
        <stp>##V3_BDHV12</stp>
        <stp>31404QA74 Mtge</stp>
        <stp>MTG_GEN_CPR_6M</stp>
        <stp>20090331</stp>
        <stp>20090331</stp>
        <stp>[Copy of 02_cpr_main.xlsx]data!R318C6</stp>
        <stp>Dts=H</stp>
        <tr r="F318" s="2"/>
      </tp>
      <tp t="s">
        <v>#N/A Invalid Field</v>
        <stp/>
        <stp>##V3_BDHV12</stp>
        <stp>31412PBG5 Mtge</stp>
        <stp>MTG_GEN_CPR_6M</stp>
        <stp>20090331</stp>
        <stp>20090331</stp>
        <stp>[Copy of 02_cpr_main.xlsx]data!R411C6</stp>
        <stp>Dts=H</stp>
        <tr r="F411" s="2"/>
      </tp>
      <tp t="s">
        <v>#N/A Invalid Field</v>
        <stp/>
        <stp>##V3_BDHV12</stp>
        <stp>31401WKE8 Mtge</stp>
        <stp>MTG_GEN_CPR_6M</stp>
        <stp>20090610</stp>
        <stp>20090610</stp>
        <stp>[Copy of 02_cpr_main.xlsx]data!R259C9</stp>
        <stp>Dts=H</stp>
        <tr r="I259" s="2"/>
      </tp>
      <tp t="s">
        <v>#N/A Invalid Field</v>
        <stp/>
        <stp>##V3_BDHV12</stp>
        <stp>31388PCR0 Mtge</stp>
        <stp>MTG_GEN_CPR_3M</stp>
        <stp>20090610</stp>
        <stp>20090610</stp>
        <stp>[Copy of 02_cpr_main.xlsx]data!R228C8</stp>
        <stp>Dts=H</stp>
        <tr r="H228" s="2"/>
      </tp>
      <tp>
        <v>182</v>
        <stp/>
        <stp>##V3_BDPV12</stp>
        <stp>31413UWD7 Mtge</stp>
        <stp>MTG_PREPAY_SPEED</stp>
        <stp>[Copy of 02_cpr_main.xlsx]data!R434C12</stp>
        <tr r="L434" s="2"/>
      </tp>
      <tp>
        <v>6.68</v>
        <stp/>
        <stp>##V3_BDPV12</stp>
        <stp>31385XLM7 Mtge</stp>
        <stp>MTG_PREPAY_SPEED</stp>
        <stp>[Copy of 02_cpr_main.xlsx]data!R224C12</stp>
        <tr r="L224" s="2"/>
      </tp>
      <tp t="s">
        <v>#N/A Invalid Field</v>
        <stp/>
        <stp>##V3_BDHV12</stp>
        <stp>31382DQ98 Mtge</stp>
        <stp>MTG_GEN_CPR_6M</stp>
        <stp>20090610</stp>
        <stp>20090610</stp>
        <stp>[Copy of 02_cpr_main.xlsx]data!R195C9</stp>
        <stp>Dts=H</stp>
        <tr r="I195" s="2"/>
      </tp>
      <tp t="s">
        <v>#N/A Invalid Field</v>
        <stp/>
        <stp>##V3_BDHV12</stp>
        <stp>31371HQS0 Mtge</stp>
        <stp>MTG_GEN_CPR_3M</stp>
        <stp>20090331</stp>
        <stp>20090331</stp>
        <stp>[Copy of 02_cpr_main.xlsx]data!R165C5</stp>
        <stp>Dts=H</stp>
        <tr r="E165" s="2"/>
      </tp>
      <tp t="s">
        <v>#N/A Invalid Field</v>
        <stp/>
        <stp>##V3_BDHV12</stp>
        <stp>31401KCF0 Mtge</stp>
        <stp>MTG_GEN_CPR_6M</stp>
        <stp>20090331</stp>
        <stp>20090331</stp>
        <stp>[Copy of 02_cpr_main.xlsx]data!R256C6</stp>
        <stp>Dts=H</stp>
        <tr r="F256" s="2"/>
      </tp>
      <tp t="s">
        <v>#N/A Invalid Field</v>
        <stp/>
        <stp>##V3_BDHV12</stp>
        <stp>31371HNJ3 Mtge</stp>
        <stp>MTG_GEN_CPR_6M</stp>
        <stp>20090331</stp>
        <stp>20090331</stp>
        <stp>[Copy of 02_cpr_main.xlsx]data!R164C6</stp>
        <stp>Dts=H</stp>
        <tr r="F164" s="2"/>
      </tp>
      <tp t="s">
        <v>#N/A Invalid Field</v>
        <stp/>
        <stp>##V3_BDHV12</stp>
        <stp>31401JTD0 Mtge</stp>
        <stp>MTG_GEN_CPR_6M</stp>
        <stp>20090331</stp>
        <stp>20090331</stp>
        <stp>[Copy of 02_cpr_main.xlsx]data!R254C6</stp>
        <stp>Dts=H</stp>
        <tr r="F254" s="2"/>
      </tp>
      <tp t="s">
        <v>#N/A Invalid Field</v>
        <stp/>
        <stp>##V3_BDHV12</stp>
        <stp>31404M5N4 Mtge</stp>
        <stp>MTG_GEN_CPR_6M</stp>
        <stp>20090331</stp>
        <stp>20090331</stp>
        <stp>[Copy of 02_cpr_main.xlsx]data!R316C6</stp>
        <stp>Dts=H</stp>
        <tr r="F316" s="2"/>
      </tp>
      <tp t="s">
        <v>#N/A Invalid Field</v>
        <stp/>
        <stp>##V3_BDHV12</stp>
        <stp>31371KWH0 Mtge</stp>
        <stp>MTG_GEN_CPR_3M</stp>
        <stp>20090331</stp>
        <stp>20090331</stp>
        <stp>[Copy of 02_cpr_main.xlsx]data!R173C5</stp>
        <stp>Dts=H</stp>
        <tr r="E173" s="2"/>
      </tp>
      <tp t="s">
        <v>#N/A Invalid Field</v>
        <stp/>
        <stp>##V3_BDHV12</stp>
        <stp>36225BYJ1 Mtge</stp>
        <stp>MTG_GEN_CPR_3M</stp>
        <stp>20090331</stp>
        <stp>20090331</stp>
        <stp>[Copy of 02_cpr_main.xlsx]data!R495C5</stp>
        <stp>Dts=H</stp>
        <tr r="E495" s="2"/>
      </tp>
      <tp t="s">
        <v>#N/A Invalid Field</v>
        <stp/>
        <stp>##V3_BDHV12</stp>
        <stp>36225BB31 Mtge</stp>
        <stp>MTG_GEN_CPR_3M</stp>
        <stp>20090331</stp>
        <stp>20090331</stp>
        <stp>[Copy of 02_cpr_main.xlsx]data!R491C5</stp>
        <stp>Dts=H</stp>
        <tr r="E491" s="2"/>
      </tp>
      <tp t="s">
        <v>#N/A Invalid Field</v>
        <stp/>
        <stp>##V3_BDHV12</stp>
        <stp>31404ML97 Mtge</stp>
        <stp>MTG_GEN_CPR_3M</stp>
        <stp>20090331</stp>
        <stp>20090331</stp>
        <stp>[Copy of 02_cpr_main.xlsx]data!R317C5</stp>
        <stp>Dts=H</stp>
        <tr r="E317" s="2"/>
      </tp>
      <tp t="s">
        <v>#N/A Invalid Field</v>
        <stp/>
        <stp>##V3_BDHV12</stp>
        <stp>31335HUZ4 Mtge</stp>
        <stp>MTG_GEN_CPR_3M</stp>
        <stp>20090331</stp>
        <stp>20090331</stp>
        <stp>[Copy of 02_cpr_main.xlsx]data!R155C5</stp>
        <stp>Dts=H</stp>
        <tr r="E155" s="2"/>
      </tp>
      <tp t="s">
        <v>#N/A Invalid Field</v>
        <stp/>
        <stp>##V3_BDHV12</stp>
        <stp>31401KR49 Mtge</stp>
        <stp>MTG_GEN_CPR_3M</stp>
        <stp>20090610</stp>
        <stp>20090610</stp>
        <stp>[Copy of 02_cpr_main.xlsx]data!R257C8</stp>
        <stp>Dts=H</stp>
        <tr r="H257" s="2"/>
      </tp>
      <tp t="s">
        <v>#N/A Invalid Field</v>
        <stp/>
        <stp>##V3_BDHV12</stp>
        <stp>31403DDK2 Mtge</stp>
        <stp>MTG_GEN_CPR_6M</stp>
        <stp>20090331</stp>
        <stp>20090331</stp>
        <stp>[Copy of 02_cpr_main.xlsx]data!R295C6</stp>
        <stp>Dts=H</stp>
        <tr r="F295" s="2"/>
      </tp>
      <tp t="s">
        <v>#N/A Invalid Field</v>
        <stp/>
        <stp>##V3_BDHV12</stp>
        <stp>31403DET2 Mtge</stp>
        <stp>MTG_GEN_CPR_6M</stp>
        <stp>20090331</stp>
        <stp>20090331</stp>
        <stp>[Copy of 02_cpr_main.xlsx]data!R298C6</stp>
        <stp>Dts=H</stp>
        <tr r="F298" s="2"/>
      </tp>
      <tp t="s">
        <v>#N/A Invalid Field</v>
        <stp/>
        <stp>##V3_BDHV12</stp>
        <stp>31368HMH3 Mtge</stp>
        <stp>MTG_GEN_CPR_3M</stp>
        <stp>20090610</stp>
        <stp>20090610</stp>
        <stp>[Copy of 02_cpr_main.xlsx]data!R162C8</stp>
        <stp>Dts=H</stp>
        <tr r="H162" s="2"/>
      </tp>
      <tp t="s">
        <v>#N/A Invalid Field</v>
        <stp/>
        <stp>##V3_BDHV12</stp>
        <stp>31403CUZ2 Mtge</stp>
        <stp>MTG_GEN_CPR_6M</stp>
        <stp>20090331</stp>
        <stp>20090331</stp>
        <stp>[Copy of 02_cpr_main.xlsx]data!R294C6</stp>
        <stp>Dts=H</stp>
        <tr r="F294" s="2"/>
      </tp>
      <tp t="s">
        <v>#N/A Invalid Field</v>
        <stp/>
        <stp>##V3_BDHV12</stp>
        <stp>31292J5V8 Mtge</stp>
        <stp>MTG_GEN_CPR_6M</stp>
        <stp>20090610</stp>
        <stp>20090610</stp>
        <stp>[Copy of 02_cpr_main.xlsx]data!R120C9</stp>
        <stp>Dts=H</stp>
        <tr r="I120" s="2"/>
      </tp>
      <tp t="s">
        <v>#N/A Invalid Field</v>
        <stp/>
        <stp>##V3_BDHV12</stp>
        <stp>31403K4Q3 Mtge</stp>
        <stp>MTG_GEN_CPR_6M</stp>
        <stp>20090331</stp>
        <stp>20090331</stp>
        <stp>[Copy of 02_cpr_main.xlsx]data!R307C6</stp>
        <stp>Dts=H</stp>
        <tr r="F307" s="2"/>
      </tp>
      <tp t="s">
        <v>#N/A Invalid Field</v>
        <stp/>
        <stp>##V3_BDHV12</stp>
        <stp>31371LBD0 Mtge</stp>
        <stp>MTG_GEN_CPR_3M</stp>
        <stp>20090331</stp>
        <stp>20090331</stp>
        <stp>[Copy of 02_cpr_main.xlsx]data!R174C5</stp>
        <stp>Dts=H</stp>
        <tr r="E174" s="2"/>
      </tp>
      <tp t="s">
        <v>#N/A Invalid Field</v>
        <stp/>
        <stp>##V3_BDHV12</stp>
        <stp>31414HDB0 Mtge</stp>
        <stp>MTG_GEN_CPR_3M</stp>
        <stp>20090331</stp>
        <stp>20090331</stp>
        <stp>[Copy of 02_cpr_main.xlsx]data!R439C5</stp>
        <stp>Dts=H</stp>
        <tr r="E439" s="2"/>
      </tp>
      <tp t="s">
        <v>#N/A Invalid Field</v>
        <stp/>
        <stp>##V3_BDHV12</stp>
        <stp>31294J3N6 Mtge</stp>
        <stp>MTG_GEN_CPR_6M</stp>
        <stp>20090331</stp>
        <stp>20090331</stp>
        <stp>[Copy of 02_cpr_main.xlsx]data!R126C6</stp>
        <stp>Dts=H</stp>
        <tr r="F126" s="2"/>
      </tp>
      <tp t="s">
        <v>#N/A Invalid Field</v>
        <stp/>
        <stp>##V3_BDHV12</stp>
        <stp>31401MDP3 Mtge</stp>
        <stp>MTG_GEN_CPR_3M</stp>
        <stp>20090331</stp>
        <stp>20090331</stp>
        <stp>[Copy of 02_cpr_main.xlsx]data!R258C5</stp>
        <stp>Dts=H</stp>
        <tr r="E258" s="2"/>
      </tp>
      <tp t="s">
        <v>#N/A Invalid Field</v>
        <stp/>
        <stp>##V3_BDHV12</stp>
        <stp>31294KJS5 Mtge</stp>
        <stp>MTG_GEN_CPR_3M</stp>
        <stp>20090331</stp>
        <stp>20090331</stp>
        <stp>[Copy of 02_cpr_main.xlsx]data!R130C5</stp>
        <stp>Dts=H</stp>
        <tr r="E130" s="2"/>
      </tp>
      <tp t="s">
        <v>#N/A Invalid Field</v>
        <stp/>
        <stp>##V3_BDHV12</stp>
        <stp>31410MYP9 Mtge</stp>
        <stp>MTG_GEN_CPR_3M</stp>
        <stp>20090610</stp>
        <stp>20090610</stp>
        <stp>[Copy of 02_cpr_main.xlsx]data!R379C8</stp>
        <stp>Dts=H</stp>
        <tr r="H379" s="2"/>
      </tp>
      <tp t="s">
        <v>#N/A Invalid Field</v>
        <stp/>
        <stp>##V3_BDHV12</stp>
        <stp>36209EX56 Mtge</stp>
        <stp>MTG_GEN_CPR_6M</stp>
        <stp>20090610</stp>
        <stp>20090610</stp>
        <stp>[Copy of 02_cpr_main.xlsx]data!R481C9</stp>
        <stp>Dts=H</stp>
        <tr r="I481" s="2"/>
      </tp>
      <tp t="s">
        <v>#N/A Invalid Field</v>
        <stp/>
        <stp>##V3_BDHV12</stp>
        <stp>31296MC64 Mtge</stp>
        <stp>MTG_GEN_CPR_6M</stp>
        <stp>20090331</stp>
        <stp>20090331</stp>
        <stp>[Copy of 02_cpr_main.xlsx]data!R143C6</stp>
        <stp>Dts=H</stp>
        <tr r="F143" s="2"/>
      </tp>
      <tp t="s">
        <v>#N/A Invalid Field</v>
        <stp/>
        <stp>##V3_BDHV12</stp>
        <stp>31413KBU4 Mtge</stp>
        <stp>MTG_GEN_CPR_6M</stp>
        <stp>20090331</stp>
        <stp>20090331</stp>
        <stp>[Copy of 02_cpr_main.xlsx]data!R424C6</stp>
        <stp>Dts=H</stp>
        <tr r="F424" s="2"/>
      </tp>
      <tp t="s">
        <v>#N/A Invalid Field</v>
        <stp/>
        <stp>##V3_BDHV12</stp>
        <stp>31413KKF7 Mtge</stp>
        <stp>MTG_GEN_CPR_3M</stp>
        <stp>20090331</stp>
        <stp>20090331</stp>
        <stp>[Copy of 02_cpr_main.xlsx]data!R425C5</stp>
        <stp>Dts=H</stp>
        <tr r="E425" s="2"/>
      </tp>
      <tp t="s">
        <v>#N/A Invalid Field</v>
        <stp/>
        <stp>##V3_BDHV12</stp>
        <stp>31410C3Q3 Mtge</stp>
        <stp>MTG_GEN_CPR_3M</stp>
        <stp>20090331</stp>
        <stp>20090331</stp>
        <stp>[Copy of 02_cpr_main.xlsx]data!R357C5</stp>
        <stp>Dts=H</stp>
        <tr r="E357" s="2"/>
      </tp>
      <tp t="s">
        <v>#N/A Invalid Field</v>
        <stp/>
        <stp>##V3_BDHV12</stp>
        <stp>31371NGU3 Mtge</stp>
        <stp>MTG_GEN_CPR_6M</stp>
        <stp>20090331</stp>
        <stp>20090331</stp>
        <stp>[Copy of 02_cpr_main.xlsx]data!R180C6</stp>
        <stp>Dts=H</stp>
        <tr r="F180" s="2"/>
      </tp>
      <tp t="s">
        <v>#N/A Invalid Field</v>
        <stp/>
        <stp>##V3_BDHV12</stp>
        <stp>31416BZ68 Mtge</stp>
        <stp>MTG_GEN_CPR_3M</stp>
        <stp>20090610</stp>
        <stp>20090610</stp>
        <stp>[Copy of 02_cpr_main.xlsx]data!R461C8</stp>
        <stp>Dts=H</stp>
        <tr r="H461" s="2"/>
      </tp>
      <tp t="s">
        <v>#N/A Invalid Field</v>
        <stp/>
        <stp>##V3_BDHV12</stp>
        <stp>31406DJX5 Mtge</stp>
        <stp>MTG_GEN_CPR_3M</stp>
        <stp>20090331</stp>
        <stp>20090331</stp>
        <stp>[Copy of 02_cpr_main.xlsx]data!R335C5</stp>
        <stp>Dts=H</stp>
        <tr r="E335" s="2"/>
      </tp>
      <tp t="s">
        <v>#N/A Invalid Field</v>
        <stp/>
        <stp>##V3_BDHV12</stp>
        <stp>31293FJZ1 Mtge</stp>
        <stp>MTG_GEN_CPR_6M</stp>
        <stp>20090331</stp>
        <stp>20090331</stp>
        <stp>[Copy of 02_cpr_main.xlsx]data!R121C6</stp>
        <stp>Dts=H</stp>
        <tr r="F121" s="2"/>
      </tp>
      <tp t="s">
        <v>#N/A Invalid Field</v>
        <stp/>
        <stp>##V3_BDHV12</stp>
        <stp>31292G6T8 Mtge</stp>
        <stp>MTG_GEN_CPR_6M</stp>
        <stp>20090610</stp>
        <stp>20090610</stp>
        <stp>[Copy of 02_cpr_main.xlsx]data!R115C9</stp>
        <stp>Dts=H</stp>
        <tr r="I115" s="2"/>
      </tp>
      <tp t="s">
        <v>#N/A Invalid Field</v>
        <stp/>
        <stp>##V3_BDHV12</stp>
        <stp>31402CPL0 Mtge</stp>
        <stp>MTG_GEN_CPR_3M</stp>
        <stp>20090331</stp>
        <stp>20090331</stp>
        <stp>[Copy of 02_cpr_main.xlsx]data!R264C5</stp>
        <stp>Dts=H</stp>
        <tr r="E264" s="2"/>
      </tp>
      <tp t="s">
        <v>#N/A Invalid Field</v>
        <stp/>
        <stp>##V3_BDHV12</stp>
        <stp>31292GYA8 Mtge</stp>
        <stp>MTG_GEN_CPR_6M</stp>
        <stp>20090610</stp>
        <stp>20090610</stp>
        <stp>[Copy of 02_cpr_main.xlsx]data!R117C9</stp>
        <stp>Dts=H</stp>
        <tr r="I117" s="2"/>
      </tp>
      <tp t="s">
        <v>#N/A Invalid Field</v>
        <stp/>
        <stp>##V3_BDHV12</stp>
        <stp>31390EJB9 Mtge</stp>
        <stp>MTG_GEN_CPR_6M</stp>
        <stp>20090610</stp>
        <stp>20090610</stp>
        <stp>[Copy of 02_cpr_main.xlsx]data!R231C9</stp>
        <stp>Dts=H</stp>
        <tr r="I231" s="2"/>
      </tp>
      <tp t="s">
        <v>#N/A Invalid Field</v>
        <stp/>
        <stp>##V3_BDHV12</stp>
        <stp>31412B2P6 Mtge</stp>
        <stp>MTG_GEN_CPR_3M</stp>
        <stp>20090331</stp>
        <stp>20090331</stp>
        <stp>[Copy of 02_cpr_main.xlsx]data!R401C5</stp>
        <stp>Dts=H</stp>
        <tr r="E401" s="2"/>
      </tp>
      <tp t="s">
        <v>#N/A Invalid Field</v>
        <stp/>
        <stp>##V3_BDHV12</stp>
        <stp>31376J2J7 Mtge</stp>
        <stp>MTG_GEN_CPR_3M</stp>
        <stp>20090331</stp>
        <stp>20090331</stp>
        <stp>[Copy of 02_cpr_main.xlsx]data!R185C5</stp>
        <stp>Dts=H</stp>
        <tr r="E185" s="2"/>
      </tp>
      <tp t="s">
        <v>#N/A Invalid Field</v>
        <stp/>
        <stp>##V3_BDHV12</stp>
        <stp>31402D7K0 Mtge</stp>
        <stp>MTG_GEN_CPR_3M</stp>
        <stp>20090331</stp>
        <stp>20090331</stp>
        <stp>[Copy of 02_cpr_main.xlsx]data!R268C5</stp>
        <stp>Dts=H</stp>
        <tr r="E268" s="2"/>
      </tp>
      <tp t="s">
        <v>#N/A Invalid Field</v>
        <stp/>
        <stp>##V3_BDHV12</stp>
        <stp>31382KQ43 Mtge</stp>
        <stp>MTG_GEN_CPR_3M</stp>
        <stp>20090331</stp>
        <stp>20090331</stp>
        <stp>[Copy of 02_cpr_main.xlsx]data!R197C5</stp>
        <stp>Dts=H</stp>
        <tr r="E197" s="2"/>
      </tp>
      <tp t="s">
        <v>#N/A Invalid Field</v>
        <stp/>
        <stp>##V3_BDHV12</stp>
        <stp>31410DVM9 Mtge</stp>
        <stp>MTG_GEN_CPR_3M</stp>
        <stp>20090610</stp>
        <stp>20090610</stp>
        <stp>[Copy of 02_cpr_main.xlsx]data!R359C8</stp>
        <stp>Dts=H</stp>
        <tr r="H359" s="2"/>
      </tp>
      <tp t="s">
        <v>#N/A Invalid Field</v>
        <stp/>
        <stp>##V3_BDHV12</stp>
        <stp>31408EN81 Mtge</stp>
        <stp>MTG_GEN_CPR_3M</stp>
        <stp>20090610</stp>
        <stp>20090610</stp>
        <stp>[Copy of 02_cpr_main.xlsx]data!R349C8</stp>
        <stp>Dts=H</stp>
        <tr r="H349" s="2"/>
      </tp>
      <tp t="s">
        <v>#N/A Invalid Field</v>
        <stp/>
        <stp>##V3_BDHV12</stp>
        <stp>31402DDK3 Mtge</stp>
        <stp>MTG_GEN_CPR_6M</stp>
        <stp>20090331</stp>
        <stp>20090331</stp>
        <stp>[Copy of 02_cpr_main.xlsx]data!R269C6</stp>
        <stp>Dts=H</stp>
        <tr r="F269" s="2"/>
      </tp>
      <tp t="s">
        <v>#N/A Invalid Field</v>
        <stp/>
        <stp>##V3_BDHV12</stp>
        <stp>31410F6J9 Mtge</stp>
        <stp>MTG_GEN_CPR_3M</stp>
        <stp>20090610</stp>
        <stp>20090610</stp>
        <stp>[Copy of 02_cpr_main.xlsx]data!R363C8</stp>
        <stp>Dts=H</stp>
        <tr r="H363" s="2"/>
      </tp>
      <tp t="s">
        <v>#N/A Invalid Field</v>
        <stp/>
        <stp>##V3_BDHV12</stp>
        <stp>31409EW80 Mtge</stp>
        <stp>MTG_GEN_CPR_3M</stp>
        <stp>20090610</stp>
        <stp>20090610</stp>
        <stp>[Copy of 02_cpr_main.xlsx]data!R353C8</stp>
        <stp>Dts=H</stp>
        <tr r="H353" s="2"/>
      </tp>
      <tp t="s">
        <v>#N/A Invalid Field</v>
        <stp/>
        <stp>##V3_BDHV12</stp>
        <stp>36210LPE7 Mtge</stp>
        <stp>MTG_GEN_CPR_6M</stp>
        <stp>20090331</stp>
        <stp>20090331</stp>
        <stp>[Copy of 02_cpr_main.xlsx]data!R484C6</stp>
        <stp>Dts=H</stp>
        <tr r="F484" s="2"/>
      </tp>
      <tp t="s">
        <v>#N/A Invalid Field</v>
        <stp/>
        <stp>##V3_BDHV12</stp>
        <stp>31413BEW7 Mtge</stp>
        <stp>MTG_GEN_CPR_3M</stp>
        <stp>20090331</stp>
        <stp>20090331</stp>
        <stp>[Copy of 02_cpr_main.xlsx]data!R417C5</stp>
        <stp>Dts=H</stp>
        <tr r="E417" s="2"/>
      </tp>
      <tp t="s">
        <v>#N/A Invalid Field</v>
        <stp/>
        <stp>##V3_BDHV12</stp>
        <stp>31405CQ85 Mtge</stp>
        <stp>MTG_GEN_CPR_6M</stp>
        <stp>20090331</stp>
        <stp>20090331</stp>
        <stp>[Copy of 02_cpr_main.xlsx]data!R324C6</stp>
        <stp>Dts=H</stp>
        <tr r="F324" s="2"/>
      </tp>
      <tp t="s">
        <v>#N/A Invalid Field</v>
        <stp/>
        <stp>##V3_BDHV12</stp>
        <stp>31410DXZ8 Mtge</stp>
        <stp>MTG_GEN_CPR_6M</stp>
        <stp>20090610</stp>
        <stp>20090610</stp>
        <stp>[Copy of 02_cpr_main.xlsx]data!R360C9</stp>
        <stp>Dts=H</stp>
        <tr r="I360" s="2"/>
      </tp>
      <tp t="s">
        <v>#N/A Invalid Field</v>
        <stp/>
        <stp>##V3_BDHV12</stp>
        <stp>31382HBK0 Mtge</stp>
        <stp>MTG_GEN_CPR_6M</stp>
        <stp>20090331</stp>
        <stp>20090331</stp>
        <stp>[Copy of 02_cpr_main.xlsx]data!R196C6</stp>
        <stp>Dts=H</stp>
        <tr r="F196" s="2"/>
      </tp>
      <tp t="s">
        <v>#N/A Invalid Field</v>
        <stp/>
        <stp>##V3_BDHV12</stp>
        <stp>31410GJB0 Mtge</stp>
        <stp>MTG_GEN_CPR_6M</stp>
        <stp>20090331</stp>
        <stp>20090331</stp>
        <stp>[Copy of 02_cpr_main.xlsx]data!R369C6</stp>
        <stp>Dts=H</stp>
        <tr r="F369" s="2"/>
      </tp>
      <tp t="s">
        <v>#N/A Invalid Field</v>
        <stp/>
        <stp>##V3_BDHV12</stp>
        <stp>31410GFV0 Mtge</stp>
        <stp>MTG_GEN_CPR_6M</stp>
        <stp>20090331</stp>
        <stp>20090331</stp>
        <stp>[Copy of 02_cpr_main.xlsx]data!R366C6</stp>
        <stp>Dts=H</stp>
        <tr r="F366" s="2"/>
      </tp>
      <tp t="s">
        <v>#N/A Invalid Field</v>
        <stp/>
        <stp>##V3_BDHV12</stp>
        <stp>31401GLF9 Mtge</stp>
        <stp>MTG_GEN_CPR_3M</stp>
        <stp>20090610</stp>
        <stp>20090610</stp>
        <stp>[Copy of 02_cpr_main.xlsx]data!R253C8</stp>
        <stp>Dts=H</stp>
        <tr r="H253" s="2"/>
      </tp>
      <tp t="s">
        <v>#N/A N/A</v>
        <stp/>
        <stp>##V3_BDPV12</stp>
        <stp>3133XD5F4 Mtge</stp>
        <stp>MTG_PREPAY_SPEED</stp>
        <stp>[Copy of 02_cpr_main.xlsx]data!R156C12</stp>
        <tr r="L156" s="2"/>
      </tp>
      <tp t="s">
        <v>#N/A Invalid Field</v>
        <stp/>
        <stp>##V3_BDHV12</stp>
        <stp>312965L87 Mtge</stp>
        <stp>MTG_GEN_CPR_3M</stp>
        <stp>20090331</stp>
        <stp>20090331</stp>
        <stp>[Copy of 02_cpr_main.xlsx]data!R139C5</stp>
        <stp>Dts=H</stp>
        <tr r="E139" s="2"/>
      </tp>
      <tp>
        <v>1.3</v>
        <stp/>
        <stp>##V3_BDPV12</stp>
        <stp>3128QSKM7 Mtge</stp>
        <stp>MTG_PREPAY_SPEED</stp>
        <stp>[Copy of 02_cpr_main.xlsx]data!R111C12</stp>
        <tr r="L111" s="2"/>
      </tp>
      <tp t="s">
        <v>#N/A Invalid Field</v>
        <stp/>
        <stp>##V3_BDHV12</stp>
        <stp>3128GWD39 Mtge</stp>
        <stp>MTG_GEN_CPR_12M</stp>
        <stp>20090331</stp>
        <stp>20090331</stp>
        <stp>[Copy of 02_cpr_main.xlsx]data!R62C7</stp>
        <stp>Dts=H</stp>
        <tr r="G62" s="2"/>
      </tp>
      <tp>
        <v>17.5</v>
        <stp/>
        <stp>##V3_BDPV12</stp>
        <stp>3128QJ4M5 Mtge</stp>
        <stp>MTG_PREPAY_SPEED</stp>
        <stp>[Copy of 02_cpr_main.xlsx]data!R109C12</stp>
        <tr r="L109" s="2"/>
      </tp>
      <tp>
        <v>0.3</v>
        <stp/>
        <stp>##V3_BDPV12</stp>
        <stp>3128QGMM1 Mtge</stp>
        <stp>MTG_PREPAY_SPEED</stp>
        <stp>[Copy of 02_cpr_main.xlsx]data!R107C12</stp>
        <tr r="L107" s="2"/>
      </tp>
      <tp t="s">
        <v>#N/A Invalid Field</v>
        <stp/>
        <stp>##V3_BDHV12</stp>
        <stp>312962EA7 Mtge</stp>
        <stp>MTG_GEN_CPR_3M</stp>
        <stp>20090331</stp>
        <stp>20090331</stp>
        <stp>[Copy of 02_cpr_main.xlsx]data!R137C5</stp>
        <stp>Dts=H</stp>
        <tr r="E137" s="2"/>
      </tp>
      <tp t="s">
        <v>#N/A Invalid Field</v>
        <stp/>
        <stp>##V3_BDHV12</stp>
        <stp>3128JNBN4 Mtge</stp>
        <stp>MTG_GEN_CPR_12M</stp>
        <stp>20090331</stp>
        <stp>20090331</stp>
        <stp>[Copy of 02_cpr_main.xlsx]data!R70C7</stp>
        <stp>Dts=H</stp>
        <tr r="G70" s="2"/>
      </tp>
      <tp t="s">
        <v>#N/A Invalid Field</v>
        <stp/>
        <stp>##V3_BDHV12</stp>
        <stp>3128GLE99 Mtge</stp>
        <stp>MTG_GEN_CPR_12M</stp>
        <stp>20090331</stp>
        <stp>20090331</stp>
        <stp>[Copy of 02_cpr_main.xlsx]data!R60C7</stp>
        <stp>Dts=H</stp>
        <tr r="G60" s="2"/>
      </tp>
      <tp t="s">
        <v>#N/A Invalid Field</v>
        <stp/>
        <stp>##V3_BDHV12</stp>
        <stp>3128MB3A3 Mtge</stp>
        <stp>MTG_GEN_CPR_12M</stp>
        <stp>20090331</stp>
        <stp>20090331</stp>
        <stp>[Copy of 02_cpr_main.xlsx]data!R92C7</stp>
        <stp>Dts=H</stp>
        <tr r="G92" s="2"/>
      </tp>
      <tp t="s">
        <v>#N/A Invalid Field</v>
        <stp/>
        <stp>##V3_BDHV12</stp>
        <stp>3128NFL70 Mtge</stp>
        <stp>MTG_GEN_CPR_12M</stp>
        <stp>20090331</stp>
        <stp>20090331</stp>
        <stp>[Copy of 02_cpr_main.xlsx]data!R97C7</stp>
        <stp>Dts=H</stp>
        <tr r="G97" s="2"/>
      </tp>
      <tp t="s">
        <v>#N/A Invalid Field</v>
        <stp/>
        <stp>##V3_BDHV12</stp>
        <stp>3128LDPL2 Mtge</stp>
        <stp>MTG_GEN_CPR_12M</stp>
        <stp>20090331</stp>
        <stp>20090331</stp>
        <stp>[Copy of 02_cpr_main.xlsx]data!R79C7</stp>
        <stp>Dts=H</stp>
        <tr r="G79" s="2"/>
      </tp>
    </main>
    <main first="bloomberg.rtd">
      <tp t="s">
        <v>#N/A N/A</v>
        <stp/>
        <stp>##V3_BDPV12</stp>
        <stp>31385XDL8 Mtge</stp>
        <stp>MTG_PREPAY_SPEED</stp>
        <stp>[Copy of 02_cpr_main.xlsx]data!R220C12</stp>
        <tr r="L220" s="2"/>
      </tp>
      <tp t="s">
        <v>#N/A Invalid Field</v>
        <stp/>
        <stp>##V3_BDHV12</stp>
        <stp>31410TVY8 Mtge</stp>
        <stp>MTG_GEN_CPR_3M</stp>
        <stp>20090610</stp>
        <stp>20090610</stp>
        <stp>[Copy of 02_cpr_main.xlsx]data!R384C8</stp>
        <stp>Dts=H</stp>
        <tr r="H384" s="2"/>
      </tp>
      <tp t="s">
        <v>#N/A N/A</v>
        <stp/>
        <stp>##V3_BDPV12</stp>
        <stp>31405UVD8 Mtge</stp>
        <stp>MTG_PREPAY_SPEED</stp>
        <stp>[Copy of 02_cpr_main.xlsx]data!R328C12</stp>
        <tr r="L328" s="2"/>
      </tp>
      <tp t="s">
        <v>#N/A Invalid Field</v>
        <stp/>
        <stp>##V3_BDHV12</stp>
        <stp>31402TVS1 Mtge</stp>
        <stp>MTG_GEN_CPR_3M</stp>
        <stp>20090331</stp>
        <stp>20090331</stp>
        <stp>[Copy of 02_cpr_main.xlsx]data!R288C5</stp>
        <stp>Dts=H</stp>
        <tr r="E288" s="2"/>
      </tp>
      <tp t="s">
        <v>#N/A N/A</v>
        <stp/>
        <stp>##V3_BDPV12</stp>
        <stp>31294KSM8 Mtge</stp>
        <stp>MTG_PREPAY_SPEED</stp>
        <stp>[Copy of 02_cpr_main.xlsx]data!R134C12</stp>
        <tr r="L134" s="2"/>
      </tp>
      <tp t="s">
        <v>#N/A Invalid Field</v>
        <stp/>
        <stp>##V3_BDHV12</stp>
        <stp>31411WA49 Mtge</stp>
        <stp>MTG_GEN_CPR_3M</stp>
        <stp>20090610</stp>
        <stp>20090610</stp>
        <stp>[Copy of 02_cpr_main.xlsx]data!R397C8</stp>
        <stp>Dts=H</stp>
        <tr r="H397" s="2"/>
      </tp>
      <tp t="s">
        <v>#N/A Invalid Field</v>
        <stp/>
        <stp>##V3_BDHV12</stp>
        <stp>31405YXX4 Mtge</stp>
        <stp>MTG_GEN_CPR_6M</stp>
        <stp>20090331</stp>
        <stp>20090331</stp>
        <stp>[Copy of 02_cpr_main.xlsx]data!R332C6</stp>
        <stp>Dts=H</stp>
        <tr r="F332" s="2"/>
      </tp>
      <tp t="s">
        <v>#N/A Invalid Field</v>
        <stp/>
        <stp>##V3_BDHV12</stp>
        <stp>31410PYM9 Mtge</stp>
        <stp>MTG_GEN_CPR_6M</stp>
        <stp>20090610</stp>
        <stp>20090610</stp>
        <stp>[Copy of 02_cpr_main.xlsx]data!R380C9</stp>
        <stp>Dts=H</stp>
        <tr r="I380" s="2"/>
      </tp>
      <tp t="s">
        <v>#N/A Invalid Field</v>
        <stp/>
        <stp>##V3_BDHV12</stp>
        <stp>31404YDK5 Mtge</stp>
        <stp>MTG_GEN_CPR_6M</stp>
        <stp>20090331</stp>
        <stp>20090331</stp>
        <stp>[Copy of 02_cpr_main.xlsx]data!R322C6</stp>
        <stp>Dts=H</stp>
        <tr r="F322" s="2"/>
      </tp>
      <tp t="s">
        <v>#N/A Invalid Field</v>
        <stp/>
        <stp>##V3_BDHV12</stp>
        <stp>31410S5Y9 Mtge</stp>
        <stp>MTG_GEN_CPR_6M</stp>
        <stp>20090610</stp>
        <stp>20090610</stp>
        <stp>[Copy of 02_cpr_main.xlsx]data!R383C9</stp>
        <stp>Dts=H</stp>
        <tr r="I383" s="2"/>
      </tp>
      <tp t="s">
        <v>#N/A Invalid Field</v>
        <stp/>
        <stp>##V3_BDHV12</stp>
        <stp>36290V5G5 Mtge</stp>
        <stp>MTG_GEN_CPR_3M</stp>
        <stp>20090331</stp>
        <stp>20090331</stp>
        <stp>[Copy of 02_cpr_main.xlsx]data!R497C5</stp>
        <stp>Dts=H</stp>
        <tr r="E497" s="2"/>
      </tp>
      <tp t="s">
        <v>#N/A Invalid Field</v>
        <stp/>
        <stp>##V3_BDHV12</stp>
        <stp>3128M6Q92 Mtge</stp>
        <stp>MTG_GEN_CPR_12M</stp>
        <stp>20090331</stp>
        <stp>20090331</stp>
        <stp>[Copy of 02_cpr_main.xlsx]data!R89C7</stp>
        <stp>Dts=H</stp>
        <tr r="G89" s="2"/>
      </tp>
      <tp t="s">
        <v>#N/A Invalid Field</v>
        <stp/>
        <stp>##V3_BDHV12</stp>
        <stp>31411RCQ9 Mtge</stp>
        <stp>MTG_GEN_CPR_3M</stp>
        <stp>20090610</stp>
        <stp>20090610</stp>
        <stp>[Copy of 02_cpr_main.xlsx]data!R393C8</stp>
        <stp>Dts=H</stp>
        <tr r="H393" s="2"/>
      </tp>
      <tp t="s">
        <v>#N/A Invalid Field</v>
        <stp/>
        <stp>##V3_BDHV12</stp>
        <stp>36290W3Y6 Mtge</stp>
        <stp>MTG_GEN_CPR_6M</stp>
        <stp>20090331</stp>
        <stp>20090331</stp>
        <stp>[Copy of 02_cpr_main.xlsx]data!R498C6</stp>
        <stp>Dts=H</stp>
        <tr r="F498" s="2"/>
      </tp>
      <tp t="s">
        <v>#N/A Invalid Field</v>
        <stp/>
        <stp>##V3_BDHV12</stp>
        <stp>31412XSV7 Mtge</stp>
        <stp>MTG_GEN_CPR_3M</stp>
        <stp>20090331</stp>
        <stp>20090331</stp>
        <stp>[Copy of 02_cpr_main.xlsx]data!R414C5</stp>
        <stp>Dts=H</stp>
        <tr r="E414" s="2"/>
      </tp>
      <tp t="s">
        <v>#N/A Invalid Field</v>
        <stp/>
        <stp>##V3_BDHV12</stp>
        <stp>31410RP29 Mtge</stp>
        <stp>MTG_GEN_CPR_6M</stp>
        <stp>20090610</stp>
        <stp>20090610</stp>
        <stp>[Copy of 02_cpr_main.xlsx]data!R382C9</stp>
        <stp>Dts=H</stp>
        <tr r="I382" s="2"/>
      </tp>
      <tp t="s">
        <v>#N/A Invalid Field</v>
        <stp/>
        <stp>##V3_BDHV12</stp>
        <stp>31410QPT2 Mtge</stp>
        <stp>MTG_GEN_CPR_3M</stp>
        <stp>20090331</stp>
        <stp>20090331</stp>
        <stp>[Copy of 02_cpr_main.xlsx]data!R381C5</stp>
        <stp>Dts=H</stp>
        <tr r="E381" s="2"/>
      </tp>
      <tp t="s">
        <v>#N/A Invalid Field</v>
        <stp/>
        <stp>##V3_BDHV12</stp>
        <stp>31411SNF9 Mtge</stp>
        <stp>MTG_GEN_CPR_3M</stp>
        <stp>20090610</stp>
        <stp>20090610</stp>
        <stp>[Copy of 02_cpr_main.xlsx]data!R394C8</stp>
        <stp>Dts=H</stp>
        <tr r="H394" s="2"/>
      </tp>
      <tp t="s">
        <v>#N/A Invalid Field</v>
        <stp/>
        <stp>##V3_BDHV12</stp>
        <stp>31385W6V6 Mtge</stp>
        <stp>MTG_GEN_CPR_3M</stp>
        <stp>20090331</stp>
        <stp>20090331</stp>
        <stp>[Copy of 02_cpr_main.xlsx]data!R216C5</stp>
        <stp>Dts=H</stp>
        <tr r="E216" s="2"/>
      </tp>
      <tp t="s">
        <v>#N/A Invalid Field</v>
        <stp/>
        <stp>##V3_BDHV12</stp>
        <stp>31296RSK5 Mtge</stp>
        <stp>MTG_GEN_CPR_6M</stp>
        <stp>20090331</stp>
        <stp>20090331</stp>
        <stp>[Copy of 02_cpr_main.xlsx]data!R145C6</stp>
        <stp>Dts=H</stp>
        <tr r="F145" s="2"/>
      </tp>
      <tp t="s">
        <v>#N/A Invalid Field</v>
        <stp/>
        <stp>##V3_BDHV12</stp>
        <stp>31415SCE0 Mtge</stp>
        <stp>MTG_GEN_CPR_3M</stp>
        <stp>20090331</stp>
        <stp>20090331</stp>
        <stp>[Copy of 02_cpr_main.xlsx]data!R454C5</stp>
        <stp>Dts=H</stp>
        <tr r="E454" s="2"/>
      </tp>
      <tp t="s">
        <v>#N/A Invalid Field</v>
        <stp/>
        <stp>##V3_BDHV12</stp>
        <stp>31388TC68 Mtge</stp>
        <stp>MTG_GEN_CPR_6M</stp>
        <stp>20090331</stp>
        <stp>20090331</stp>
        <stp>[Copy of 02_cpr_main.xlsx]data!R229C6</stp>
        <stp>Dts=H</stp>
        <tr r="F229" s="2"/>
      </tp>
      <tp>
        <v>161</v>
        <stp/>
        <stp>##V3_BDPV12</stp>
        <stp>31414QAE7 Mtge</stp>
        <stp>MTG_PREPAY_SPEED</stp>
        <stp>[Copy of 02_cpr_main.xlsx]data!R443C12</stp>
        <tr r="L443" s="2"/>
      </tp>
      <tp t="s">
        <v>#N/A Invalid Field</v>
        <stp/>
        <stp>##V3_BDHV12</stp>
        <stp>31415RR30 Mtge</stp>
        <stp>MTG_GEN_CPR_3M</stp>
        <stp>20090331</stp>
        <stp>20090331</stp>
        <stp>[Copy of 02_cpr_main.xlsx]data!R453C5</stp>
        <stp>Dts=H</stp>
        <tr r="E453" s="2"/>
      </tp>
      <tp t="s">
        <v>#N/A Invalid Field</v>
        <stp/>
        <stp>##V3_BDHV12</stp>
        <stp>31293UAS3 Mtge</stp>
        <stp>MTG_GEN_CPR_3M</stp>
        <stp>20090331</stp>
        <stp>20090331</stp>
        <stp>[Copy of 02_cpr_main.xlsx]data!R123C5</stp>
        <stp>Dts=H</stp>
        <tr r="E123" s="2"/>
      </tp>
      <tp>
        <v>161</v>
        <stp/>
        <stp>##V3_BDPV12</stp>
        <stp>31413DGE1 Mtge</stp>
        <stp>MTG_PREPAY_SPEED</stp>
        <stp>[Copy of 02_cpr_main.xlsx]data!R419C12</stp>
        <tr r="L419" s="2"/>
      </tp>
      <tp t="s">
        <v>#N/A Invalid Field</v>
        <stp/>
        <stp>##V3_BDHV12</stp>
        <stp>31382TUC1 Mtge</stp>
        <stp>MTG_GEN_CPR_3M</stp>
        <stp>20090331</stp>
        <stp>20090331</stp>
        <stp>[Copy of 02_cpr_main.xlsx]data!R204C5</stp>
        <stp>Dts=H</stp>
        <tr r="E204" s="2"/>
      </tp>
      <tp t="s">
        <v>#N/A Invalid Field</v>
        <stp/>
        <stp>##V3_BDHV12</stp>
        <stp>31414PTH2 Mtge</stp>
        <stp>MTG_GEN_CPR_6M</stp>
        <stp>20090331</stp>
        <stp>20090331</stp>
        <stp>[Copy of 02_cpr_main.xlsx]data!R442C6</stp>
        <stp>Dts=H</stp>
        <tr r="F442" s="2"/>
      </tp>
      <tp t="s">
        <v>#N/A Invalid Field</v>
        <stp/>
        <stp>##V3_BDHV12</stp>
        <stp>31400RXM8 Mtge</stp>
        <stp>MTG_GEN_CPR_6M</stp>
        <stp>20090610</stp>
        <stp>20090610</stp>
        <stp>[Copy of 02_cpr_main.xlsx]data!R251C9</stp>
        <stp>Dts=H</stp>
        <tr r="I251" s="2"/>
      </tp>
      <tp t="s">
        <v>#N/A Invalid Field</v>
        <stp/>
        <stp>##V3_BDHV12</stp>
        <stp>31391REW8 Mtge</stp>
        <stp>MTG_GEN_CPR_3M</stp>
        <stp>20090610</stp>
        <stp>20090610</stp>
        <stp>[Copy of 02_cpr_main.xlsx]data!R241C8</stp>
        <stp>Dts=H</stp>
        <tr r="H241" s="2"/>
      </tp>
      <tp t="s">
        <v>#N/A Invalid Field</v>
        <stp/>
        <stp>##V3_BDHV12</stp>
        <stp>36208YF46 Mtge</stp>
        <stp>MTG_GEN_CPR_6M</stp>
        <stp>20090610</stp>
        <stp>20090610</stp>
        <stp>[Copy of 02_cpr_main.xlsx]data!R480C9</stp>
        <stp>Dts=H</stp>
        <tr r="I480" s="2"/>
      </tp>
      <tp t="s">
        <v>#N/A N/A</v>
        <stp/>
        <stp>##V3_BDPV12</stp>
        <stp>31391N7M7 Mtge</stp>
        <stp>MTG_PREPAY_SPEED</stp>
        <stp>[Copy of 02_cpr_main.xlsx]data!R238C12</stp>
        <tr r="L238" s="2"/>
      </tp>
      <tp t="s">
        <v>#N/A Invalid Field</v>
        <stp/>
        <stp>##V3_BDHV12</stp>
        <stp>31415WQC0 Mtge</stp>
        <stp>MTG_GEN_CPR_3M</stp>
        <stp>20090331</stp>
        <stp>20090331</stp>
        <stp>[Copy of 02_cpr_main.xlsx]data!R457C5</stp>
        <stp>Dts=H</stp>
        <tr r="E457" s="2"/>
      </tp>
      <tp t="s">
        <v>#N/A Invalid Field</v>
        <stp/>
        <stp>##V3_BDHV12</stp>
        <stp>31406VQ74 Mtge</stp>
        <stp>MTG_GEN_CPR_3M</stp>
        <stp>20090331</stp>
        <stp>20090331</stp>
        <stp>[Copy of 02_cpr_main.xlsx]data!R340C5</stp>
        <stp>Dts=H</stp>
        <tr r="E340" s="2"/>
      </tp>
      <tp t="s">
        <v>#N/A Invalid Field</v>
        <stp/>
        <stp>##V3_BDHV12</stp>
        <stp>31409TUG1 Mtge</stp>
        <stp>MTG_GEN_CPR_3M</stp>
        <stp>20090610</stp>
        <stp>20090610</stp>
        <stp>[Copy of 02_cpr_main.xlsx]data!R355C8</stp>
        <stp>Dts=H</stp>
        <tr r="H355" s="2"/>
      </tp>
      <tp t="s">
        <v>#N/A Invalid Field</v>
        <stp/>
        <stp>##V3_BDHV12</stp>
        <stp>3128K3ZC4 Mtge</stp>
        <stp>MTG_GEN_CPR_12M</stp>
        <stp>20090331</stp>
        <stp>20090331</stp>
        <stp>[Copy of 02_cpr_main.xlsx]data!R72C7</stp>
        <stp>Dts=H</stp>
        <tr r="G72" s="2"/>
      </tp>
      <tp t="s">
        <v>#N/A N/A</v>
        <stp/>
        <stp>##V3_BDPV12</stp>
        <stp>36202WGD5 Mtge</stp>
        <stp>MTG_PREPAY_SPEED</stp>
        <stp>[Copy of 02_cpr_main.xlsx]data!R476C12</stp>
        <tr r="L476" s="2"/>
      </tp>
      <tp>
        <v>160</v>
        <stp/>
        <stp>##V3_BDPV12</stp>
        <stp>36200QJD7 Mtge</stp>
        <stp>MTG_PREPAY_SPEED</stp>
        <stp>[Copy of 02_cpr_main.xlsx]data!R467C12</stp>
        <tr r="L467" s="2"/>
      </tp>
      <tp>
        <v>115</v>
        <stp/>
        <stp>##V3_BDPV12</stp>
        <stp>31415XJE2 Mtge</stp>
        <stp>MTG_PREPAY_SPEED</stp>
        <stp>[Copy of 02_cpr_main.xlsx]data!R458C12</stp>
        <tr r="L458" s="2"/>
      </tp>
      <tp t="s">
        <v>#N/A N/A</v>
        <stp/>
        <stp>##V3_BDPV12</stp>
        <stp>36210LPE7 Mtge</stp>
        <stp>MTG_PREPAY_SPEED</stp>
        <stp>[Copy of 02_cpr_main.xlsx]data!R484C12</stp>
        <tr r="L484" s="2"/>
      </tp>
      <tp t="s">
        <v>#N/A N/A</v>
        <stp/>
        <stp>##V3_BDPV12</stp>
        <stp>31401JTD0 Mtge</stp>
        <stp>MTG_PREPAY_SPEED</stp>
        <stp>[Copy of 02_cpr_main.xlsx]data!R254C12</stp>
        <tr r="L254" s="2"/>
      </tp>
      <tp t="s">
        <v>#N/A Invalid Field</v>
        <stp/>
        <stp>##V3_BDHV12</stp>
        <stp>31403R3B2 Mtge</stp>
        <stp>MTG_GEN_CPR_6M</stp>
        <stp>20090331</stp>
        <stp>20090331</stp>
        <stp>[Copy of 02_cpr_main.xlsx]data!R310C6</stp>
        <stp>Dts=H</stp>
        <tr r="F310" s="2"/>
      </tp>
      <tp t="s">
        <v>#N/A Invalid Field</v>
        <stp/>
        <stp>##V3_BDHV12</stp>
        <stp>36201SRB7 Mtge</stp>
        <stp>MTG_GEN_CPR_6M</stp>
        <stp>20090331</stp>
        <stp>20090331</stp>
        <stp>[Copy of 02_cpr_main.xlsx]data!R473C6</stp>
        <stp>Dts=H</stp>
        <tr r="F473" s="2"/>
      </tp>
      <tp t="s">
        <v>#N/A Invalid Field</v>
        <stp/>
        <stp>##V3_BDHV12</stp>
        <stp>36202SBN7 Mtge</stp>
        <stp>MTG_GEN_CPR_3M</stp>
        <stp>20090331</stp>
        <stp>20090331</stp>
        <stp>[Copy of 02_cpr_main.xlsx]data!R475C5</stp>
        <stp>Dts=H</stp>
        <tr r="E475" s="2"/>
      </tp>
      <tp t="s">
        <v>#N/A Invalid Field</v>
        <stp/>
        <stp>##V3_BDHV12</stp>
        <stp>31411YDS9 Mtge</stp>
        <stp>MTG_GEN_CPR_3M</stp>
        <stp>20090610</stp>
        <stp>20090610</stp>
        <stp>[Copy of 02_cpr_main.xlsx]data!R399C8</stp>
        <stp>Dts=H</stp>
        <tr r="H399" s="2"/>
      </tp>
      <tp>
        <v>6.88</v>
        <stp/>
        <stp>##V3_BDPV12</stp>
        <stp>31406H3D7 Mtge</stp>
        <stp>MTG_PREPAY_SPEED</stp>
        <stp>[Copy of 02_cpr_main.xlsx]data!R337C12</stp>
        <tr r="L337" s="2"/>
      </tp>
      <tp t="s">
        <v>#N/A Invalid Field</v>
        <stp/>
        <stp>##V3_BDHV12</stp>
        <stp>31349UFK9 Mtge</stp>
        <stp>MTG_GEN_CPR_3M</stp>
        <stp>20090331</stp>
        <stp>20090331</stp>
        <stp>[Copy of 02_cpr_main.xlsx]data!R158C5</stp>
        <stp>Dts=H</stp>
        <tr r="E158" s="2"/>
      </tp>
      <tp t="s">
        <v>#N/A N/A</v>
        <stp/>
        <stp>##V3_BDPV12</stp>
        <stp>31415SCE0 Mtge</stp>
        <stp>MTG_PREPAY_SPEED</stp>
        <stp>[Copy of 02_cpr_main.xlsx]data!R454C12</stp>
        <tr r="L454" s="2"/>
      </tp>
      <tp>
        <v>0.47</v>
        <stp/>
        <stp>##V3_BDPV12</stp>
        <stp>31410EPE2 Mtge</stp>
        <stp>MTG_PREPAY_SPEED</stp>
        <stp>[Copy of 02_cpr_main.xlsx]data!R361C12</stp>
        <tr r="L361" s="2"/>
      </tp>
      <tp t="s">
        <v>#N/A Invalid Field</v>
        <stp/>
        <stp>##V3_BDHV12</stp>
        <stp>31411X6Z3 Mtge</stp>
        <stp>MTG_GEN_CPR_3M</stp>
        <stp>20090331</stp>
        <stp>20090331</stp>
        <stp>[Copy of 02_cpr_main.xlsx]data!R398C5</stp>
        <stp>Dts=H</stp>
        <tr r="E398" s="2"/>
      </tp>
      <tp t="s">
        <v>#N/A Invalid Field</v>
        <stp/>
        <stp>##V3_BDHV12</stp>
        <stp>31415TF70 Mtge</stp>
        <stp>MTG_GEN_CPR_3M</stp>
        <stp>20090331</stp>
        <stp>20090331</stp>
        <stp>[Copy of 02_cpr_main.xlsx]data!R455C5</stp>
        <stp>Dts=H</stp>
        <tr r="E455" s="2"/>
      </tp>
      <tp t="s">
        <v>#N/A Invalid Field</v>
        <stp/>
        <stp>##V3_BDHV12</stp>
        <stp>31401WKE8 Mtge</stp>
        <stp>MTG_GEN_CPR_3M</stp>
        <stp>20090610</stp>
        <stp>20090610</stp>
        <stp>[Copy of 02_cpr_main.xlsx]data!R259C8</stp>
        <stp>Dts=H</stp>
        <tr r="H259" s="2"/>
      </tp>
      <tp t="s">
        <v>#N/A Invalid Field</v>
        <stp/>
        <stp>##V3_BDHV12</stp>
        <stp>31388PCR0 Mtge</stp>
        <stp>MTG_GEN_CPR_6M</stp>
        <stp>20090610</stp>
        <stp>20090610</stp>
        <stp>[Copy of 02_cpr_main.xlsx]data!R228C9</stp>
        <stp>Dts=H</stp>
        <tr r="I228" s="2"/>
      </tp>
      <tp t="s">
        <v>#N/A Invalid Field</v>
        <stp/>
        <stp>##V3_BDHV12</stp>
        <stp>31415TLM0 Mtge</stp>
        <stp>MTG_GEN_CPR_3M</stp>
        <stp>20090331</stp>
        <stp>20090331</stp>
        <stp>[Copy of 02_cpr_main.xlsx]data!R456C5</stp>
        <stp>Dts=H</stp>
        <tr r="E456" s="2"/>
      </tp>
      <tp t="s">
        <v>#N/A Invalid Field</v>
        <stp/>
        <stp>##V3_BDHV12</stp>
        <stp>31411GP30 Mtge</stp>
        <stp>MTG_GEN_CPR_6M</stp>
        <stp>20090331</stp>
        <stp>20090331</stp>
        <stp>[Copy of 02_cpr_main.xlsx]data!R392C6</stp>
        <stp>Dts=H</stp>
        <tr r="F392" s="2"/>
      </tp>
      <tp t="s">
        <v>#N/A Invalid Field</v>
        <stp/>
        <stp>##V3_BDHV12</stp>
        <stp>31382DQ98 Mtge</stp>
        <stp>MTG_GEN_CPR_3M</stp>
        <stp>20090610</stp>
        <stp>20090610</stp>
        <stp>[Copy of 02_cpr_main.xlsx]data!R195C8</stp>
        <stp>Dts=H</stp>
        <tr r="H195" s="2"/>
      </tp>
      <tp t="s">
        <v>#N/A Invalid Field</v>
        <stp/>
        <stp>##V3_BDHV12</stp>
        <stp>31411GDL3 Mtge</stp>
        <stp>MTG_GEN_CPR_3M</stp>
        <stp>20090331</stp>
        <stp>20090331</stp>
        <stp>[Copy of 02_cpr_main.xlsx]data!R391C5</stp>
        <stp>Dts=H</stp>
        <tr r="E391" s="2"/>
      </tp>
      <tp t="s">
        <v>#N/A Invalid Field</v>
        <stp/>
        <stp>##V3_BDHV12</stp>
        <stp>31407JBC5 Mtge</stp>
        <stp>MTG_GEN_CPR_3M</stp>
        <stp>20090331</stp>
        <stp>20090331</stp>
        <stp>[Copy of 02_cpr_main.xlsx]data!R342C5</stp>
        <stp>Dts=H</stp>
        <tr r="E342" s="2"/>
      </tp>
      <tp t="s">
        <v>#N/A Invalid Field</v>
        <stp/>
        <stp>##V3_BDHV12</stp>
        <stp>31368HMA8 Mtge</stp>
        <stp>MTG_GEN_CPR_3M</stp>
        <stp>20090331</stp>
        <stp>20090331</stp>
        <stp>[Copy of 02_cpr_main.xlsx]data!R160C5</stp>
        <stp>Dts=H</stp>
        <tr r="E160" s="2"/>
      </tp>
      <tp t="s">
        <v>#N/A Invalid Field</v>
        <stp/>
        <stp>##V3_BDHV12</stp>
        <stp>31414KAV2 Mtge</stp>
        <stp>MTG_GEN_CPR_6M</stp>
        <stp>20090331</stp>
        <stp>20090331</stp>
        <stp>[Copy of 02_cpr_main.xlsx]data!R440C6</stp>
        <stp>Dts=H</stp>
        <tr r="F440" s="2"/>
      </tp>
      <tp t="s">
        <v>#N/A Invalid Field</v>
        <stp/>
        <stp>##V3_BDHV12</stp>
        <stp>36291ACW7 Mtge</stp>
        <stp>MTG_GEN_CPR_6M</stp>
        <stp>20090331</stp>
        <stp>20090331</stp>
        <stp>[Copy of 02_cpr_main.xlsx]data!R499C6</stp>
        <stp>Dts=H</stp>
        <tr r="F499" s="2"/>
      </tp>
      <tp t="s">
        <v>#N/A Invalid Field</v>
        <stp/>
        <stp>##V3_BDHV12</stp>
        <stp>31410KR22 Mtge</stp>
        <stp>MTG_GEN_CPR_3M</stp>
        <stp>20090331</stp>
        <stp>20090331</stp>
        <stp>[Copy of 02_cpr_main.xlsx]data!R374C5</stp>
        <stp>Dts=H</stp>
        <tr r="E374" s="2"/>
      </tp>
      <tp t="s">
        <v>#N/A Invalid Field</v>
        <stp/>
        <stp>##V3_BDHV12</stp>
        <stp>31410KUN2 Mtge</stp>
        <stp>MTG_GEN_CPR_3M</stp>
        <stp>20090331</stp>
        <stp>20090331</stp>
        <stp>[Copy of 02_cpr_main.xlsx]data!R377C5</stp>
        <stp>Dts=H</stp>
        <tr r="E377" s="2"/>
      </tp>
      <tp t="s">
        <v>#N/A Invalid Field</v>
        <stp/>
        <stp>##V3_BDHV12</stp>
        <stp>36225BAP3 Mtge</stp>
        <stp>MTG_GEN_CPR_6M</stp>
        <stp>20090331</stp>
        <stp>20090331</stp>
        <stp>[Copy of 02_cpr_main.xlsx]data!R490C6</stp>
        <stp>Dts=H</stp>
        <tr r="F490" s="2"/>
      </tp>
      <tp t="s">
        <v>#N/A Invalid Field</v>
        <stp/>
        <stp>##V3_BDHV12</stp>
        <stp>36225BG93 Mtge</stp>
        <stp>MTG_GEN_CPR_6M</stp>
        <stp>20090331</stp>
        <stp>20090331</stp>
        <stp>[Copy of 02_cpr_main.xlsx]data!R492C6</stp>
        <stp>Dts=H</stp>
        <tr r="F492" s="2"/>
      </tp>
      <tp t="s">
        <v>#N/A Invalid Field</v>
        <stp/>
        <stp>##V3_BDHV12</stp>
        <stp>31413NCZ6 Mtge</stp>
        <stp>MTG_GEN_CPR_3M</stp>
        <stp>20090331</stp>
        <stp>20090331</stp>
        <stp>[Copy of 02_cpr_main.xlsx]data!R429C5</stp>
        <stp>Dts=H</stp>
        <tr r="E429" s="2"/>
      </tp>
      <tp t="s">
        <v>#N/A Invalid Field</v>
        <stp/>
        <stp>##V3_BDHV12</stp>
        <stp>31335H4K6 Mtge</stp>
        <stp>MTG_GEN_CPR_6M</stp>
        <stp>20090331</stp>
        <stp>20090331</stp>
        <stp>[Copy of 02_cpr_main.xlsx]data!R154C6</stp>
        <stp>Dts=H</stp>
        <tr r="F154" s="2"/>
      </tp>
      <tp t="s">
        <v>#N/A Invalid Field</v>
        <stp/>
        <stp>##V3_BDHV12</stp>
        <stp>31371K6K2 Mtge</stp>
        <stp>MTG_GEN_CPR_6M</stp>
        <stp>20090331</stp>
        <stp>20090331</stp>
        <stp>[Copy of 02_cpr_main.xlsx]data!R169C6</stp>
        <stp>Dts=H</stp>
        <tr r="F169" s="2"/>
      </tp>
      <tp t="s">
        <v>#N/A Invalid Field</v>
        <stp/>
        <stp>##V3_BDHV12</stp>
        <stp>31401KR49 Mtge</stp>
        <stp>MTG_GEN_CPR_6M</stp>
        <stp>20090610</stp>
        <stp>20090610</stp>
        <stp>[Copy of 02_cpr_main.xlsx]data!R257C9</stp>
        <stp>Dts=H</stp>
        <tr r="I257" s="2"/>
      </tp>
      <tp t="s">
        <v>#N/A Invalid Field</v>
        <stp/>
        <stp>##V3_BDHV12</stp>
        <stp>31403DDL0 Mtge</stp>
        <stp>MTG_GEN_CPR_3M</stp>
        <stp>20090331</stp>
        <stp>20090331</stp>
        <stp>[Copy of 02_cpr_main.xlsx]data!R296C5</stp>
        <stp>Dts=H</stp>
        <tr r="E296" s="2"/>
      </tp>
      <tp t="s">
        <v>#N/A Invalid Field</v>
        <stp/>
        <stp>##V3_BDHV12</stp>
        <stp>31368HMH3 Mtge</stp>
        <stp>MTG_GEN_CPR_6M</stp>
        <stp>20090610</stp>
        <stp>20090610</stp>
        <stp>[Copy of 02_cpr_main.xlsx]data!R162C9</stp>
        <stp>Dts=H</stp>
        <tr r="I162" s="2"/>
      </tp>
      <tp t="s">
        <v>#N/A Invalid Field</v>
        <stp/>
        <stp>##V3_BDHV12</stp>
        <stp>31403C6L0 Mtge</stp>
        <stp>MTG_GEN_CPR_3M</stp>
        <stp>20090331</stp>
        <stp>20090331</stp>
        <stp>[Copy of 02_cpr_main.xlsx]data!R293C5</stp>
        <stp>Dts=H</stp>
        <tr r="E293" s="2"/>
      </tp>
      <tp t="s">
        <v>#N/A Invalid Field</v>
        <stp/>
        <stp>##V3_BDHV12</stp>
        <stp>31403C2Z3 Mtge</stp>
        <stp>MTG_GEN_CPR_6M</stp>
        <stp>20090331</stp>
        <stp>20090331</stp>
        <stp>[Copy of 02_cpr_main.xlsx]data!R292C6</stp>
        <stp>Dts=H</stp>
        <tr r="F292" s="2"/>
      </tp>
      <tp t="s">
        <v>#N/A Invalid Field</v>
        <stp/>
        <stp>##V3_BDHV12</stp>
        <stp>31410M4L1 Mtge</stp>
        <stp>MTG_GEN_CPR_6M</stp>
        <stp>20090331</stp>
        <stp>20090331</stp>
        <stp>[Copy of 02_cpr_main.xlsx]data!R378C6</stp>
        <stp>Dts=H</stp>
        <tr r="F378" s="2"/>
      </tp>
      <tp t="s">
        <v>#N/A Invalid Field</v>
        <stp/>
        <stp>##V3_BDHV12</stp>
        <stp>31371MWJ2 Mtge</stp>
        <stp>MTG_GEN_CPR_6M</stp>
        <stp>20090331</stp>
        <stp>20090331</stp>
        <stp>[Copy of 02_cpr_main.xlsx]data!R179C6</stp>
        <stp>Dts=H</stp>
        <tr r="F179" s="2"/>
      </tp>
      <tp t="s">
        <v>#N/A Invalid Field</v>
        <stp/>
        <stp>##V3_BDHV12</stp>
        <stp>36201JFW4 Mtge</stp>
        <stp>MTG_GEN_CPR_3M</stp>
        <stp>20090331</stp>
        <stp>20090331</stp>
        <stp>[Copy of 02_cpr_main.xlsx]data!R472C5</stp>
        <stp>Dts=H</stp>
        <tr r="E472" s="2"/>
      </tp>
      <tp t="s">
        <v>#N/A Invalid Field</v>
        <stp/>
        <stp>##V3_BDHV12</stp>
        <stp>31406H3D7 Mtge</stp>
        <stp>MTG_GEN_CPR_6M</stp>
        <stp>20090331</stp>
        <stp>20090331</stp>
        <stp>[Copy of 02_cpr_main.xlsx]data!R337C6</stp>
        <stp>Dts=H</stp>
        <tr r="F337" s="2"/>
      </tp>
      <tp t="s">
        <v>#N/A Invalid Field</v>
        <stp/>
        <stp>##V3_BDHV12</stp>
        <stp>31292J5V8 Mtge</stp>
        <stp>MTG_GEN_CPR_3M</stp>
        <stp>20090610</stp>
        <stp>20090610</stp>
        <stp>[Copy of 02_cpr_main.xlsx]data!R120C8</stp>
        <stp>Dts=H</stp>
        <tr r="H120" s="2"/>
      </tp>
      <tp t="s">
        <v>#N/A Invalid Field</v>
        <stp/>
        <stp>##V3_BDHV12</stp>
        <stp>31371LQW2 Mtge</stp>
        <stp>MTG_GEN_CPR_6M</stp>
        <stp>20090331</stp>
        <stp>20090331</stp>
        <stp>[Copy of 02_cpr_main.xlsx]data!R176C6</stp>
        <stp>Dts=H</stp>
        <tr r="F176" s="2"/>
      </tp>
      <tp t="s">
        <v>#N/A Invalid Field</v>
        <stp/>
        <stp>##V3_BDHV12</stp>
        <stp>36211DPQ7 Mtge</stp>
        <stp>MTG_GEN_CPR_6M</stp>
        <stp>20090331</stp>
        <stp>20090331</stp>
        <stp>[Copy of 02_cpr_main.xlsx]data!R486C6</stp>
        <stp>Dts=H</stp>
        <tr r="F486" s="2"/>
      </tp>
      <tp t="s">
        <v>#N/A Invalid Field</v>
        <stp/>
        <stp>##V3_BDHV12</stp>
        <stp>31403KRB1 Mtge</stp>
        <stp>MTG_GEN_CPR_3M</stp>
        <stp>20090331</stp>
        <stp>20090331</stp>
        <stp>[Copy of 02_cpr_main.xlsx]data!R308C5</stp>
        <stp>Dts=H</stp>
        <tr r="E308" s="2"/>
      </tp>
      <tp t="s">
        <v>#N/A Invalid Field</v>
        <stp/>
        <stp>##V3_BDHV12</stp>
        <stp>31371LDY2 Mtge</stp>
        <stp>MTG_GEN_CPR_6M</stp>
        <stp>20090331</stp>
        <stp>20090331</stp>
        <stp>[Copy of 02_cpr_main.xlsx]data!R175C6</stp>
        <stp>Dts=H</stp>
        <tr r="F175" s="2"/>
      </tp>
      <tp t="s">
        <v>#N/A Invalid Field</v>
        <stp/>
        <stp>##V3_BDHV12</stp>
        <stp>31391HFQ2 Mtge</stp>
        <stp>MTG_GEN_CPR_3M</stp>
        <stp>20090331</stp>
        <stp>20090331</stp>
        <stp>[Copy of 02_cpr_main.xlsx]data!R236C5</stp>
        <stp>Dts=H</stp>
        <tr r="E236" s="2"/>
      </tp>
      <tp t="s">
        <v>#N/A Invalid Field</v>
        <stp/>
        <stp>##V3_BDHV12</stp>
        <stp>31385JJF6 Mtge</stp>
        <stp>MTG_GEN_CPR_3M</stp>
        <stp>20090331</stp>
        <stp>20090331</stp>
        <stp>[Copy of 02_cpr_main.xlsx]data!R215C5</stp>
        <stp>Dts=H</stp>
        <tr r="E215" s="2"/>
      </tp>
      <tp t="s">
        <v>#N/A Invalid Field</v>
        <stp/>
        <stp>##V3_BDHV12</stp>
        <stp>31389HN79 Mtge</stp>
        <stp>MTG_GEN_CPR_6M</stp>
        <stp>20090331</stp>
        <stp>20090331</stp>
        <stp>[Copy of 02_cpr_main.xlsx]data!R230C6</stp>
        <stp>Dts=H</stp>
        <tr r="F230" s="2"/>
      </tp>
      <tp t="s">
        <v>#N/A Invalid Field</v>
        <stp/>
        <stp>##V3_BDHV12</stp>
        <stp>36213GSU6 Mtge</stp>
        <stp>MTG_GEN_CPR_3M</stp>
        <stp>20090331</stp>
        <stp>20090331</stp>
        <stp>[Copy of 02_cpr_main.xlsx]data!R488C5</stp>
        <stp>Dts=H</stp>
        <tr r="E488" s="2"/>
      </tp>
      <tp t="s">
        <v>#N/A Invalid Field</v>
        <stp/>
        <stp>##V3_BDHV12</stp>
        <stp>31414LAH1 Mtge</stp>
        <stp>MTG_GEN_CPR_3M</stp>
        <stp>20090331</stp>
        <stp>20090331</stp>
        <stp>[Copy of 02_cpr_main.xlsx]data!R441C5</stp>
        <stp>Dts=H</stp>
        <tr r="E441" s="2"/>
      </tp>
      <tp t="s">
        <v>#N/A Invalid Field</v>
        <stp/>
        <stp>##V3_BDHV12</stp>
        <stp>31391KAL1 Mtge</stp>
        <stp>MTG_GEN_CPR_6M</stp>
        <stp>20090331</stp>
        <stp>20090331</stp>
        <stp>[Copy of 02_cpr_main.xlsx]data!R237C6</stp>
        <stp>Dts=H</stp>
        <tr r="F237" s="2"/>
      </tp>
      <tp t="s">
        <v>#N/A Invalid Field</v>
        <stp/>
        <stp>##V3_BDHV12</stp>
        <stp>31413JJ96 Mtge</stp>
        <stp>MTG_GEN_CPR_3M</stp>
        <stp>20090331</stp>
        <stp>20090331</stp>
        <stp>[Copy of 02_cpr_main.xlsx]data!R421C5</stp>
        <stp>Dts=H</stp>
        <tr r="E421" s="2"/>
      </tp>
      <tp t="s">
        <v>#N/A Invalid Field</v>
        <stp/>
        <stp>##V3_BDHV12</stp>
        <stp>31413K5A5 Mtge</stp>
        <stp>MTG_GEN_CPR_6M</stp>
        <stp>20090331</stp>
        <stp>20090331</stp>
        <stp>[Copy of 02_cpr_main.xlsx]data!R423C6</stp>
        <stp>Dts=H</stp>
        <tr r="F423" s="2"/>
      </tp>
      <tp t="s">
        <v>#N/A Invalid Field</v>
        <stp/>
        <stp>##V3_BDHV12</stp>
        <stp>31410MYP9 Mtge</stp>
        <stp>MTG_GEN_CPR_6M</stp>
        <stp>20090610</stp>
        <stp>20090610</stp>
        <stp>[Copy of 02_cpr_main.xlsx]data!R379C9</stp>
        <stp>Dts=H</stp>
        <tr r="I379" s="2"/>
      </tp>
      <tp t="s">
        <v>#N/A Invalid Field</v>
        <stp/>
        <stp>##V3_BDHV12</stp>
        <stp>36209EX56 Mtge</stp>
        <stp>MTG_GEN_CPR_3M</stp>
        <stp>20090610</stp>
        <stp>20090610</stp>
        <stp>[Copy of 02_cpr_main.xlsx]data!R481C8</stp>
        <stp>Dts=H</stp>
        <tr r="H481" s="2"/>
      </tp>
      <tp t="s">
        <v>#N/A Invalid Field</v>
        <stp/>
        <stp>##V3_BDHV12</stp>
        <stp>31292G2K1 Mtge</stp>
        <stp>MTG_GEN_CPR_6M</stp>
        <stp>20090331</stp>
        <stp>20090331</stp>
        <stp>[Copy of 02_cpr_main.xlsx]data!R113C6</stp>
        <stp>Dts=H</stp>
        <tr r="F113" s="2"/>
      </tp>
      <tp t="s">
        <v>#N/A Invalid Field</v>
        <stp/>
        <stp>##V3_BDHV12</stp>
        <stp>31415BNG0 Mtge</stp>
        <stp>MTG_GEN_CPR_3M</stp>
        <stp>20090331</stp>
        <stp>20090331</stp>
        <stp>[Copy of 02_cpr_main.xlsx]data!R448C5</stp>
        <stp>Dts=H</stp>
        <tr r="E448" s="2"/>
      </tp>
      <tp t="s">
        <v>#N/A Invalid Field</v>
        <stp/>
        <stp>##V3_BDHV12</stp>
        <stp>31404GGN5 Mtge</stp>
        <stp>MTG_GEN_CPR_6M</stp>
        <stp>20090331</stp>
        <stp>20090331</stp>
        <stp>[Copy of 02_cpr_main.xlsx]data!R313C6</stp>
        <stp>Dts=H</stp>
        <tr r="F313" s="2"/>
      </tp>
      <tp t="s">
        <v>#N/A Invalid Field</v>
        <stp/>
        <stp>##V3_BDHV12</stp>
        <stp>31416BZ68 Mtge</stp>
        <stp>MTG_GEN_CPR_6M</stp>
        <stp>20090610</stp>
        <stp>20090610</stp>
        <stp>[Copy of 02_cpr_main.xlsx]data!R461C9</stp>
        <stp>Dts=H</stp>
        <tr r="I461" s="2"/>
      </tp>
      <tp t="s">
        <v>#N/A Invalid Field</v>
        <stp/>
        <stp>##V3_BDHV12</stp>
        <stp>31403DV22 Mtge</stp>
        <stp>MTG_GEN_CPR_6M</stp>
        <stp>20090331</stp>
        <stp>20090331</stp>
        <stp>[Copy of 02_cpr_main.xlsx]data!R303C6</stp>
        <stp>Dts=H</stp>
        <tr r="F303" s="2"/>
      </tp>
      <tp t="s">
        <v>#N/A Invalid Field</v>
        <stp/>
        <stp>##V3_BDHV12</stp>
        <stp>31412DYV4 Mtge</stp>
        <stp>MTG_GEN_CPR_6M</stp>
        <stp>20090331</stp>
        <stp>20090331</stp>
        <stp>[Copy of 02_cpr_main.xlsx]data!R404C6</stp>
        <stp>Dts=H</stp>
        <tr r="F404" s="2"/>
      </tp>
      <tp t="s">
        <v>#N/A Invalid Field</v>
        <stp/>
        <stp>##V3_BDHV12</stp>
        <stp>31402BGQ1 Mtge</stp>
        <stp>MTG_GEN_CPR_3M</stp>
        <stp>20090331</stp>
        <stp>20090331</stp>
        <stp>[Copy of 02_cpr_main.xlsx]data!R262C5</stp>
        <stp>Dts=H</stp>
        <tr r="E262" s="2"/>
      </tp>
      <tp t="s">
        <v>#N/A Invalid Field</v>
        <stp/>
        <stp>##V3_BDHV12</stp>
        <stp>31292G6T8 Mtge</stp>
        <stp>MTG_GEN_CPR_3M</stp>
        <stp>20090610</stp>
        <stp>20090610</stp>
        <stp>[Copy of 02_cpr_main.xlsx]data!R115C8</stp>
        <stp>Dts=H</stp>
        <tr r="H115" s="2"/>
      </tp>
      <tp t="s">
        <v>#N/A Invalid Field</v>
        <stp/>
        <stp>##V3_BDHV12</stp>
        <stp>31415A3C3 Mtge</stp>
        <stp>MTG_GEN_CPR_6M</stp>
        <stp>20090331</stp>
        <stp>20090331</stp>
        <stp>[Copy of 02_cpr_main.xlsx]data!R446C6</stp>
        <stp>Dts=H</stp>
        <tr r="F446" s="2"/>
      </tp>
      <tp t="s">
        <v>#N/A Invalid Field</v>
        <stp/>
        <stp>##V3_BDHV12</stp>
        <stp>31292GYA8 Mtge</stp>
        <stp>MTG_GEN_CPR_3M</stp>
        <stp>20090610</stp>
        <stp>20090610</stp>
        <stp>[Copy of 02_cpr_main.xlsx]data!R117C8</stp>
        <stp>Dts=H</stp>
        <tr r="H117" s="2"/>
      </tp>
      <tp t="s">
        <v>#N/A Invalid Field</v>
        <stp/>
        <stp>##V3_BDHV12</stp>
        <stp>31390EJB9 Mtge</stp>
        <stp>MTG_GEN_CPR_3M</stp>
        <stp>20090610</stp>
        <stp>20090610</stp>
        <stp>[Copy of 02_cpr_main.xlsx]data!R231C8</stp>
        <stp>Dts=H</stp>
        <tr r="H231" s="2"/>
      </tp>
      <tp t="s">
        <v>#N/A Invalid Field</v>
        <stp/>
        <stp>##V3_BDHV12</stp>
        <stp>31400AMX3 Mtge</stp>
        <stp>MTG_GEN_CPR_3M</stp>
        <stp>20090331</stp>
        <stp>20090331</stp>
        <stp>[Copy of 02_cpr_main.xlsx]data!R244C5</stp>
        <stp>Dts=H</stp>
        <tr r="E244" s="2"/>
      </tp>
      <tp t="s">
        <v>#N/A Invalid Field</v>
        <stp/>
        <stp>##V3_BDHV12</stp>
        <stp>31410DVM9 Mtge</stp>
        <stp>MTG_GEN_CPR_6M</stp>
        <stp>20090610</stp>
        <stp>20090610</stp>
        <stp>[Copy of 02_cpr_main.xlsx]data!R359C9</stp>
        <stp>Dts=H</stp>
        <tr r="I359" s="2"/>
      </tp>
      <tp t="s">
        <v>#N/A Invalid Field</v>
        <stp/>
        <stp>##V3_BDHV12</stp>
        <stp>31408EN81 Mtge</stp>
        <stp>MTG_GEN_CPR_6M</stp>
        <stp>20090610</stp>
        <stp>20090610</stp>
        <stp>[Copy of 02_cpr_main.xlsx]data!R349C9</stp>
        <stp>Dts=H</stp>
        <tr r="I349" s="2"/>
      </tp>
      <tp t="s">
        <v>#N/A Invalid Field</v>
        <stp/>
        <stp>##V3_BDHV12</stp>
        <stp>31410F6J9 Mtge</stp>
        <stp>MTG_GEN_CPR_6M</stp>
        <stp>20090610</stp>
        <stp>20090610</stp>
        <stp>[Copy of 02_cpr_main.xlsx]data!R363C9</stp>
        <stp>Dts=H</stp>
        <tr r="I363" s="2"/>
      </tp>
      <tp t="s">
        <v>#N/A Invalid Field</v>
        <stp/>
        <stp>##V3_BDHV12</stp>
        <stp>31409EW80 Mtge</stp>
        <stp>MTG_GEN_CPR_6M</stp>
        <stp>20090610</stp>
        <stp>20090610</stp>
        <stp>[Copy of 02_cpr_main.xlsx]data!R353C9</stp>
        <stp>Dts=H</stp>
        <tr r="I353" s="2"/>
      </tp>
      <tp t="s">
        <v>#N/A Invalid Field</v>
        <stp/>
        <stp>##V3_BDHV12</stp>
        <stp>31410EPE2 Mtge</stp>
        <stp>MTG_GEN_CPR_3M</stp>
        <stp>20090331</stp>
        <stp>20090331</stp>
        <stp>[Copy of 02_cpr_main.xlsx]data!R361C5</stp>
        <stp>Dts=H</stp>
        <tr r="E361" s="2"/>
      </tp>
      <tp t="s">
        <v>#N/A Invalid Field</v>
        <stp/>
        <stp>##V3_BDHV12</stp>
        <stp>31405AZR7 Mtge</stp>
        <stp>MTG_GEN_CPR_3M</stp>
        <stp>20090331</stp>
        <stp>20090331</stp>
        <stp>[Copy of 02_cpr_main.xlsx]data!R323C5</stp>
        <stp>Dts=H</stp>
        <tr r="E323" s="2"/>
      </tp>
      <tp t="s">
        <v>#N/A Invalid Field</v>
        <stp/>
        <stp>##V3_BDHV12</stp>
        <stp>31413AGJ6 Mtge</stp>
        <stp>MTG_GEN_CPR_3M</stp>
        <stp>20090331</stp>
        <stp>20090331</stp>
        <stp>[Copy of 02_cpr_main.xlsx]data!R416C5</stp>
        <stp>Dts=H</stp>
        <tr r="E416" s="2"/>
      </tp>
      <tp t="s">
        <v>#N/A Invalid Field</v>
        <stp/>
        <stp>##V3_BDHV12</stp>
        <stp>31410DXZ8 Mtge</stp>
        <stp>MTG_GEN_CPR_3M</stp>
        <stp>20090610</stp>
        <stp>20090610</stp>
        <stp>[Copy of 02_cpr_main.xlsx]data!R360C8</stp>
        <stp>Dts=H</stp>
        <tr r="H360" s="2"/>
      </tp>
      <tp t="s">
        <v>#N/A Invalid Field</v>
        <stp/>
        <stp>##V3_BDHV12</stp>
        <stp>31401GLF9 Mtge</stp>
        <stp>MTG_GEN_CPR_6M</stp>
        <stp>20090610</stp>
        <stp>20090610</stp>
        <stp>[Copy of 02_cpr_main.xlsx]data!R253C9</stp>
        <stp>Dts=H</stp>
        <tr r="I253" s="2"/>
      </tp>
      <tp t="s">
        <v>#N/A Invalid Field</v>
        <stp/>
        <stp>##V3_BDHV12</stp>
        <stp>3128GWX78 Mtge</stp>
        <stp>MTG_GEN_CPR_12M</stp>
        <stp>20090331</stp>
        <stp>20090331</stp>
        <stp>[Copy of 02_cpr_main.xlsx]data!R64C7</stp>
        <stp>Dts=H</stp>
        <tr r="G64" s="2"/>
      </tp>
      <tp t="s">
        <v>#N/A Invalid Field</v>
        <stp/>
        <stp>##V3_BDHV12</stp>
        <stp>312967XJ6 Mtge</stp>
        <stp>MTG_GEN_CPR_3M</stp>
        <stp>20090331</stp>
        <stp>20090331</stp>
        <stp>[Copy of 02_cpr_main.xlsx]data!R142C5</stp>
        <stp>Dts=H</stp>
        <tr r="E142" s="2"/>
      </tp>
      <tp t="s">
        <v>#N/A Invalid Field</v>
        <stp/>
        <stp>##V3_BDHV12</stp>
        <stp>3128JMHG5 Mtge</stp>
        <stp>MTG_GEN_CPR_12M</stp>
        <stp>20090331</stp>
        <stp>20090331</stp>
        <stp>[Copy of 02_cpr_main.xlsx]data!R69C7</stp>
        <stp>Dts=H</stp>
        <tr r="G69" s="2"/>
      </tp>
      <tp t="s">
        <v>#N/A Invalid Field</v>
        <stp/>
        <stp>##V3_BDHV12</stp>
        <stp>3128GDPU8 Mtge</stp>
        <stp>MTG_GEN_CPR_12M</stp>
        <stp>20090331</stp>
        <stp>20090331</stp>
        <stp>[Copy of 02_cpr_main.xlsx]data!R45C7</stp>
        <stp>Dts=H</stp>
        <tr r="G45" s="2"/>
      </tp>
      <tp t="s">
        <v>#N/A Invalid Field</v>
        <stp/>
        <stp>##V3_BDHV12</stp>
        <stp>3128GGA78 Mtge</stp>
        <stp>MTG_GEN_CPR_12M</stp>
        <stp>20090331</stp>
        <stp>20090331</stp>
        <stp>[Copy of 02_cpr_main.xlsx]data!R54C7</stp>
        <stp>Dts=H</stp>
        <tr r="G54" s="2"/>
      </tp>
    </main>
    <main first="bloomberg.rtd">
      <tp>
        <v>0.1</v>
        <stp/>
        <stp>##V3_BDPV12</stp>
        <stp>3128GEAJ7 Mtge</stp>
        <stp xml:space="preserve">MTG_PL_PSA_3M </stp>
        <stp>[Copy of 02_cpr_main.xlsx]data!R51C14</stp>
        <tr r="N51" s="2"/>
      </tp>
      <tp>
        <v>0</v>
        <stp/>
        <stp>##V3_BDPV12</stp>
        <stp>3128GEAJ7 Mtge</stp>
        <stp xml:space="preserve">MTG_PL_PSA_1M </stp>
        <stp>[Copy of 02_cpr_main.xlsx]data!R51C13</stp>
        <tr r="M51" s="2"/>
      </tp>
      <tp>
        <v>0.1</v>
        <stp/>
        <stp>##V3_BDPV12</stp>
        <stp>3128GEAJ7 Mtge</stp>
        <stp xml:space="preserve">MTG_PL_PSA_6M </stp>
        <stp>[Copy of 02_cpr_main.xlsx]data!R51C15</stp>
        <tr r="O51" s="2"/>
      </tp>
      <tp>
        <v>1652.7</v>
        <stp/>
        <stp>##V3_BDPV12</stp>
        <stp>3128GDX47 Mtge</stp>
        <stp xml:space="preserve">MTG_PL_PSA_3M </stp>
        <stp>[Copy of 02_cpr_main.xlsx]data!R49C14</stp>
        <tr r="N49" s="2"/>
      </tp>
      <tp>
        <v>0</v>
        <stp/>
        <stp>##V3_BDPV12</stp>
        <stp>3128GDX47 Mtge</stp>
        <stp xml:space="preserve">MTG_PL_PSA_1M </stp>
        <stp>[Copy of 02_cpr_main.xlsx]data!R49C13</stp>
        <tr r="M49" s="2"/>
      </tp>
      <tp>
        <v>1512.3</v>
        <stp/>
        <stp>##V3_BDPV12</stp>
        <stp>3128GDX47 Mtge</stp>
        <stp xml:space="preserve">MTG_PL_PSA_6M </stp>
        <stp>[Copy of 02_cpr_main.xlsx]data!R49C15</stp>
        <tr r="O49" s="2"/>
      </tp>
      <tp>
        <v>1666.7</v>
        <stp/>
        <stp>##V3_BDPV12</stp>
        <stp>3128GJFP7 Mtge</stp>
        <stp xml:space="preserve">MTG_PL_PSA_6M </stp>
        <stp>[Copy of 02_cpr_main.xlsx]data!R59C15</stp>
        <tr r="O59" s="2"/>
      </tp>
      <tp>
        <v>1666.7</v>
        <stp/>
        <stp>##V3_BDPV12</stp>
        <stp>3128GJFP7 Mtge</stp>
        <stp xml:space="preserve">MTG_PL_PSA_1M </stp>
        <stp>[Copy of 02_cpr_main.xlsx]data!R59C13</stp>
        <tr r="M59" s="2"/>
      </tp>
      <tp>
        <v>1666.7</v>
        <stp/>
        <stp>##V3_BDPV12</stp>
        <stp>3128GJFP7 Mtge</stp>
        <stp xml:space="preserve">MTG_PL_PSA_3M </stp>
        <stp>[Copy of 02_cpr_main.xlsx]data!R59C14</stp>
        <tr r="N59" s="2"/>
      </tp>
      <tp>
        <v>1666.7</v>
        <stp/>
        <stp>##V3_BDPV12</stp>
        <stp>3128GWF37 Mtge</stp>
        <stp xml:space="preserve">MTG_PL_PSA_1M </stp>
        <stp>[Copy of 02_cpr_main.xlsx]data!R63C13</stp>
        <tr r="M63" s="2"/>
      </tp>
      <tp>
        <v>1666.7</v>
        <stp/>
        <stp>##V3_BDPV12</stp>
        <stp>3128GWF37 Mtge</stp>
        <stp xml:space="preserve">MTG_PL_PSA_6M </stp>
        <stp>[Copy of 02_cpr_main.xlsx]data!R63C15</stp>
        <tr r="O63" s="2"/>
      </tp>
      <tp>
        <v>1666.7</v>
        <stp/>
        <stp>##V3_BDPV12</stp>
        <stp>3128GWF37 Mtge</stp>
        <stp xml:space="preserve">MTG_PL_PSA_3M </stp>
        <stp>[Copy of 02_cpr_main.xlsx]data!R63C14</stp>
        <tr r="N63" s="2"/>
      </tp>
      <tp>
        <v>3.08</v>
        <stp/>
        <stp>##V3_BDPV12</stp>
        <stp>31412BPZ9 Mtge</stp>
        <stp>MTG_PREPAY_SPEED</stp>
        <stp>[Copy of 02_cpr_main.xlsx]data!R402C12</stp>
        <tr r="L402" s="2"/>
      </tp>
      <tp t="s">
        <v>#N/A N/A</v>
        <stp/>
        <stp>##V3_BDPV12</stp>
        <stp>31410DXZ8 Mtge</stp>
        <stp>MTG_PREPAY_SPEED</stp>
        <stp>[Copy of 02_cpr_main.xlsx]data!R360C12</stp>
        <tr r="L360" s="2"/>
      </tp>
      <tp t="s">
        <v>#N/A N/A</v>
        <stp/>
        <stp>##V3_BDPV12</stp>
        <stp>31382NES7 Mtge</stp>
        <stp>MTG_PREPAY_SPEED</stp>
        <stp>[Copy of 02_cpr_main.xlsx]data!R200C12</stp>
        <tr r="L200" s="2"/>
      </tp>
      <tp t="s">
        <v>#N/A N/A</v>
        <stp/>
        <stp>##V3_BDPV12</stp>
        <stp>31294JYR3 Mtge</stp>
        <stp>MTG_PREPAY_SPEED</stp>
        <stp>[Copy of 02_cpr_main.xlsx]data!R128C12</stp>
        <tr r="L128" s="2"/>
      </tp>
      <tp>
        <v>123</v>
        <stp/>
        <stp>##V3_BDPV12</stp>
        <stp>36291GYR1 Mtge</stp>
        <stp>MTG_PREPAY_SPEED</stp>
        <stp>[Copy of 02_cpr_main.xlsx]data!R501C12</stp>
        <tr r="L501" s="2"/>
      </tp>
      <tp>
        <v>161</v>
        <stp/>
        <stp>##V3_BDPV12</stp>
        <stp>31415XSZ5 Mtge</stp>
        <stp>MTG_PREPAY_SPEED</stp>
        <stp>[Copy of 02_cpr_main.xlsx]data!R459C12</stp>
        <tr r="L459" s="2"/>
      </tp>
      <tp>
        <v>169</v>
        <stp/>
        <stp>##V3_BDPV12</stp>
        <stp>31410F2Z7 Mtge</stp>
        <stp>MTG_PREPAY_SPEED</stp>
        <stp>[Copy of 02_cpr_main.xlsx]data!R362C12</stp>
        <tr r="L362" s="2"/>
      </tp>
      <tp t="s">
        <v>#N/A N/A</v>
        <stp/>
        <stp>##V3_BDPV12</stp>
        <stp>31293WAR1 Mtge</stp>
        <stp>MTG_PREPAY_SPEED</stp>
        <stp>[Copy of 02_cpr_main.xlsx]data!R125C12</stp>
        <tr r="L125" s="2"/>
      </tp>
      <tp t="s">
        <v>#N/A N/A</v>
        <stp/>
        <stp>##V3_BDPV12</stp>
        <stp>31411X6Z3 Mtge</stp>
        <stp>MTG_PREPAY_SPEED</stp>
        <stp>[Copy of 02_cpr_main.xlsx]data!R398C12</stp>
        <tr r="L398" s="2"/>
      </tp>
      <tp>
        <v>169</v>
        <stp/>
        <stp>##V3_BDPV12</stp>
        <stp>31413NCZ6 Mtge</stp>
        <stp>MTG_PREPAY_SPEED</stp>
        <stp>[Copy of 02_cpr_main.xlsx]data!R429C12</stp>
        <tr r="L429" s="2"/>
      </tp>
      <tp>
        <v>182</v>
        <stp/>
        <stp>##V3_BDPV12</stp>
        <stp>31380RMS1 Mtge</stp>
        <stp>MTG_PREPAY_SPEED</stp>
        <stp>[Copy of 02_cpr_main.xlsx]data!R192C12</stp>
        <tr r="L192" s="2"/>
      </tp>
      <tp t="s">
        <v>#N/A Invalid Field</v>
        <stp/>
        <stp>##V3_BDHV12</stp>
        <stp>21H060655 Mtge</stp>
        <stp>MTG_GEN_CPR_6M</stp>
        <stp>20090331</stp>
        <stp>20090331</stp>
        <stp>[Copy of 02_cpr_main.xlsx]data!R28C6</stp>
        <stp>Dts=H</stp>
        <tr r="F28" s="2"/>
      </tp>
      <tp t="s">
        <v>#N/A Invalid Field</v>
        <stp/>
        <stp>##V3_BDHV12</stp>
        <stp>01N052657 Mtge</stp>
        <stp>MTG_GEN_CPR_6M</stp>
        <stp>20090331</stp>
        <stp>20090331</stp>
        <stp>[Copy of 02_cpr_main.xlsx]data!R15C6</stp>
        <stp>Dts=H</stp>
        <tr r="F15" s="2"/>
      </tp>
      <tp t="s">
        <v>#N/A Invalid Field</v>
        <stp/>
        <stp>##V3_BDHV12</stp>
        <stp>01F062655 Mtge</stp>
        <stp>MTG_GEN_CPR_6M</stp>
        <stp>20090331</stp>
        <stp>20090331</stp>
        <stp>[Copy of 02_cpr_main.xlsx]data!R13C6</stp>
        <stp>Dts=H</stp>
        <tr r="F13" s="2"/>
      </tp>
      <tp t="s">
        <v>#N/A Invalid Field</v>
        <stp/>
        <stp>##V3_BDHV12</stp>
        <stp>31283KR34 Mtge</stp>
        <stp>MTG_GEN_CPR_3M</stp>
        <stp>20090610</stp>
        <stp>20090610</stp>
        <stp>[Copy of 02_cpr_main.xlsx]data!R36C8</stp>
        <stp>Dts=H</stp>
        <tr r="H36" s="2"/>
      </tp>
      <tp t="s">
        <v>#N/A Invalid Field</v>
        <stp/>
        <stp>##V3_BDHV12</stp>
        <stp>01N060650 Mtge</stp>
        <stp>MTG_GEN_CPR_6M</stp>
        <stp>20090331</stp>
        <stp>20090331</stp>
        <stp>[Copy of 02_cpr_main.xlsx]data!R17C6</stp>
        <stp>Dts=H</stp>
        <tr r="F17" s="2"/>
      </tp>
      <tp t="s">
        <v>#N/A Invalid Field</v>
        <stp/>
        <stp>##V3_BDHV12</stp>
        <stp>31288MC31 Mtge</stp>
        <stp>MTG_GEN_CPR_3M</stp>
        <stp>20090610</stp>
        <stp>20090610</stp>
        <stp>[Copy of 02_cpr_main.xlsx]data!R40C8</stp>
        <stp>Dts=H</stp>
        <tr r="H40" s="2"/>
      </tp>
      <tp t="s">
        <v>#N/A Invalid Field</v>
        <stp/>
        <stp>##V3_BDHV12</stp>
        <stp>3128NFL70 Mtge</stp>
        <stp>MTG_GEN_CPR_6M</stp>
        <stp>20090610</stp>
        <stp>20090610</stp>
        <stp>[Copy of 02_cpr_main.xlsx]data!R97C9</stp>
        <stp>Dts=H</stp>
        <tr r="I97" s="2"/>
      </tp>
      <tp t="s">
        <v>#N/A Invalid Field</v>
        <stp/>
        <stp>##V3_BDHV12</stp>
        <stp>3128GWF37 Mtge</stp>
        <stp>MTG_GEN_CPR_3M</stp>
        <stp>20090610</stp>
        <stp>20090610</stp>
        <stp>[Copy of 02_cpr_main.xlsx]data!R63C8</stp>
        <stp>Dts=H</stp>
        <tr r="H63" s="2"/>
      </tp>
      <tp t="s">
        <v>#N/A Invalid Field</v>
        <stp/>
        <stp>##V3_BDHV12</stp>
        <stp>3128JLW39 Mtge</stp>
        <stp>MTG_GEN_CPR_3M</stp>
        <stp>20090610</stp>
        <stp>20090610</stp>
        <stp>[Copy of 02_cpr_main.xlsx]data!R67C8</stp>
        <stp>Dts=H</stp>
        <tr r="H67" s="2"/>
      </tp>
      <tp t="s">
        <v>#N/A Invalid Field</v>
        <stp/>
        <stp>##V3_BDHV12</stp>
        <stp>3128NGF75 Mtge</stp>
        <stp>MTG_GEN_CPR_6M</stp>
        <stp>20090610</stp>
        <stp>20090610</stp>
        <stp>[Copy of 02_cpr_main.xlsx]data!R99C9</stp>
        <stp>Dts=H</stp>
        <tr r="I99" s="2"/>
      </tp>
      <tp t="s">
        <v>#N/A N/A</v>
        <stp/>
        <stp>##V3_BDPV12</stp>
        <stp>3128PPAS2 Mtge</stp>
        <stp>MTG_PREPAY_SPEED</stp>
        <stp>[Copy of 02_cpr_main.xlsx]data!R105C12</stp>
        <tr r="L105" s="2"/>
      </tp>
      <tp t="s">
        <v>#N/A Invalid Field</v>
        <stp/>
        <stp>##V3_BDHV12</stp>
        <stp>3128GGA78 Mtge</stp>
        <stp>MTG_GEN_CPR_6M</stp>
        <stp>20090610</stp>
        <stp>20090610</stp>
        <stp>[Copy of 02_cpr_main.xlsx]data!R54C9</stp>
        <stp>Dts=H</stp>
        <tr r="I54" s="2"/>
      </tp>
      <tp t="s">
        <v>#N/A Invalid Field</v>
        <stp/>
        <stp>##V3_BDHV12</stp>
        <stp>3128GWX78 Mtge</stp>
        <stp>MTG_GEN_CPR_6M</stp>
        <stp>20090610</stp>
        <stp>20090610</stp>
        <stp>[Copy of 02_cpr_main.xlsx]data!R64C9</stp>
        <stp>Dts=H</stp>
        <tr r="I64" s="2"/>
      </tp>
      <tp t="s">
        <v>#N/A Invalid Field</v>
        <stp/>
        <stp>##V3_BDHV12</stp>
        <stp>3128GWD39 Mtge</stp>
        <stp>MTG_GEN_CPR_3M</stp>
        <stp>20090610</stp>
        <stp>20090610</stp>
        <stp>[Copy of 02_cpr_main.xlsx]data!R62C8</stp>
        <stp>Dts=H</stp>
        <tr r="H62" s="2"/>
      </tp>
      <tp t="s">
        <v>#N/A Invalid Field</v>
        <stp/>
        <stp>##V3_BDHV12</stp>
        <stp>312965L87 Mtge</stp>
        <stp>MTG_GEN_CPR_12M</stp>
        <stp>20090331</stp>
        <stp>20090331</stp>
        <stp>[Copy of 02_cpr_main.xlsx]data!R139C7</stp>
        <stp>Dts=H</stp>
        <tr r="G139" s="2"/>
      </tp>
      <tp t="s">
        <v>#N/A Invalid Field</v>
        <stp/>
        <stp>##V3_BDHV12</stp>
        <stp>3128K3ZC4 Mtge</stp>
        <stp>MTG_GEN_CPR_12M</stp>
        <stp>20090610</stp>
        <stp>20090610</stp>
        <stp>[Copy of 02_cpr_main.xlsx]data!R72C10</stp>
        <stp>Dts=H</stp>
        <tr r="J72" s="2"/>
      </tp>
      <tp>
        <v>0</v>
        <stp/>
        <stp>##V3_BDPV12</stp>
        <stp>3128GCVT6 Mtge</stp>
        <stp xml:space="preserve">MTG_PL_PSA_1M </stp>
        <stp>[Copy of 02_cpr_main.xlsx]data!R43C13</stp>
        <tr r="M43" s="2"/>
      </tp>
      <tp>
        <v>1191.9000000000001</v>
        <stp/>
        <stp>##V3_BDPV12</stp>
        <stp>3128GCVT6 Mtge</stp>
        <stp xml:space="preserve">MTG_PL_PSA_6M </stp>
        <stp>[Copy of 02_cpr_main.xlsx]data!R43C15</stp>
        <tr r="O43" s="2"/>
      </tp>
      <tp>
        <v>1353.6</v>
        <stp/>
        <stp>##V3_BDPV12</stp>
        <stp>3128GCVT6 Mtge</stp>
        <stp xml:space="preserve">MTG_PL_PSA_3M </stp>
        <stp>[Copy of 02_cpr_main.xlsx]data!R43C14</stp>
        <tr r="N43" s="2"/>
      </tp>
      <tp>
        <v>2.9</v>
        <stp/>
        <stp>##V3_BDPV12</stp>
        <stp>3128GDRC6 Mtge</stp>
        <stp xml:space="preserve">MTG_PL_PSA_3M </stp>
        <stp>[Copy of 02_cpr_main.xlsx]data!R48C14</stp>
        <tr r="N48" s="2"/>
      </tp>
      <tp>
        <v>0</v>
        <stp/>
        <stp>##V3_BDPV12</stp>
        <stp>3128GDRC6 Mtge</stp>
        <stp xml:space="preserve">MTG_PL_PSA_1M </stp>
        <stp>[Copy of 02_cpr_main.xlsx]data!R48C13</stp>
        <tr r="M48" s="2"/>
      </tp>
      <tp>
        <v>2</v>
        <stp/>
        <stp>##V3_BDPV12</stp>
        <stp>3128GDRC6 Mtge</stp>
        <stp xml:space="preserve">MTG_PL_PSA_6M </stp>
        <stp>[Copy of 02_cpr_main.xlsx]data!R48C15</stp>
        <tr r="O48" s="2"/>
      </tp>
      <tp t="s">
        <v>#N/A Invalid Field</v>
        <stp/>
        <stp>##V3_BDHV12</stp>
        <stp>3128H33R0 Mtge</stp>
        <stp>MTG_GEN_CPR_12M</stp>
        <stp>20090610</stp>
        <stp>20090610</stp>
        <stp>[Copy of 02_cpr_main.xlsx]data!R65C10</stp>
        <stp>Dts=H</stp>
        <tr r="J65" s="2"/>
      </tp>
      <tp t="s">
        <v>#N/A N/A</v>
        <stp/>
        <stp>##V3_BDPV12</stp>
        <stp>31388PCR0 Mtge</stp>
        <stp>MTG_PREPAY_SPEED</stp>
        <stp>[Copy of 02_cpr_main.xlsx]data!R228C12</stp>
        <tr r="L228" s="2"/>
      </tp>
      <tp>
        <v>161</v>
        <stp/>
        <stp>##V3_BDPV12</stp>
        <stp>31402QYZ8 Mtge</stp>
        <stp>MTG_PREPAY_SPEED</stp>
        <stp>[Copy of 02_cpr_main.xlsx]data!R278C12</stp>
        <tr r="L278" s="2"/>
      </tp>
      <tp>
        <v>169</v>
        <stp/>
        <stp>##V3_BDPV12</stp>
        <stp>31402UHZ8 Mtge</stp>
        <stp>MTG_PREPAY_SPEED</stp>
        <stp>[Copy of 02_cpr_main.xlsx]data!R289C12</stp>
        <tr r="L289" s="2"/>
      </tp>
      <tp t="s">
        <v>#N/A N/A</v>
        <stp/>
        <stp>##V3_BDPV12</stp>
        <stp>31402CQZ8 Mtge</stp>
        <stp>MTG_PREPAY_SPEED</stp>
        <stp>[Copy of 02_cpr_main.xlsx]data!R265C12</stp>
        <tr r="L265" s="2"/>
      </tp>
      <tp>
        <v>0</v>
        <stp/>
        <stp>##V3_BDPV12</stp>
        <stp>31405JWZ3 Mtge</stp>
        <stp>MTG_PREPAY_SPEED</stp>
        <stp>[Copy of 02_cpr_main.xlsx]data!R326C12</stp>
        <tr r="L326" s="2"/>
      </tp>
      <tp>
        <v>186</v>
        <stp/>
        <stp>##V3_BDPV12</stp>
        <stp>31296SLS3 Mtge</stp>
        <stp>MTG_PREPAY_SPEED</stp>
        <stp>[Copy of 02_cpr_main.xlsx]data!R146C12</stp>
        <tr r="L146" s="2"/>
      </tp>
      <tp t="s">
        <v>#N/A N/A</v>
        <stp/>
        <stp>##V3_BDPV12</stp>
        <stp>31294JYS1 Mtge</stp>
        <stp>MTG_PREPAY_SPEED</stp>
        <stp>[Copy of 02_cpr_main.xlsx]data!R129C12</stp>
        <tr r="L129" s="2"/>
      </tp>
      <tp>
        <v>169</v>
        <stp/>
        <stp>##V3_BDPV12</stp>
        <stp>31403CUZ2 Mtge</stp>
        <stp>MTG_PREPAY_SPEED</stp>
        <stp>[Copy of 02_cpr_main.xlsx]data!R294C12</stp>
        <tr r="L294" s="2"/>
      </tp>
      <tp t="s">
        <v>#N/A N/A</v>
        <stp/>
        <stp>##V3_BDPV12</stp>
        <stp>31403C2Z3 Mtge</stp>
        <stp>MTG_PREPAY_SPEED</stp>
        <stp>[Copy of 02_cpr_main.xlsx]data!R292C12</stp>
        <tr r="L292" s="2"/>
      </tp>
      <tp t="s">
        <v>#N/A N/A</v>
        <stp/>
        <stp>##V3_BDPV12</stp>
        <stp>31293UAS3 Mtge</stp>
        <stp>MTG_PREPAY_SPEED</stp>
        <stp>[Copy of 02_cpr_main.xlsx]data!R123C12</stp>
        <tr r="L123" s="2"/>
      </tp>
      <tp>
        <v>171</v>
        <stp/>
        <stp>##V3_BDPV12</stp>
        <stp>31384VQR6 Mtge</stp>
        <stp>MTG_PREPAY_SPEED</stp>
        <stp>[Copy of 02_cpr_main.xlsx]data!R209C12</stp>
        <tr r="L209" s="2"/>
      </tp>
      <tp t="s">
        <v>#N/A N/A</v>
        <stp/>
        <stp>##V3_BDPV12</stp>
        <stp>31294KJS5 Mtge</stp>
        <stp>MTG_PREPAY_SPEED</stp>
        <stp>[Copy of 02_cpr_main.xlsx]data!R130C12</stp>
        <tr r="L130" s="2"/>
      </tp>
      <tp t="s">
        <v>#N/A Invalid Field</v>
        <stp/>
        <stp>##V3_BDHV12</stp>
        <stp>01F060444 Mtge</stp>
        <stp>MTG_GEN_CPR_6M</stp>
        <stp>20090331</stp>
        <stp>20090331</stp>
        <stp>[Copy of 02_cpr_main.xlsx]data!R10C6</stp>
        <stp>Dts=H</stp>
        <tr r="F10" s="2"/>
      </tp>
      <tp t="s">
        <v>#N/A Invalid Field</v>
        <stp/>
        <stp>##V3_BDHV12</stp>
        <stp>02R042645 Mtge</stp>
        <stp>MTG_GEN_CPR_6M</stp>
        <stp>20090331</stp>
        <stp>20090331</stp>
        <stp>[Copy of 02_cpr_main.xlsx]data!R20C6</stp>
        <stp>Dts=H</stp>
        <tr r="F20" s="2"/>
      </tp>
      <tp t="s">
        <v>#N/A Invalid Field</v>
        <stp/>
        <stp>##V3_BDHV12</stp>
        <stp>02R060647 Mtge</stp>
        <stp>MTG_GEN_CPR_6M</stp>
        <stp>20090331</stp>
        <stp>20090331</stp>
        <stp>[Copy of 02_cpr_main.xlsx]data!R25C6</stp>
        <stp>Dts=H</stp>
        <tr r="F25" s="2"/>
      </tp>
      <tp t="s">
        <v>#N/A Invalid Field</v>
        <stp/>
        <stp>##V3_BDHV12</stp>
        <stp>02R052644 Mtge</stp>
        <stp>MTG_GEN_CPR_6M</stp>
        <stp>20090331</stp>
        <stp>20090331</stp>
        <stp>[Copy of 02_cpr_main.xlsx]data!R24C6</stp>
        <stp>Dts=H</stp>
        <tr r="F24" s="2"/>
      </tp>
      <tp t="s">
        <v>#N/A Invalid Field</v>
        <stp/>
        <stp>##V3_BDHV12</stp>
        <stp>02R042447 Mtge</stp>
        <stp>MTG_GEN_CPR_6M</stp>
        <stp>20090331</stp>
        <stp>20090331</stp>
        <stp>[Copy of 02_cpr_main.xlsx]data!R19C6</stp>
        <stp>Dts=H</stp>
        <tr r="F19" s="2"/>
      </tp>
      <tp t="s">
        <v>#N/A Invalid Field</v>
        <stp/>
        <stp>##V3_BDHV12</stp>
        <stp>02R052446 Mtge</stp>
        <stp>MTG_GEN_CPR_6M</stp>
        <stp>20090331</stp>
        <stp>20090331</stp>
        <stp>[Copy of 02_cpr_main.xlsx]data!R23C6</stp>
        <stp>Dts=H</stp>
        <tr r="F23" s="2"/>
      </tp>
      <tp t="s">
        <v>#N/A Invalid Field</v>
        <stp/>
        <stp>##V3_BDHV12</stp>
        <stp>21H052645 Mtge</stp>
        <stp>MTG_GEN_CPR_6M</stp>
        <stp>20090331</stp>
        <stp>20090331</stp>
        <stp>[Copy of 02_cpr_main.xlsx]data!R26C6</stp>
        <stp>Dts=H</stp>
        <tr r="F26" s="2"/>
      </tp>
      <tp t="s">
        <v>#N/A Invalid Field</v>
        <stp/>
        <stp>##V3_BDHV12</stp>
        <stp>02R050440 Mtge</stp>
        <stp>MTG_GEN_CPR_6M</stp>
        <stp>20090331</stp>
        <stp>20090331</stp>
        <stp>[Copy of 02_cpr_main.xlsx]data!R21C6</stp>
        <stp>Dts=H</stp>
        <tr r="F21" s="2"/>
      </tp>
      <tp t="s">
        <v>#N/A Invalid Field</v>
        <stp/>
        <stp>##V3_BDHV12</stp>
        <stp>01F060642 Mtge</stp>
        <stp>MTG_GEN_CPR_6M</stp>
        <stp>20090331</stp>
        <stp>20090331</stp>
        <stp>[Copy of 02_cpr_main.xlsx]data!R11C6</stp>
        <stp>Dts=H</stp>
        <tr r="F11" s="2"/>
      </tp>
      <tp t="s">
        <v>#N/A Invalid Field</v>
        <stp/>
        <stp>##V3_BDHV12</stp>
        <stp>01N042641 Mtge</stp>
        <stp>MTG_GEN_CPR_6M</stp>
        <stp>20090331</stp>
        <stp>20090331</stp>
        <stp>[Copy of 02_cpr_main.xlsx]data!R14C6</stp>
        <stp>Dts=H</stp>
        <tr r="F14" s="2"/>
      </tp>
      <tp t="s">
        <v>#N/A Invalid Field</v>
        <stp/>
        <stp>##V3_BDHV12</stp>
        <stp>01N060643 Mtge</stp>
        <stp>MTG_GEN_CPR_6M</stp>
        <stp>20090331</stp>
        <stp>20090331</stp>
        <stp>[Copy of 02_cpr_main.xlsx]data!R16C6</stp>
        <stp>Dts=H</stp>
        <tr r="F16" s="2"/>
      </tp>
      <tp t="s">
        <v>#N/A Invalid Field</v>
        <stp/>
        <stp>##V3_BDHV12</stp>
        <stp>01F062648 Mtge</stp>
        <stp>MTG_GEN_CPR_6M</stp>
        <stp>20090331</stp>
        <stp>20090331</stp>
        <stp>[Copy of 02_cpr_main.xlsx]data!R12C6</stp>
        <stp>Dts=H</stp>
        <tr r="F12" s="2"/>
      </tp>
      <tp t="s">
        <v>#N/A Invalid Field</v>
        <stp/>
        <stp>##V3_BDHV12</stp>
        <stp>02R050648 Mtge</stp>
        <stp>MTG_GEN_CPR_6M</stp>
        <stp>20090331</stp>
        <stp>20090331</stp>
        <stp>[Copy of 02_cpr_main.xlsx]data!R22C6</stp>
        <stp>Dts=H</stp>
        <tr r="F22" s="2"/>
      </tp>
      <tp t="s">
        <v>#N/A Invalid Field</v>
        <stp/>
        <stp>##V3_BDHV12</stp>
        <stp>01N062649 Mtge</stp>
        <stp>MTG_GEN_CPR_6M</stp>
        <stp>20090331</stp>
        <stp>20090331</stp>
        <stp>[Copy of 02_cpr_main.xlsx]data!R18C6</stp>
        <stp>Dts=H</stp>
        <tr r="F18" s="2"/>
      </tp>
      <tp t="s">
        <v>#N/A Invalid Field</v>
        <stp/>
        <stp>##V3_BDHV12</stp>
        <stp>21H060648 Mtge</stp>
        <stp>MTG_GEN_CPR_6M</stp>
        <stp>20090331</stp>
        <stp>20090331</stp>
        <stp>[Copy of 02_cpr_main.xlsx]data!R27C6</stp>
        <stp>Dts=H</stp>
        <tr r="F27" s="2"/>
      </tp>
      <tp t="s">
        <v>#N/A Invalid Field</v>
        <stp/>
        <stp>##V3_BDHV12</stp>
        <stp>31288MC23 Mtge</stp>
        <stp>MTG_GEN_CPR_3M</stp>
        <stp>20090610</stp>
        <stp>20090610</stp>
        <stp>[Copy of 02_cpr_main.xlsx]data!R39C8</stp>
        <stp>Dts=H</stp>
        <tr r="H39" s="2"/>
      </tp>
      <tp t="s">
        <v>#N/A Invalid Field</v>
        <stp/>
        <stp>##V3_BDHV12</stp>
        <stp>3128MBH26 Mtge</stp>
        <stp>MTG_GEN_CPR_3M</stp>
        <stp>20090610</stp>
        <stp>20090610</stp>
        <stp>[Copy of 02_cpr_main.xlsx]data!R94C8</stp>
        <stp>Dts=H</stp>
        <tr r="H94" s="2"/>
      </tp>
      <tp t="s">
        <v>#N/A Invalid Field</v>
        <stp/>
        <stp>##V3_BDHV12</stp>
        <stp>3128GFA62 Mtge</stp>
        <stp>MTG_GEN_CPR_6M</stp>
        <stp>20090610</stp>
        <stp>20090610</stp>
        <stp>[Copy of 02_cpr_main.xlsx]data!R53C9</stp>
        <stp>Dts=H</stp>
        <tr r="I53" s="2"/>
      </tp>
      <tp t="s">
        <v>#N/A N/A</v>
        <stp/>
        <stp>##V3_BDPV12</stp>
        <stp>3128PPAR4 Mtge</stp>
        <stp>MTG_PREPAY_SPEED</stp>
        <stp>[Copy of 02_cpr_main.xlsx]data!R104C12</stp>
        <tr r="L104" s="2"/>
      </tp>
      <tp>
        <v>1666.7</v>
        <stp/>
        <stp>##V3_BDPV12</stp>
        <stp>3128GCP55 Mtge</stp>
        <stp xml:space="preserve">MTG_PL_PSA_3M </stp>
        <stp>[Copy of 02_cpr_main.xlsx]data!R42C14</stp>
        <tr r="N42" s="2"/>
      </tp>
      <tp>
        <v>1666.7</v>
        <stp/>
        <stp>##V3_BDPV12</stp>
        <stp>3128GCP55 Mtge</stp>
        <stp xml:space="preserve">MTG_PL_PSA_1M </stp>
        <stp>[Copy of 02_cpr_main.xlsx]data!R42C13</stp>
        <tr r="M42" s="2"/>
      </tp>
      <tp>
        <v>1666.7</v>
        <stp/>
        <stp>##V3_BDPV12</stp>
        <stp>3128GCP55 Mtge</stp>
        <stp xml:space="preserve">MTG_PL_PSA_6M </stp>
        <stp>[Copy of 02_cpr_main.xlsx]data!R42C15</stp>
        <tr r="O42" s="2"/>
      </tp>
      <tp>
        <v>0</v>
        <stp/>
        <stp>##V3_BDPV12</stp>
        <stp>3128GGGX5 Mtge</stp>
        <stp xml:space="preserve">MTG_PL_PSA_1M </stp>
        <stp>[Copy of 02_cpr_main.xlsx]data!R56C13</stp>
        <tr r="M56" s="2"/>
      </tp>
      <tp>
        <v>0.1</v>
        <stp/>
        <stp>##V3_BDPV12</stp>
        <stp>3128GGGX5 Mtge</stp>
        <stp xml:space="preserve">MTG_PL_PSA_6M </stp>
        <stp>[Copy of 02_cpr_main.xlsx]data!R56C15</stp>
        <tr r="O56" s="2"/>
      </tp>
      <tp>
        <v>0.2</v>
        <stp/>
        <stp>##V3_BDPV12</stp>
        <stp>3128GGGX5 Mtge</stp>
        <stp xml:space="preserve">MTG_PL_PSA_3M </stp>
        <stp>[Copy of 02_cpr_main.xlsx]data!R56C14</stp>
        <tr r="N56" s="2"/>
      </tp>
      <tp>
        <v>1237.2</v>
        <stp/>
        <stp>##V3_BDPV12</stp>
        <stp>3128GEBA5 Mtge</stp>
        <stp xml:space="preserve">MTG_PL_PSA_3M </stp>
        <stp>[Copy of 02_cpr_main.xlsx]data!R52C14</stp>
        <tr r="N52" s="2"/>
      </tp>
      <tp>
        <v>931.8</v>
        <stp/>
        <stp>##V3_BDPV12</stp>
        <stp>3128GEBA5 Mtge</stp>
        <stp xml:space="preserve">MTG_PL_PSA_6M </stp>
        <stp>[Copy of 02_cpr_main.xlsx]data!R52C15</stp>
        <tr r="O52" s="2"/>
      </tp>
      <tp>
        <v>0</v>
        <stp/>
        <stp>##V3_BDPV12</stp>
        <stp>3128GEBA5 Mtge</stp>
        <stp xml:space="preserve">MTG_PL_PSA_1M </stp>
        <stp>[Copy of 02_cpr_main.xlsx]data!R52C13</stp>
        <tr r="M52" s="2"/>
      </tp>
      <tp>
        <v>1666.7</v>
        <stp/>
        <stp>##V3_BDPV12</stp>
        <stp>3128GJEM5 Mtge</stp>
        <stp xml:space="preserve">MTG_PL_PSA_1M </stp>
        <stp>[Copy of 02_cpr_main.xlsx]data!R58C13</stp>
        <tr r="M58" s="2"/>
      </tp>
      <tp>
        <v>1666.7</v>
        <stp/>
        <stp>##V3_BDPV12</stp>
        <stp>3128GJEM5 Mtge</stp>
        <stp xml:space="preserve">MTG_PL_PSA_6M </stp>
        <stp>[Copy of 02_cpr_main.xlsx]data!R58C15</stp>
        <tr r="O58" s="2"/>
      </tp>
      <tp>
        <v>1666.7</v>
        <stp/>
        <stp>##V3_BDPV12</stp>
        <stp>3128GJEM5 Mtge</stp>
        <stp xml:space="preserve">MTG_PL_PSA_3M </stp>
        <stp>[Copy of 02_cpr_main.xlsx]data!R58C14</stp>
        <tr r="N58" s="2"/>
      </tp>
      <tp>
        <v>125</v>
        <stp/>
        <stp>##V3_BDPV12</stp>
        <stp>31401XSY4 Mtge</stp>
        <stp>MTG_PREPAY_SPEED</stp>
        <stp>[Copy of 02_cpr_main.xlsx]data!R260C12</stp>
        <tr r="L260" s="2"/>
      </tp>
      <tp>
        <v>8.1300000000000008</v>
        <stp/>
        <stp>##V3_BDPV12</stp>
        <stp>31406GDY2 Mtge</stp>
        <stp>MTG_PREPAY_SPEED</stp>
        <stp>[Copy of 02_cpr_main.xlsx]data!R336C12</stp>
        <tr r="L336" s="2"/>
      </tp>
      <tp>
        <v>125</v>
        <stp/>
        <stp>##V3_BDPV12</stp>
        <stp>31410KRX4 Mtge</stp>
        <stp>MTG_PREPAY_SPEED</stp>
        <stp>[Copy of 02_cpr_main.xlsx]data!R375C12</stp>
        <tr r="L375" s="2"/>
      </tp>
      <tp t="s">
        <v>#N/A N/A</v>
        <stp/>
        <stp>##V3_BDPV12</stp>
        <stp>31400JBY4 Mtge</stp>
        <stp>MTG_PREPAY_SPEED</stp>
        <stp>[Copy of 02_cpr_main.xlsx]data!R246C12</stp>
        <tr r="L246" s="2"/>
      </tp>
      <tp>
        <v>170</v>
        <stp/>
        <stp>##V3_BDPV12</stp>
        <stp>31297VKP2 Mtge</stp>
        <stp>MTG_PREPAY_SPEED</stp>
        <stp>[Copy of 02_cpr_main.xlsx]data!R150C12</stp>
        <tr r="L150" s="2"/>
      </tp>
      <tp t="s">
        <v>#N/A N/A</v>
        <stp/>
        <stp>##V3_BDPV12</stp>
        <stp>36200KMY0 Mtge</stp>
        <stp>MTG_PREPAY_SPEED</stp>
        <stp>[Copy of 02_cpr_main.xlsx]data!R464C12</stp>
        <tr r="L464" s="2"/>
      </tp>
      <tp t="s">
        <v>#N/A N/A</v>
        <stp/>
        <stp>##V3_BDPV12</stp>
        <stp>31335HUZ4 Mtge</stp>
        <stp>MTG_PREPAY_SPEED</stp>
        <stp>[Copy of 02_cpr_main.xlsx]data!R155C12</stp>
        <tr r="L155" s="2"/>
      </tp>
      <tp t="s">
        <v>#N/A Invalid Field</v>
        <stp/>
        <stp>##V3_BDHV12</stp>
        <stp>3128GCP55 Mtge</stp>
        <stp>MTG_GEN_CPR_6M</stp>
        <stp>20090610</stp>
        <stp>20090610</stp>
        <stp>[Copy of 02_cpr_main.xlsx]data!R42C9</stp>
        <stp>Dts=H</stp>
        <tr r="I42" s="2"/>
      </tp>
      <tp t="s">
        <v>#N/A Invalid Field</v>
        <stp/>
        <stp>##V3_BDHV12</stp>
        <stp>3128M6Q92 Mtge</stp>
        <stp>MTG_GEN_CPR_3M</stp>
        <stp>20090331</stp>
        <stp>20090331</stp>
        <stp>[Copy of 02_cpr_main.xlsx]data!R89C5</stp>
        <stp>Dts=H</stp>
        <tr r="E89" s="2"/>
      </tp>
      <tp t="s">
        <v>#N/A Invalid Field</v>
        <stp/>
        <stp>##V3_BDHV12</stp>
        <stp>3128GLE99 Mtge</stp>
        <stp>MTG_GEN_CPR_3M</stp>
        <stp>20090331</stp>
        <stp>20090331</stp>
        <stp>[Copy of 02_cpr_main.xlsx]data!R60C5</stp>
        <stp>Dts=H</stp>
        <tr r="E60" s="2"/>
      </tp>
      <tp t="s">
        <v>#N/A Invalid Field</v>
        <stp/>
        <stp>##V3_BDHV12</stp>
        <stp>312967ME9 Mtge</stp>
        <stp>MTG_GEN_CPR_12M</stp>
        <stp>20090331</stp>
        <stp>20090331</stp>
        <stp>[Copy of 02_cpr_main.xlsx]data!R141C7</stp>
        <stp>Dts=H</stp>
        <tr r="G141" s="2"/>
      </tp>
      <tp t="s">
        <v>#N/A Invalid Field</v>
        <stp/>
        <stp>##V3_BDHV12</stp>
        <stp>312967HF2 Mtge</stp>
        <stp>MTG_GEN_CPR_12M</stp>
        <stp>20090331</stp>
        <stp>20090331</stp>
        <stp>[Copy of 02_cpr_main.xlsx]data!R140C7</stp>
        <stp>Dts=H</stp>
        <tr r="G140" s="2"/>
      </tp>
      <tp t="s">
        <v>#N/A Invalid Field</v>
        <stp/>
        <stp>##V3_BDHV12</stp>
        <stp>3128P7LU5 Mtge</stp>
        <stp>MTG_GEN_CPR_12M</stp>
        <stp>20090331</stp>
        <stp>20090331</stp>
        <stp>[Copy of 02_cpr_main.xlsx]data!R102C7</stp>
        <stp>Dts=H</stp>
        <tr r="G102" s="2"/>
      </tp>
      <tp t="s">
        <v>#N/A Invalid Field</v>
        <stp/>
        <stp>##V3_BDHV12</stp>
        <stp>312967XJ6 Mtge</stp>
        <stp>MTG_GEN_CPR_12M</stp>
        <stp>20090331</stp>
        <stp>20090331</stp>
        <stp>[Copy of 02_cpr_main.xlsx]data!R142C7</stp>
        <stp>Dts=H</stp>
        <tr r="G142" s="2"/>
      </tp>
      <tp>
        <v>63.9</v>
        <stp/>
        <stp>##V3_BDPV12</stp>
        <stp>3128JLW39 Mtge</stp>
        <stp xml:space="preserve">MTG_PL_PSA_6M </stp>
        <stp>[Copy of 02_cpr_main.xlsx]data!R67C15</stp>
        <tr r="O67" s="2"/>
      </tp>
      <tp>
        <v>59.7</v>
        <stp/>
        <stp>##V3_BDPV12</stp>
        <stp>3128JLW39 Mtge</stp>
        <stp xml:space="preserve">MTG_PL_PSA_1M </stp>
        <stp>[Copy of 02_cpr_main.xlsx]data!R67C13</stp>
        <tr r="M67" s="2"/>
      </tp>
      <tp>
        <v>58.3</v>
        <stp/>
        <stp>##V3_BDPV12</stp>
        <stp>3128JLW39 Mtge</stp>
        <stp xml:space="preserve">MTG_PL_PSA_3M </stp>
        <stp>[Copy of 02_cpr_main.xlsx]data!R67C14</stp>
        <tr r="N67" s="2"/>
      </tp>
      <tp>
        <v>1457.5</v>
        <stp/>
        <stp>##V3_BDPV12</stp>
        <stp>3128GVEA4 Mtge</stp>
        <stp xml:space="preserve">MTG_PL_PSA_6M </stp>
        <stp>[Copy of 02_cpr_main.xlsx]data!R61C15</stp>
        <tr r="O61" s="2"/>
      </tp>
      <tp>
        <v>0</v>
        <stp/>
        <stp>##V3_BDPV12</stp>
        <stp>3128GVEA4 Mtge</stp>
        <stp xml:space="preserve">MTG_PL_PSA_1M </stp>
        <stp>[Copy of 02_cpr_main.xlsx]data!R61C13</stp>
        <tr r="M61" s="2"/>
      </tp>
      <tp>
        <v>1632.8</v>
        <stp/>
        <stp>##V3_BDPV12</stp>
        <stp>3128GVEA4 Mtge</stp>
        <stp xml:space="preserve">MTG_PL_PSA_3M </stp>
        <stp>[Copy of 02_cpr_main.xlsx]data!R61C14</stp>
        <tr r="N61" s="2"/>
      </tp>
      <tp t="s">
        <v>#N/A N/A</v>
        <stp/>
        <stp>##V3_BDPV12</stp>
        <stp>36213EWY8 Mtge</stp>
        <stp>MTG_PREPAY_SPEED</stp>
        <stp>[Copy of 02_cpr_main.xlsx]data!R487C12</stp>
        <tr r="L487" s="2"/>
      </tp>
      <tp t="s">
        <v>#N/A N/A</v>
        <stp/>
        <stp>##V3_BDPV12</stp>
        <stp>31410TVY8 Mtge</stp>
        <stp>MTG_PREPAY_SPEED</stp>
        <stp>[Copy of 02_cpr_main.xlsx]data!R384C12</stp>
        <tr r="L384" s="2"/>
      </tp>
      <tp>
        <v>0.25</v>
        <stp/>
        <stp>##V3_BDPV12</stp>
        <stp>31410S5Y9 Mtge</stp>
        <stp>MTG_PREPAY_SPEED</stp>
        <stp>[Copy of 02_cpr_main.xlsx]data!R383C12</stp>
        <tr r="L383" s="2"/>
      </tp>
      <tp t="s">
        <v>#N/A N/A</v>
        <stp/>
        <stp>##V3_BDPV12</stp>
        <stp>31402Q2X8 Mtge</stp>
        <stp>MTG_PREPAY_SPEED</stp>
        <stp>[Copy of 02_cpr_main.xlsx]data!R273C12</stp>
        <tr r="L273" s="2"/>
      </tp>
      <tp>
        <v>169</v>
        <stp/>
        <stp>##V3_BDPV12</stp>
        <stp>31412M4Y1 Mtge</stp>
        <stp>MTG_PREPAY_SPEED</stp>
        <stp>[Copy of 02_cpr_main.xlsx]data!R410C12</stp>
        <tr r="L410" s="2"/>
      </tp>
      <tp t="s">
        <v>#N/A N/A</v>
        <stp/>
        <stp>##V3_BDPV12</stp>
        <stp>31402RBX6 Mtge</stp>
        <stp>MTG_PREPAY_SPEED</stp>
        <stp>[Copy of 02_cpr_main.xlsx]data!R279C12</stp>
        <tr r="L279" s="2"/>
      </tp>
      <tp>
        <v>139</v>
        <stp/>
        <stp>##V3_BDPV12</stp>
        <stp>36295JMQ6 Mtge</stp>
        <stp>MTG_PREPAY_SPEED</stp>
        <stp>[Copy of 02_cpr_main.xlsx]data!R506C12</stp>
        <tr r="L506" s="2"/>
      </tp>
      <tp>
        <v>0.09</v>
        <stp/>
        <stp>##V3_BDPV12</stp>
        <stp>31405YXX4 Mtge</stp>
        <stp>MTG_PREPAY_SPEED</stp>
        <stp>[Copy of 02_cpr_main.xlsx]data!R332C12</stp>
        <tr r="L332" s="2"/>
      </tp>
      <tp t="s">
        <v>#N/A N/A</v>
        <stp/>
        <stp>##V3_BDPV12</stp>
        <stp>31400AMX3 Mtge</stp>
        <stp>MTG_PREPAY_SPEED</stp>
        <stp>[Copy of 02_cpr_main.xlsx]data!R244C12</stp>
        <tr r="L244" s="2"/>
      </tp>
      <tp t="s">
        <v>#N/A N/A</v>
        <stp/>
        <stp>##V3_BDPV12</stp>
        <stp>31391HFQ2 Mtge</stp>
        <stp>MTG_PREPAY_SPEED</stp>
        <stp>[Copy of 02_cpr_main.xlsx]data!R236C12</stp>
        <tr r="L236" s="2"/>
      </tp>
      <tp>
        <v>169</v>
        <stp/>
        <stp>##V3_BDPV12</stp>
        <stp>31417YAY3 Mtge</stp>
        <stp>MTG_PREPAY_SPEED</stp>
        <stp>[Copy of 02_cpr_main.xlsx]data!R462C12</stp>
        <tr r="L462" s="2"/>
      </tp>
      <tp>
        <v>3.02</v>
        <stp/>
        <stp>##V3_BDPV12</stp>
        <stp>31406DJX5 Mtge</stp>
        <stp>MTG_PREPAY_SPEED</stp>
        <stp>[Copy of 02_cpr_main.xlsx]data!R335C12</stp>
        <tr r="L335" s="2"/>
      </tp>
      <tp t="s">
        <v>#N/A Invalid Field</v>
        <stp/>
        <stp>##V3_BDHV12</stp>
        <stp>3128GDX47 Mtge</stp>
        <stp>MTG_GEN_CPR_6M</stp>
        <stp>20090610</stp>
        <stp>20090610</stp>
        <stp>[Copy of 02_cpr_main.xlsx]data!R49C9</stp>
        <stp>Dts=H</stp>
        <tr r="I49" s="2"/>
      </tp>
      <tp t="s">
        <v>#N/A Invalid Field</v>
        <stp/>
        <stp>##V3_BDHV12</stp>
        <stp>3128M1B81 Mtge</stp>
        <stp>MTG_GEN_CPR_3M</stp>
        <stp>20090331</stp>
        <stp>20090331</stp>
        <stp>[Copy of 02_cpr_main.xlsx]data!R82C5</stp>
        <stp>Dts=H</stp>
        <tr r="E82" s="2"/>
      </tp>
      <tp t="s">
        <v>#N/A Invalid Field</v>
        <stp/>
        <stp>##V3_BDHV12</stp>
        <stp>3128M1L80 Mtge</stp>
        <stp>MTG_GEN_CPR_3M</stp>
        <stp>20090331</stp>
        <stp>20090331</stp>
        <stp>[Copy of 02_cpr_main.xlsx]data!R83C5</stp>
        <stp>Dts=H</stp>
        <tr r="E83" s="2"/>
      </tp>
      <tp>
        <v>1666.7</v>
        <stp/>
        <stp>##V3_BDPV12</stp>
        <stp>3128GDAZ3 Mtge</stp>
        <stp xml:space="preserve">MTG_PL_PSA_3M </stp>
        <stp>[Copy of 02_cpr_main.xlsx]data!R44C14</stp>
        <tr r="N44" s="2"/>
      </tp>
      <tp>
        <v>1666.7</v>
        <stp/>
        <stp>##V3_BDPV12</stp>
        <stp>3128GDAZ3 Mtge</stp>
        <stp xml:space="preserve">MTG_PL_PSA_6M </stp>
        <stp>[Copy of 02_cpr_main.xlsx]data!R44C15</stp>
        <tr r="O44" s="2"/>
      </tp>
      <tp>
        <v>1666.7</v>
        <stp/>
        <stp>##V3_BDPV12</stp>
        <stp>3128GDAZ3 Mtge</stp>
        <stp xml:space="preserve">MTG_PL_PSA_1M </stp>
        <stp>[Copy of 02_cpr_main.xlsx]data!R44C13</stp>
        <tr r="M44" s="2"/>
      </tp>
      <tp>
        <v>1666.7</v>
        <stp/>
        <stp>##V3_BDPV12</stp>
        <stp>3128GDQW3 Mtge</stp>
        <stp xml:space="preserve">MTG_PL_PSA_3M </stp>
        <stp>[Copy of 02_cpr_main.xlsx]data!R47C14</stp>
        <tr r="N47" s="2"/>
      </tp>
      <tp>
        <v>1666.7</v>
        <stp/>
        <stp>##V3_BDPV12</stp>
        <stp>3128GDQW3 Mtge</stp>
        <stp xml:space="preserve">MTG_PL_PSA_6M </stp>
        <stp>[Copy of 02_cpr_main.xlsx]data!R47C15</stp>
        <tr r="O47" s="2"/>
      </tp>
      <tp>
        <v>1666.7</v>
        <stp/>
        <stp>##V3_BDPV12</stp>
        <stp>3128GDQW3 Mtge</stp>
        <stp xml:space="preserve">MTG_PL_PSA_1M </stp>
        <stp>[Copy of 02_cpr_main.xlsx]data!R47C13</stp>
        <tr r="M47" s="2"/>
      </tp>
      <tp>
        <v>1666.7</v>
        <stp/>
        <stp>##V3_BDPV12</stp>
        <stp>3128GHCL3 Mtge</stp>
        <stp xml:space="preserve">MTG_PL_PSA_3M </stp>
        <stp>[Copy of 02_cpr_main.xlsx]data!R57C14</stp>
        <tr r="N57" s="2"/>
      </tp>
      <tp>
        <v>1666.7</v>
        <stp/>
        <stp>##V3_BDPV12</stp>
        <stp>3128GHCL3 Mtge</stp>
        <stp xml:space="preserve">MTG_PL_PSA_1M </stp>
        <stp>[Copy of 02_cpr_main.xlsx]data!R57C13</stp>
        <tr r="M57" s="2"/>
      </tp>
      <tp>
        <v>1666.7</v>
        <stp/>
        <stp>##V3_BDPV12</stp>
        <stp>3128GHCL3 Mtge</stp>
        <stp xml:space="preserve">MTG_PL_PSA_6M </stp>
        <stp>[Copy of 02_cpr_main.xlsx]data!R57C15</stp>
        <tr r="O57" s="2"/>
      </tp>
      <tp>
        <v>213</v>
        <stp/>
        <stp>##V3_BDPV12</stp>
        <stp>31292J5V8 Mtge</stp>
        <stp>MTG_PREPAY_SPEED</stp>
        <stp>[Copy of 02_cpr_main.xlsx]data!R120C12</stp>
        <tr r="L120" s="2"/>
      </tp>
      <tp>
        <v>191</v>
        <stp/>
        <stp>##V3_BDPV12</stp>
        <stp>31292G4V5 Mtge</stp>
        <stp>MTG_PREPAY_SPEED</stp>
        <stp>[Copy of 02_cpr_main.xlsx]data!R114C12</stp>
        <tr r="L114" s="2"/>
      </tp>
      <tp t="s">
        <v>#N/A N/A</v>
        <stp/>
        <stp>##V3_BDPV12</stp>
        <stp>31391PUV6 Mtge</stp>
        <stp>MTG_PREPAY_SPEED</stp>
        <stp>[Copy of 02_cpr_main.xlsx]data!R239C12</stp>
        <tr r="L239" s="2"/>
      </tp>
      <tp t="s">
        <v>#N/A N/A</v>
        <stp/>
        <stp>##V3_BDPV12</stp>
        <stp>31371HLX4 Mtge</stp>
        <stp>MTG_PREPAY_SPEED</stp>
        <stp>[Copy of 02_cpr_main.xlsx]data!R163C12</stp>
        <tr r="L163" s="2"/>
      </tp>
      <tp t="s">
        <v>#N/A Invalid Field</v>
        <stp/>
        <stp>##V3_BDHV12</stp>
        <stp>31283KR34 Mtge</stp>
        <stp>MTG_GEN_CPR_6M</stp>
        <stp>20090610</stp>
        <stp>20090610</stp>
        <stp>[Copy of 02_cpr_main.xlsx]data!R36C9</stp>
        <stp>Dts=H</stp>
        <tr r="I36" s="2"/>
      </tp>
      <tp t="s">
        <v>#N/A Invalid Field</v>
        <stp/>
        <stp>##V3_BDHV12</stp>
        <stp>31288MC31 Mtge</stp>
        <stp>MTG_GEN_CPR_6M</stp>
        <stp>20090610</stp>
        <stp>20090610</stp>
        <stp>[Copy of 02_cpr_main.xlsx]data!R40C9</stp>
        <stp>Dts=H</stp>
        <tr r="I40" s="2"/>
      </tp>
      <tp t="s">
        <v>#N/A Invalid Field</v>
        <stp/>
        <stp>##V3_BDHV12</stp>
        <stp>3128NFL70 Mtge</stp>
        <stp>MTG_GEN_CPR_3M</stp>
        <stp>20090610</stp>
        <stp>20090610</stp>
        <stp>[Copy of 02_cpr_main.xlsx]data!R97C8</stp>
        <stp>Dts=H</stp>
        <tr r="H97" s="2"/>
      </tp>
      <tp t="s">
        <v>#N/A Invalid Field</v>
        <stp/>
        <stp>##V3_BDHV12</stp>
        <stp>3128GWF37 Mtge</stp>
        <stp>MTG_GEN_CPR_6M</stp>
        <stp>20090610</stp>
        <stp>20090610</stp>
        <stp>[Copy of 02_cpr_main.xlsx]data!R63C9</stp>
        <stp>Dts=H</stp>
        <tr r="I63" s="2"/>
      </tp>
      <tp t="s">
        <v>#N/A Invalid Field</v>
        <stp/>
        <stp>##V3_BDHV12</stp>
        <stp>3128JLW39 Mtge</stp>
        <stp>MTG_GEN_CPR_6M</stp>
        <stp>20090610</stp>
        <stp>20090610</stp>
        <stp>[Copy of 02_cpr_main.xlsx]data!R67C9</stp>
        <stp>Dts=H</stp>
        <tr r="I67" s="2"/>
      </tp>
      <tp t="s">
        <v>#N/A Invalid Field</v>
        <stp/>
        <stp>##V3_BDHV12</stp>
        <stp>3128NGF75 Mtge</stp>
        <stp>MTG_GEN_CPR_3M</stp>
        <stp>20090610</stp>
        <stp>20090610</stp>
        <stp>[Copy of 02_cpr_main.xlsx]data!R99C8</stp>
        <stp>Dts=H</stp>
        <tr r="H99" s="2"/>
      </tp>
      <tp t="s">
        <v>#N/A Invalid Field</v>
        <stp/>
        <stp>##V3_BDHV12</stp>
        <stp>3128M6Q92 Mtge</stp>
        <stp>MTG_GEN_CPR_6M</stp>
        <stp>20090331</stp>
        <stp>20090331</stp>
        <stp>[Copy of 02_cpr_main.xlsx]data!R89C6</stp>
        <stp>Dts=H</stp>
        <tr r="F89" s="2"/>
      </tp>
      <tp t="s">
        <v>#N/A Invalid Field</v>
        <stp/>
        <stp>##V3_BDHV12</stp>
        <stp>3128GLE99 Mtge</stp>
        <stp>MTG_GEN_CPR_6M</stp>
        <stp>20090331</stp>
        <stp>20090331</stp>
        <stp>[Copy of 02_cpr_main.xlsx]data!R60C6</stp>
        <stp>Dts=H</stp>
        <tr r="F60" s="2"/>
      </tp>
      <tp t="s">
        <v>#N/A Invalid Field</v>
        <stp/>
        <stp>##V3_BDHV12</stp>
        <stp>3128GGA78 Mtge</stp>
        <stp>MTG_GEN_CPR_3M</stp>
        <stp>20090610</stp>
        <stp>20090610</stp>
        <stp>[Copy of 02_cpr_main.xlsx]data!R54C8</stp>
        <stp>Dts=H</stp>
        <tr r="H54" s="2"/>
      </tp>
      <tp t="s">
        <v>#N/A Invalid Field</v>
        <stp/>
        <stp>##V3_BDHV12</stp>
        <stp>3128GWX78 Mtge</stp>
        <stp>MTG_GEN_CPR_3M</stp>
        <stp>20090610</stp>
        <stp>20090610</stp>
        <stp>[Copy of 02_cpr_main.xlsx]data!R64C8</stp>
        <stp>Dts=H</stp>
        <tr r="H64" s="2"/>
      </tp>
      <tp t="s">
        <v>#N/A Invalid Field</v>
        <stp/>
        <stp>##V3_BDHV12</stp>
        <stp>3128GWD39 Mtge</stp>
        <stp>MTG_GEN_CPR_6M</stp>
        <stp>20090610</stp>
        <stp>20090610</stp>
        <stp>[Copy of 02_cpr_main.xlsx]data!R62C9</stp>
        <stp>Dts=H</stp>
        <tr r="I62" s="2"/>
      </tp>
      <tp t="s">
        <v>#N/A Invalid Field</v>
        <stp/>
        <stp>##V3_BDHV12</stp>
        <stp>3128K7DW5 Mtge</stp>
        <stp>MTG_GEN_CPR_12M</stp>
        <stp>20090610</stp>
        <stp>20090610</stp>
        <stp>[Copy of 02_cpr_main.xlsx]data!R73C10</stp>
        <stp>Dts=H</stp>
        <tr r="J73" s="2"/>
      </tp>
      <tp t="s">
        <v>#N/A Invalid Field</v>
        <stp/>
        <stp>##V3_BDHV12</stp>
        <stp>21H052645 Mtge</stp>
        <stp>MTG_GEN_CPR_12M</stp>
        <stp>20090610</stp>
        <stp>20090610</stp>
        <stp>[Copy of 02_cpr_main.xlsx]data!R26C10</stp>
        <stp>Dts=H</stp>
        <tr r="J26" s="2"/>
      </tp>
      <tp t="s">
        <v>#N/A Invalid Field</v>
        <stp/>
        <stp>##V3_BDHV12</stp>
        <stp>3128L7UY1 Mtge</stp>
        <stp>MTG_GEN_CPR_12M</stp>
        <stp>20090610</stp>
        <stp>20090610</stp>
        <stp>[Copy of 02_cpr_main.xlsx]data!R76C10</stp>
        <stp>Dts=H</stp>
        <tr r="J76" s="2"/>
      </tp>
      <tp>
        <v>25.8</v>
        <stp/>
        <stp>##V3_BDPV12</stp>
        <stp>3128M6LZ9 Mtge</stp>
        <stp xml:space="preserve">MTG_PL_PSA_3M </stp>
        <stp>[Copy of 02_cpr_main.xlsx]data!R88C14</stp>
        <tr r="N88" s="2"/>
      </tp>
      <tp>
        <v>28.2</v>
        <stp/>
        <stp>##V3_BDPV12</stp>
        <stp>3128M6LZ9 Mtge</stp>
        <stp xml:space="preserve">MTG_PL_PSA_1M </stp>
        <stp>[Copy of 02_cpr_main.xlsx]data!R88C13</stp>
        <tr r="M88" s="2"/>
      </tp>
      <tp>
        <v>84.5</v>
        <stp/>
        <stp>##V3_BDPV12</stp>
        <stp>3128M6LZ9 Mtge</stp>
        <stp xml:space="preserve">MTG_PL_PSA_6M </stp>
        <stp>[Copy of 02_cpr_main.xlsx]data!R88C15</stp>
        <tr r="O88" s="2"/>
      </tp>
      <tp>
        <v>136.30000000000001</v>
        <stp/>
        <stp>##V3_BDPV12</stp>
        <stp>3128M6RS9 Mtge</stp>
        <stp xml:space="preserve">MTG_PL_PSA_6M </stp>
        <stp>[Copy of 02_cpr_main.xlsx]data!R90C15</stp>
        <tr r="O90" s="2"/>
      </tp>
      <tp>
        <v>84.2</v>
        <stp/>
        <stp>##V3_BDPV12</stp>
        <stp>3128M6RS9 Mtge</stp>
        <stp xml:space="preserve">MTG_PL_PSA_1M </stp>
        <stp>[Copy of 02_cpr_main.xlsx]data!R90C13</stp>
        <tr r="M90" s="2"/>
      </tp>
      <tp>
        <v>83.6</v>
        <stp/>
        <stp>##V3_BDPV12</stp>
        <stp>3128M6RS9 Mtge</stp>
        <stp xml:space="preserve">MTG_PL_PSA_3M </stp>
        <stp>[Copy of 02_cpr_main.xlsx]data!R90C14</stp>
        <tr r="N90" s="2"/>
      </tp>
      <tp t="s">
        <v>#N/A Invalid Field</v>
        <stp/>
        <stp>##V3_BDHV12</stp>
        <stp>02R042447 Mtge</stp>
        <stp>MTG_GEN_CPR_12M</stp>
        <stp>20090610</stp>
        <stp>20090610</stp>
        <stp>[Copy of 02_cpr_main.xlsx]data!R19C10</stp>
        <stp>Dts=H</stp>
        <tr r="J19" s="2"/>
      </tp>
      <tp>
        <v>1236.5999999999999</v>
        <stp/>
        <stp>##V3_BDPV12</stp>
        <stp>3128MB5P8 Mtge</stp>
        <stp xml:space="preserve">MTG_PL_PSA_3M </stp>
        <stp>[Copy of 02_cpr_main.xlsx]data!R93C14</stp>
        <tr r="N93" s="2"/>
      </tp>
      <tp>
        <v>0</v>
        <stp/>
        <stp>##V3_BDPV12</stp>
        <stp>3128MB5P8 Mtge</stp>
        <stp xml:space="preserve">MTG_PL_PSA_1M </stp>
        <stp>[Copy of 02_cpr_main.xlsx]data!R93C13</stp>
        <tr r="M93" s="2"/>
      </tp>
      <tp>
        <v>1521.8</v>
        <stp/>
        <stp>##V3_BDPV12</stp>
        <stp>3128MB5P8 Mtge</stp>
        <stp xml:space="preserve">MTG_PL_PSA_6M </stp>
        <stp>[Copy of 02_cpr_main.xlsx]data!R93C15</stp>
        <tr r="O93" s="2"/>
      </tp>
      <tp>
        <v>1666.7</v>
        <stp/>
        <stp>##V3_BDPV12</stp>
        <stp>3128GFA62 Mtge</stp>
        <stp xml:space="preserve">MTG_PL_PSA_3M </stp>
        <stp>[Copy of 02_cpr_main.xlsx]data!R53C14</stp>
        <tr r="N53" s="2"/>
      </tp>
      <tp>
        <v>1666.7</v>
        <stp/>
        <stp>##V3_BDPV12</stp>
        <stp>3128GFA62 Mtge</stp>
        <stp xml:space="preserve">MTG_PL_PSA_1M </stp>
        <stp>[Copy of 02_cpr_main.xlsx]data!R53C13</stp>
        <tr r="M53" s="2"/>
      </tp>
      <tp>
        <v>1666.7</v>
        <stp/>
        <stp>##V3_BDPV12</stp>
        <stp>3128GFA62 Mtge</stp>
        <stp xml:space="preserve">MTG_PL_PSA_6M </stp>
        <stp>[Copy of 02_cpr_main.xlsx]data!R53C15</stp>
        <tr r="O53" s="2"/>
      </tp>
      <tp>
        <v>1666.7</v>
        <stp/>
        <stp>##V3_BDPV12</stp>
        <stp>3128GDQJ2 Mtge</stp>
        <stp xml:space="preserve">MTG_PL_PSA_3M </stp>
        <stp>[Copy of 02_cpr_main.xlsx]data!R46C14</stp>
        <tr r="N46" s="2"/>
      </tp>
      <tp>
        <v>1666.7</v>
        <stp/>
        <stp>##V3_BDPV12</stp>
        <stp>3128GDQJ2 Mtge</stp>
        <stp xml:space="preserve">MTG_PL_PSA_6M </stp>
        <stp>[Copy of 02_cpr_main.xlsx]data!R46C15</stp>
        <tr r="O46" s="2"/>
      </tp>
      <tp>
        <v>1666.7</v>
        <stp/>
        <stp>##V3_BDPV12</stp>
        <stp>3128GDQJ2 Mtge</stp>
        <stp xml:space="preserve">MTG_PL_PSA_1M </stp>
        <stp>[Copy of 02_cpr_main.xlsx]data!R46C13</stp>
        <tr r="M46" s="2"/>
      </tp>
      <tp>
        <v>169</v>
        <stp/>
        <stp>##V3_BDPV12</stp>
        <stp>31391REW8 Mtge</stp>
        <stp>MTG_PREPAY_SPEED</stp>
        <stp>[Copy of 02_cpr_main.xlsx]data!R241C12</stp>
        <tr r="L241" s="2"/>
      </tp>
      <tp>
        <v>171</v>
        <stp/>
        <stp>##V3_BDPV12</stp>
        <stp>31371HQY7 Mtge</stp>
        <stp>MTG_PREPAY_SPEED</stp>
        <stp>[Copy of 02_cpr_main.xlsx]data!R166C12</stp>
        <tr r="L166" s="2"/>
      </tp>
      <tp>
        <v>0</v>
        <stp/>
        <stp>##V3_BDPV12</stp>
        <stp>31381JRV6 Mtge</stp>
        <stp>MTG_PREPAY_SPEED</stp>
        <stp>[Copy of 02_cpr_main.xlsx]data!R194C12</stp>
        <tr r="L194" s="2"/>
      </tp>
      <tp>
        <v>123</v>
        <stp/>
        <stp>##V3_BDPV12</stp>
        <stp>36291ACW7 Mtge</stp>
        <stp>MTG_PREPAY_SPEED</stp>
        <stp>[Copy of 02_cpr_main.xlsx]data!R499C12</stp>
        <tr r="L499" s="2"/>
      </tp>
      <tp t="s">
        <v>#N/A N/A</v>
        <stp/>
        <stp>##V3_BDPV12</stp>
        <stp>31371LDY2 Mtge</stp>
        <stp>MTG_PREPAY_SPEED</stp>
        <stp>[Copy of 02_cpr_main.xlsx]data!R175C12</stp>
        <tr r="L175" s="2"/>
      </tp>
      <tp t="s">
        <v>#N/A N/A</v>
        <stp/>
        <stp>##V3_BDPV12</stp>
        <stp>31385W6V6 Mtge</stp>
        <stp>MTG_PREPAY_SPEED</stp>
        <stp>[Copy of 02_cpr_main.xlsx]data!R216C12</stp>
        <tr r="L216" s="2"/>
      </tp>
      <tp t="s">
        <v>#N/A N/A</v>
        <stp/>
        <stp>##V3_BDPV12</stp>
        <stp>31385XLV7 Mtge</stp>
        <stp>MTG_PREPAY_SPEED</stp>
        <stp>[Copy of 02_cpr_main.xlsx]data!R225C12</stp>
        <tr r="L225" s="2"/>
      </tp>
      <tp t="s">
        <v>#N/A Invalid Field</v>
        <stp/>
        <stp>##V3_BDHV12</stp>
        <stp>31288MC23 Mtge</stp>
        <stp>MTG_GEN_CPR_6M</stp>
        <stp>20090610</stp>
        <stp>20090610</stp>
        <stp>[Copy of 02_cpr_main.xlsx]data!R39C9</stp>
        <stp>Dts=H</stp>
        <tr r="I39" s="2"/>
      </tp>
      <tp t="s">
        <v>#N/A Invalid Field</v>
        <stp/>
        <stp>##V3_BDHV12</stp>
        <stp>3128M1B81 Mtge</stp>
        <stp>MTG_GEN_CPR_6M</stp>
        <stp>20090331</stp>
        <stp>20090331</stp>
        <stp>[Copy of 02_cpr_main.xlsx]data!R82C6</stp>
        <stp>Dts=H</stp>
        <tr r="F82" s="2"/>
      </tp>
      <tp t="s">
        <v>#N/A Invalid Field</v>
        <stp/>
        <stp>##V3_BDHV12</stp>
        <stp>3128MBH26 Mtge</stp>
        <stp>MTG_GEN_CPR_6M</stp>
        <stp>20090610</stp>
        <stp>20090610</stp>
        <stp>[Copy of 02_cpr_main.xlsx]data!R94C9</stp>
        <stp>Dts=H</stp>
        <tr r="I94" s="2"/>
      </tp>
      <tp t="s">
        <v>#N/A Invalid Field</v>
        <stp/>
        <stp>##V3_BDHV12</stp>
        <stp>3128M1L80 Mtge</stp>
        <stp>MTG_GEN_CPR_6M</stp>
        <stp>20090331</stp>
        <stp>20090331</stp>
        <stp>[Copy of 02_cpr_main.xlsx]data!R83C6</stp>
        <stp>Dts=H</stp>
        <tr r="F83" s="2"/>
      </tp>
      <tp t="s">
        <v>#N/A Invalid Field</v>
        <stp/>
        <stp>##V3_BDHV12</stp>
        <stp>3128GFA62 Mtge</stp>
        <stp>MTG_GEN_CPR_3M</stp>
        <stp>20090610</stp>
        <stp>20090610</stp>
        <stp>[Copy of 02_cpr_main.xlsx]data!R53C8</stp>
        <stp>Dts=H</stp>
        <tr r="H53" s="2"/>
      </tp>
      <tp t="s">
        <v>#N/A Invalid Field</v>
        <stp/>
        <stp>##V3_BDHV12</stp>
        <stp>01F060444 Mtge</stp>
        <stp>MTG_GEN_CPR_12M</stp>
        <stp>20090610</stp>
        <stp>20090610</stp>
        <stp>[Copy of 02_cpr_main.xlsx]data!R10C10</stp>
        <stp>Dts=H</stp>
        <tr r="J10" s="2"/>
      </tp>
      <tp t="s">
        <v>#N/A Invalid Field</v>
        <stp/>
        <stp>##V3_BDHV12</stp>
        <stp>01F060642 Mtge</stp>
        <stp>MTG_GEN_CPR_12M</stp>
        <stp>20090610</stp>
        <stp>20090610</stp>
        <stp>[Copy of 02_cpr_main.xlsx]data!R11C10</stp>
        <stp>Dts=H</stp>
        <tr r="J11" s="2"/>
      </tp>
      <tp t="s">
        <v>#N/A Invalid Field</v>
        <stp/>
        <stp>##V3_BDHV12</stp>
        <stp>01N060650 Mtge</stp>
        <stp>MTG_GEN_CPR_12M</stp>
        <stp>20090610</stp>
        <stp>20090610</stp>
        <stp>[Copy of 02_cpr_main.xlsx]data!R17C10</stp>
        <stp>Dts=H</stp>
        <tr r="J17" s="2"/>
      </tp>
      <tp t="s">
        <v>#N/A Invalid Field</v>
        <stp/>
        <stp>##V3_BDHV12</stp>
        <stp>01N060643 Mtge</stp>
        <stp>MTG_GEN_CPR_12M</stp>
        <stp>20090610</stp>
        <stp>20090610</stp>
        <stp>[Copy of 02_cpr_main.xlsx]data!R16C10</stp>
        <stp>Dts=H</stp>
        <tr r="J16" s="2"/>
      </tp>
      <tp t="s">
        <v>#N/A Invalid Field</v>
        <stp/>
        <stp>##V3_BDHV12</stp>
        <stp>02R060647 Mtge</stp>
        <stp>MTG_GEN_CPR_12M</stp>
        <stp>20090610</stp>
        <stp>20090610</stp>
        <stp>[Copy of 02_cpr_main.xlsx]data!R25C10</stp>
        <stp>Dts=H</stp>
        <tr r="J25" s="2"/>
      </tp>
      <tp t="s">
        <v>#N/A Invalid Field</v>
        <stp/>
        <stp>##V3_BDHV12</stp>
        <stp>02R050440 Mtge</stp>
        <stp>MTG_GEN_CPR_12M</stp>
        <stp>20090610</stp>
        <stp>20090610</stp>
        <stp>[Copy of 02_cpr_main.xlsx]data!R21C10</stp>
        <stp>Dts=H</stp>
        <tr r="J21" s="2"/>
      </tp>
      <tp t="s">
        <v>#N/A Invalid Field</v>
        <stp/>
        <stp>##V3_BDHV12</stp>
        <stp>02R050648 Mtge</stp>
        <stp>MTG_GEN_CPR_12M</stp>
        <stp>20090610</stp>
        <stp>20090610</stp>
        <stp>[Copy of 02_cpr_main.xlsx]data!R22C10</stp>
        <stp>Dts=H</stp>
        <tr r="J22" s="2"/>
      </tp>
      <tp>
        <v>70.099999999999994</v>
        <stp/>
        <stp>##V3_BDPV12</stp>
        <stp>3128M5ED8 Mtge</stp>
        <stp xml:space="preserve">MTG_PL_PSA_3M </stp>
        <stp>[Copy of 02_cpr_main.xlsx]data!R86C14</stp>
        <tr r="N86" s="2"/>
      </tp>
      <tp>
        <v>90.4</v>
        <stp/>
        <stp>##V3_BDPV12</stp>
        <stp>3128M5ED8 Mtge</stp>
        <stp xml:space="preserve">MTG_PL_PSA_6M </stp>
        <stp>[Copy of 02_cpr_main.xlsx]data!R86C15</stp>
        <tr r="O86" s="2"/>
      </tp>
      <tp>
        <v>48</v>
        <stp/>
        <stp>##V3_BDPV12</stp>
        <stp>3128M5ED8 Mtge</stp>
        <stp xml:space="preserve">MTG_PL_PSA_1M </stp>
        <stp>[Copy of 02_cpr_main.xlsx]data!R86C13</stp>
        <tr r="M86" s="2"/>
      </tp>
      <tp>
        <v>125.7</v>
        <stp/>
        <stp>##V3_BDPV12</stp>
        <stp>3128M4NJ8 Mtge</stp>
        <stp xml:space="preserve">MTG_PL_PSA_3M </stp>
        <stp>[Copy of 02_cpr_main.xlsx]data!R84C14</stp>
        <tr r="N84" s="2"/>
      </tp>
      <tp>
        <v>171</v>
        <stp/>
        <stp>##V3_BDPV12</stp>
        <stp>3128M4NJ8 Mtge</stp>
        <stp xml:space="preserve">MTG_PL_PSA_1M </stp>
        <stp>[Copy of 02_cpr_main.xlsx]data!R84C13</stp>
        <tr r="M84" s="2"/>
      </tp>
      <tp>
        <v>115</v>
        <stp/>
        <stp>##V3_BDPV12</stp>
        <stp>3128M4NJ8 Mtge</stp>
        <stp xml:space="preserve">MTG_PL_PSA_6M </stp>
        <stp>[Copy of 02_cpr_main.xlsx]data!R84C15</stp>
        <tr r="O84" s="2"/>
      </tp>
      <tp>
        <v>0</v>
        <stp/>
        <stp>##V3_BDPV12</stp>
        <stp>3128GGEV1 Mtge</stp>
        <stp xml:space="preserve">MTG_PL_PSA_1M </stp>
        <stp>[Copy of 02_cpr_main.xlsx]data!R55C13</stp>
        <tr r="M55" s="2"/>
      </tp>
      <tp>
        <v>0</v>
        <stp/>
        <stp>##V3_BDPV12</stp>
        <stp>3128GGEV1 Mtge</stp>
        <stp xml:space="preserve">MTG_PL_PSA_6M </stp>
        <stp>[Copy of 02_cpr_main.xlsx]data!R55C15</stp>
        <tr r="O55" s="2"/>
      </tp>
      <tp>
        <v>0.1</v>
        <stp/>
        <stp>##V3_BDPV12</stp>
        <stp>3128GGEV1 Mtge</stp>
        <stp xml:space="preserve">MTG_PL_PSA_3M </stp>
        <stp>[Copy of 02_cpr_main.xlsx]data!R55C14</stp>
        <tr r="N55" s="2"/>
      </tp>
      <tp>
        <v>1666.7</v>
        <stp/>
        <stp>##V3_BDPV12</stp>
        <stp>3128GDZX1 Mtge</stp>
        <stp xml:space="preserve">MTG_PL_PSA_3M </stp>
        <stp>[Copy of 02_cpr_main.xlsx]data!R50C14</stp>
        <tr r="N50" s="2"/>
      </tp>
      <tp>
        <v>1666.7</v>
        <stp/>
        <stp>##V3_BDPV12</stp>
        <stp>3128GDZX1 Mtge</stp>
        <stp xml:space="preserve">MTG_PL_PSA_6M </stp>
        <stp>[Copy of 02_cpr_main.xlsx]data!R50C15</stp>
        <tr r="O50" s="2"/>
      </tp>
      <tp>
        <v>1666.7</v>
        <stp/>
        <stp>##V3_BDPV12</stp>
        <stp>3128GDZX1 Mtge</stp>
        <stp xml:space="preserve">MTG_PL_PSA_1M </stp>
        <stp>[Copy of 02_cpr_main.xlsx]data!R50C13</stp>
        <tr r="M50" s="2"/>
      </tp>
      <tp>
        <v>1666.7</v>
        <stp/>
        <stp>##V3_BDPV12</stp>
        <stp>3128CUHK5 Mtge</stp>
        <stp xml:space="preserve">MTG_PL_PSA_3M </stp>
        <stp>[Copy of 02_cpr_main.xlsx]data!R41C14</stp>
        <tr r="N41" s="2"/>
      </tp>
      <tp>
        <v>1666.7</v>
        <stp/>
        <stp>##V3_BDPV12</stp>
        <stp>3128CUHK5 Mtge</stp>
        <stp xml:space="preserve">MTG_PL_PSA_1M </stp>
        <stp>[Copy of 02_cpr_main.xlsx]data!R41C13</stp>
        <tr r="M41" s="2"/>
      </tp>
      <tp>
        <v>1666.7</v>
        <stp/>
        <stp>##V3_BDPV12</stp>
        <stp>3128CUHK5 Mtge</stp>
        <stp xml:space="preserve">MTG_PL_PSA_6M </stp>
        <stp>[Copy of 02_cpr_main.xlsx]data!R41C15</stp>
        <tr r="O41" s="2"/>
      </tp>
      <tp>
        <v>171</v>
        <stp/>
        <stp>##V3_BDPV12</stp>
        <stp>31374GLZ8 Mtge</stp>
        <stp>MTG_PREPAY_SPEED</stp>
        <stp>[Copy of 02_cpr_main.xlsx]data!R183C12</stp>
        <tr r="L183" s="2"/>
      </tp>
      <tp>
        <v>218</v>
        <stp/>
        <stp>##V3_BDPV12</stp>
        <stp>31292G6T8 Mtge</stp>
        <stp>MTG_PREPAY_SPEED</stp>
        <stp>[Copy of 02_cpr_main.xlsx]data!R115C12</stp>
        <tr r="L115" s="2"/>
      </tp>
      <tp t="s">
        <v>#N/A N/A</v>
        <stp/>
        <stp>##V3_BDPV12</stp>
        <stp>31380GNU9 Mtge</stp>
        <stp>MTG_PREPAY_SPEED</stp>
        <stp>[Copy of 02_cpr_main.xlsx]data!R191C12</stp>
        <tr r="L191" s="2"/>
      </tp>
      <tp>
        <v>140</v>
        <stp/>
        <stp>##V3_BDPV12</stp>
        <stp>31292HYT5 Mtge</stp>
        <stp>MTG_PREPAY_SPEED</stp>
        <stp>[Copy of 02_cpr_main.xlsx]data!R118C12</stp>
        <tr r="L118" s="2"/>
      </tp>
      <tp t="s">
        <v>#N/A N/A</v>
        <stp/>
        <stp>##V3_BDPV12</stp>
        <stp>31293VCT7 Mtge</stp>
        <stp>MTG_PREPAY_SPEED</stp>
        <stp>[Copy of 02_cpr_main.xlsx]data!R124C12</stp>
        <tr r="L124" s="2"/>
      </tp>
      <tp t="s">
        <v>#N/A Invalid Field</v>
        <stp/>
        <stp>##V3_BDHV12</stp>
        <stp>21H060655 Mtge</stp>
        <stp>MTG_GEN_CPR_3M</stp>
        <stp>20090331</stp>
        <stp>20090331</stp>
        <stp>[Copy of 02_cpr_main.xlsx]data!R28C5</stp>
        <stp>Dts=H</stp>
        <tr r="E28" s="2"/>
      </tp>
      <tp t="s">
        <v>#N/A Invalid Field</v>
        <stp/>
        <stp>##V3_BDHV12</stp>
        <stp>01N052657 Mtge</stp>
        <stp>MTG_GEN_CPR_3M</stp>
        <stp>20090331</stp>
        <stp>20090331</stp>
        <stp>[Copy of 02_cpr_main.xlsx]data!R15C5</stp>
        <stp>Dts=H</stp>
        <tr r="E15" s="2"/>
      </tp>
      <tp t="s">
        <v>#N/A Invalid Field</v>
        <stp/>
        <stp>##V3_BDHV12</stp>
        <stp>01F062655 Mtge</stp>
        <stp>MTG_GEN_CPR_3M</stp>
        <stp>20090331</stp>
        <stp>20090331</stp>
        <stp>[Copy of 02_cpr_main.xlsx]data!R13C5</stp>
        <stp>Dts=H</stp>
        <tr r="E13" s="2"/>
      </tp>
      <tp t="s">
        <v>#N/A Invalid Field</v>
        <stp/>
        <stp>##V3_BDHV12</stp>
        <stp>01N060650 Mtge</stp>
        <stp>MTG_GEN_CPR_3M</stp>
        <stp>20090331</stp>
        <stp>20090331</stp>
        <stp>[Copy of 02_cpr_main.xlsx]data!R17C5</stp>
        <stp>Dts=H</stp>
        <tr r="E17" s="2"/>
      </tp>
      <tp t="s">
        <v>#N/A Invalid Field</v>
        <stp/>
        <stp>##V3_BDHV12</stp>
        <stp>3128GCP55 Mtge</stp>
        <stp>MTG_GEN_CPR_3M</stp>
        <stp>20090610</stp>
        <stp>20090610</stp>
        <stp>[Copy of 02_cpr_main.xlsx]data!R42C8</stp>
        <stp>Dts=H</stp>
        <tr r="H42" s="2"/>
      </tp>
      <tp>
        <v>188</v>
        <stp/>
        <stp>##V3_BDPV12</stp>
        <stp>3128P7LU5 Mtge</stp>
        <stp>MTG_PREPAY_SPEED</stp>
        <stp>[Copy of 02_cpr_main.xlsx]data!R102C12</stp>
        <tr r="L102" s="2"/>
      </tp>
      <tp t="s">
        <v>#N/A Invalid Field</v>
        <stp/>
        <stp>##V3_BDHV12</stp>
        <stp>21H060655 Mtge</stp>
        <stp>MTG_GEN_CPR_12M</stp>
        <stp>20090610</stp>
        <stp>20090610</stp>
        <stp>[Copy of 02_cpr_main.xlsx]data!R28C10</stp>
        <stp>Dts=H</stp>
        <tr r="J28" s="2"/>
      </tp>
      <tp t="s">
        <v>#N/A Invalid Field</v>
        <stp/>
        <stp>##V3_BDHV12</stp>
        <stp>21H060648 Mtge</stp>
        <stp>MTG_GEN_CPR_12M</stp>
        <stp>20090610</stp>
        <stp>20090610</stp>
        <stp>[Copy of 02_cpr_main.xlsx]data!R27C10</stp>
        <stp>Dts=H</stp>
        <tr r="J27" s="2"/>
      </tp>
      <tp t="s">
        <v>#N/A Invalid Field</v>
        <stp/>
        <stp>##V3_BDHV12</stp>
        <stp>3128H4XA2 Mtge</stp>
        <stp>MTG_GEN_CPR_12M</stp>
        <stp>20090610</stp>
        <stp>20090610</stp>
        <stp>[Copy of 02_cpr_main.xlsx]data!R66C10</stp>
        <stp>Dts=H</stp>
        <tr r="J66" s="2"/>
      </tp>
      <tp t="s">
        <v>PSA</v>
        <stp/>
        <stp>##V3_BDPV12</stp>
        <stp>31283H4W2 Mtge</stp>
        <stp>MTG_PREPAY_TYP</stp>
        <stp>[Copy of 02_cpr_main.xlsx]data!R16C11</stp>
        <tr r="K16" s="2"/>
      </tp>
      <tp t="s">
        <v>PSA</v>
        <stp/>
        <stp>##V3_BDPV12</stp>
        <stp>31283H4W2 Mtge</stp>
        <stp>MTG_PREPAY_TYP</stp>
        <stp>[Copy of 02_cpr_main.xlsx]data!R17C11</stp>
        <tr r="K17" s="2"/>
      </tp>
      <tp t="s">
        <v>PSA</v>
        <stp/>
        <stp>##V3_BDPV12</stp>
        <stp>31283H4W2 Mtge</stp>
        <stp>MTG_PREPAY_TYP</stp>
        <stp>[Copy of 02_cpr_main.xlsx]data!R14C11</stp>
        <tr r="K14" s="2"/>
      </tp>
      <tp t="s">
        <v>PSA</v>
        <stp/>
        <stp>##V3_BDPV12</stp>
        <stp>31283H4W2 Mtge</stp>
        <stp>MTG_PREPAY_TYP</stp>
        <stp>[Copy of 02_cpr_main.xlsx]data!R15C11</stp>
        <tr r="K15" s="2"/>
      </tp>
      <tp t="s">
        <v>PSA</v>
        <stp/>
        <stp>##V3_BDPV12</stp>
        <stp>31283H4W2 Mtge</stp>
        <stp>MTG_PREPAY_TYP</stp>
        <stp>[Copy of 02_cpr_main.xlsx]data!R12C11</stp>
        <tr r="K12" s="2"/>
      </tp>
      <tp t="s">
        <v>PSA</v>
        <stp/>
        <stp>##V3_BDPV12</stp>
        <stp>31283H4W2 Mtge</stp>
        <stp>MTG_PREPAY_TYP</stp>
        <stp>[Copy of 02_cpr_main.xlsx]data!R13C11</stp>
        <tr r="K13" s="2"/>
      </tp>
      <tp t="s">
        <v>PSA</v>
        <stp/>
        <stp>##V3_BDPV12</stp>
        <stp>31283H4W2 Mtge</stp>
        <stp>MTG_PREPAY_TYP</stp>
        <stp>[Copy of 02_cpr_main.xlsx]data!R10C11</stp>
        <tr r="K10" s="2"/>
      </tp>
      <tp t="s">
        <v>PSA</v>
        <stp/>
        <stp>##V3_BDPV12</stp>
        <stp>31283H4W2 Mtge</stp>
        <stp>MTG_PREPAY_TYP</stp>
        <stp>[Copy of 02_cpr_main.xlsx]data!R11C11</stp>
        <tr r="K11" s="2"/>
      </tp>
      <tp t="s">
        <v>PSA</v>
        <stp/>
        <stp>##V3_BDPV12</stp>
        <stp>31283H4W2 Mtge</stp>
        <stp>MTG_PREPAY_TYP</stp>
        <stp>[Copy of 02_cpr_main.xlsx]data!R18C11</stp>
        <tr r="K18" s="2"/>
      </tp>
      <tp t="s">
        <v>PSA</v>
        <stp/>
        <stp>##V3_BDPV12</stp>
        <stp>31283H4W2 Mtge</stp>
        <stp>MTG_PREPAY_TYP</stp>
        <stp>[Copy of 02_cpr_main.xlsx]data!R19C11</stp>
        <tr r="K19" s="2"/>
      </tp>
      <tp t="s">
        <v>PSA</v>
        <stp/>
        <stp>##V3_BDPV12</stp>
        <stp>31283H4W2 Mtge</stp>
        <stp>MTG_PREPAY_TYP</stp>
        <stp>[Copy of 02_cpr_main.xlsx]data!R36C11</stp>
        <tr r="K36" s="2"/>
      </tp>
      <tp t="s">
        <v>PSA</v>
        <stp/>
        <stp>##V3_BDPV12</stp>
        <stp>31283H4W2 Mtge</stp>
        <stp>MTG_PREPAY_TYP</stp>
        <stp>[Copy of 02_cpr_main.xlsx]data!R37C11</stp>
        <tr r="K37" s="2"/>
      </tp>
      <tp t="s">
        <v>PSA</v>
        <stp/>
        <stp>##V3_BDPV12</stp>
        <stp>31283H4W2 Mtge</stp>
        <stp>MTG_PREPAY_TYP</stp>
        <stp>[Copy of 02_cpr_main.xlsx]data!R34C11</stp>
        <tr r="K34" s="2"/>
      </tp>
      <tp t="s">
        <v>PSA</v>
        <stp/>
        <stp>##V3_BDPV12</stp>
        <stp>31283H4W2 Mtge</stp>
        <stp>MTG_PREPAY_TYP</stp>
        <stp>[Copy of 02_cpr_main.xlsx]data!R35C11</stp>
        <tr r="K35" s="2"/>
      </tp>
      <tp t="s">
        <v>PSA</v>
        <stp/>
        <stp>##V3_BDPV12</stp>
        <stp>31283H4W2 Mtge</stp>
        <stp>MTG_PREPAY_TYP</stp>
        <stp>[Copy of 02_cpr_main.xlsx]data!R32C11</stp>
        <tr r="K32" s="2"/>
      </tp>
      <tp t="s">
        <v>PSA</v>
        <stp/>
        <stp>##V3_BDPV12</stp>
        <stp>31283H4W2 Mtge</stp>
        <stp>MTG_PREPAY_TYP</stp>
        <stp>[Copy of 02_cpr_main.xlsx]data!R33C11</stp>
        <tr r="K33" s="2"/>
      </tp>
      <tp t="s">
        <v>PSA</v>
        <stp/>
        <stp>##V3_BDPV12</stp>
        <stp>31283H4W2 Mtge</stp>
        <stp>MTG_PREPAY_TYP</stp>
        <stp>[Copy of 02_cpr_main.xlsx]data!R30C11</stp>
        <tr r="K30" s="2"/>
      </tp>
      <tp t="s">
        <v>PSA</v>
        <stp/>
        <stp>##V3_BDPV12</stp>
        <stp>31283H4W2 Mtge</stp>
        <stp>MTG_PREPAY_TYP</stp>
        <stp>[Copy of 02_cpr_main.xlsx]data!R31C11</stp>
        <tr r="K31" s="2"/>
      </tp>
      <tp t="s">
        <v>PSA</v>
        <stp/>
        <stp>##V3_BDPV12</stp>
        <stp>31283H4W2 Mtge</stp>
        <stp>MTG_PREPAY_TYP</stp>
        <stp>[Copy of 02_cpr_main.xlsx]data!R38C11</stp>
        <tr r="K38" s="2"/>
      </tp>
      <tp t="s">
        <v>PSA</v>
        <stp/>
        <stp>##V3_BDPV12</stp>
        <stp>31283H4W2 Mtge</stp>
        <stp>MTG_PREPAY_TYP</stp>
        <stp>[Copy of 02_cpr_main.xlsx]data!R39C11</stp>
        <tr r="K39" s="2"/>
      </tp>
      <tp t="s">
        <v>PSA</v>
        <stp/>
        <stp>##V3_BDPV12</stp>
        <stp>31283H4W2 Mtge</stp>
        <stp>MTG_PREPAY_TYP</stp>
        <stp>[Copy of 02_cpr_main.xlsx]data!R26C11</stp>
        <tr r="K26" s="2"/>
      </tp>
      <tp t="s">
        <v>PSA</v>
        <stp/>
        <stp>##V3_BDPV12</stp>
        <stp>31283H4W2 Mtge</stp>
        <stp>MTG_PREPAY_TYP</stp>
        <stp>[Copy of 02_cpr_main.xlsx]data!R27C11</stp>
        <tr r="K27" s="2"/>
      </tp>
      <tp t="s">
        <v>PSA</v>
        <stp/>
        <stp>##V3_BDPV12</stp>
        <stp>31283H4W2 Mtge</stp>
        <stp>MTG_PREPAY_TYP</stp>
        <stp>[Copy of 02_cpr_main.xlsx]data!R24C11</stp>
        <tr r="K24" s="2"/>
      </tp>
      <tp t="s">
        <v>PSA</v>
        <stp/>
        <stp>##V3_BDPV12</stp>
        <stp>31283H4W2 Mtge</stp>
        <stp>MTG_PREPAY_TYP</stp>
        <stp>[Copy of 02_cpr_main.xlsx]data!R25C11</stp>
        <tr r="K25" s="2"/>
      </tp>
      <tp t="s">
        <v>PSA</v>
        <stp/>
        <stp>##V3_BDPV12</stp>
        <stp>31283H4W2 Mtge</stp>
        <stp>MTG_PREPAY_TYP</stp>
        <stp>[Copy of 02_cpr_main.xlsx]data!R22C11</stp>
        <tr r="K22" s="2"/>
      </tp>
      <tp t="s">
        <v>PSA</v>
        <stp/>
        <stp>##V3_BDPV12</stp>
        <stp>31283H4W2 Mtge</stp>
        <stp>MTG_PREPAY_TYP</stp>
        <stp>[Copy of 02_cpr_main.xlsx]data!R23C11</stp>
        <tr r="K23" s="2"/>
      </tp>
      <tp t="s">
        <v>PSA</v>
        <stp/>
        <stp>##V3_BDPV12</stp>
        <stp>31283H4W2 Mtge</stp>
        <stp>MTG_PREPAY_TYP</stp>
        <stp>[Copy of 02_cpr_main.xlsx]data!R20C11</stp>
        <tr r="K20" s="2"/>
      </tp>
      <tp t="s">
        <v>PSA</v>
        <stp/>
        <stp>##V3_BDPV12</stp>
        <stp>31283H4W2 Mtge</stp>
        <stp>MTG_PREPAY_TYP</stp>
        <stp>[Copy of 02_cpr_main.xlsx]data!R21C11</stp>
        <tr r="K21" s="2"/>
      </tp>
      <tp t="s">
        <v>PSA</v>
        <stp/>
        <stp>##V3_BDPV12</stp>
        <stp>31283H4W2 Mtge</stp>
        <stp>MTG_PREPAY_TYP</stp>
        <stp>[Copy of 02_cpr_main.xlsx]data!R28C11</stp>
        <tr r="K28" s="2"/>
      </tp>
      <tp t="s">
        <v>PSA</v>
        <stp/>
        <stp>##V3_BDPV12</stp>
        <stp>31283H4W2 Mtge</stp>
        <stp>MTG_PREPAY_TYP</stp>
        <stp>[Copy of 02_cpr_main.xlsx]data!R29C11</stp>
        <tr r="K29" s="2"/>
      </tp>
      <tp t="s">
        <v>PSA</v>
        <stp/>
        <stp>##V3_BDPV12</stp>
        <stp>31283H4W2 Mtge</stp>
        <stp>MTG_PREPAY_TYP</stp>
        <stp>[Copy of 02_cpr_main.xlsx]data!R56C11</stp>
        <tr r="K56" s="2"/>
      </tp>
      <tp t="s">
        <v>PSA</v>
        <stp/>
        <stp>##V3_BDPV12</stp>
        <stp>31283H4W2 Mtge</stp>
        <stp>MTG_PREPAY_TYP</stp>
        <stp>[Copy of 02_cpr_main.xlsx]data!R57C11</stp>
        <tr r="K57" s="2"/>
      </tp>
      <tp t="s">
        <v>PSA</v>
        <stp/>
        <stp>##V3_BDPV12</stp>
        <stp>31283H4W2 Mtge</stp>
        <stp>MTG_PREPAY_TYP</stp>
        <stp>[Copy of 02_cpr_main.xlsx]data!R54C11</stp>
        <tr r="K54" s="2"/>
      </tp>
      <tp t="s">
        <v>PSA</v>
        <stp/>
        <stp>##V3_BDPV12</stp>
        <stp>31283H4W2 Mtge</stp>
        <stp>MTG_PREPAY_TYP</stp>
        <stp>[Copy of 02_cpr_main.xlsx]data!R55C11</stp>
        <tr r="K55" s="2"/>
      </tp>
      <tp t="s">
        <v>PSA</v>
        <stp/>
        <stp>##V3_BDPV12</stp>
        <stp>31283H4W2 Mtge</stp>
        <stp>MTG_PREPAY_TYP</stp>
        <stp>[Copy of 02_cpr_main.xlsx]data!R52C11</stp>
        <tr r="K52" s="2"/>
      </tp>
      <tp t="s">
        <v>PSA</v>
        <stp/>
        <stp>##V3_BDPV12</stp>
        <stp>31283H4W2 Mtge</stp>
        <stp>MTG_PREPAY_TYP</stp>
        <stp>[Copy of 02_cpr_main.xlsx]data!R53C11</stp>
        <tr r="K53" s="2"/>
      </tp>
      <tp t="s">
        <v>PSA</v>
        <stp/>
        <stp>##V3_BDPV12</stp>
        <stp>31283H4W2 Mtge</stp>
        <stp>MTG_PREPAY_TYP</stp>
        <stp>[Copy of 02_cpr_main.xlsx]data!R50C11</stp>
        <tr r="K50" s="2"/>
      </tp>
      <tp t="s">
        <v>PSA</v>
        <stp/>
        <stp>##V3_BDPV12</stp>
        <stp>31283H4W2 Mtge</stp>
        <stp>MTG_PREPAY_TYP</stp>
        <stp>[Copy of 02_cpr_main.xlsx]data!R51C11</stp>
        <tr r="K51" s="2"/>
      </tp>
      <tp t="s">
        <v>PSA</v>
        <stp/>
        <stp>##V3_BDPV12</stp>
        <stp>31283H4W2 Mtge</stp>
        <stp>MTG_PREPAY_TYP</stp>
        <stp>[Copy of 02_cpr_main.xlsx]data!R58C11</stp>
        <tr r="K58" s="2"/>
      </tp>
      <tp t="s">
        <v>PSA</v>
        <stp/>
        <stp>##V3_BDPV12</stp>
        <stp>31283H4W2 Mtge</stp>
        <stp>MTG_PREPAY_TYP</stp>
        <stp>[Copy of 02_cpr_main.xlsx]data!R59C11</stp>
        <tr r="K59" s="2"/>
      </tp>
      <tp t="s">
        <v>PSA</v>
        <stp/>
        <stp>##V3_BDPV12</stp>
        <stp>31283H4W2 Mtge</stp>
        <stp>MTG_PREPAY_TYP</stp>
        <stp>[Copy of 02_cpr_main.xlsx]data!R46C11</stp>
        <tr r="K46" s="2"/>
      </tp>
      <tp t="s">
        <v>PSA</v>
        <stp/>
        <stp>##V3_BDPV12</stp>
        <stp>31283H4W2 Mtge</stp>
        <stp>MTG_PREPAY_TYP</stp>
        <stp>[Copy of 02_cpr_main.xlsx]data!R47C11</stp>
        <tr r="K47" s="2"/>
      </tp>
      <tp t="s">
        <v>PSA</v>
        <stp/>
        <stp>##V3_BDPV12</stp>
        <stp>31283H4W2 Mtge</stp>
        <stp>MTG_PREPAY_TYP</stp>
        <stp>[Copy of 02_cpr_main.xlsx]data!R44C11</stp>
        <tr r="K44" s="2"/>
      </tp>
      <tp t="s">
        <v>PSA</v>
        <stp/>
        <stp>##V3_BDPV12</stp>
        <stp>31283H4W2 Mtge</stp>
        <stp>MTG_PREPAY_TYP</stp>
        <stp>[Copy of 02_cpr_main.xlsx]data!R45C11</stp>
        <tr r="K45" s="2"/>
      </tp>
      <tp t="s">
        <v>PSA</v>
        <stp/>
        <stp>##V3_BDPV12</stp>
        <stp>31283H4W2 Mtge</stp>
        <stp>MTG_PREPAY_TYP</stp>
        <stp>[Copy of 02_cpr_main.xlsx]data!R42C11</stp>
        <tr r="K42" s="2"/>
      </tp>
      <tp t="s">
        <v>PSA</v>
        <stp/>
        <stp>##V3_BDPV12</stp>
        <stp>31283H4W2 Mtge</stp>
        <stp>MTG_PREPAY_TYP</stp>
        <stp>[Copy of 02_cpr_main.xlsx]data!R43C11</stp>
        <tr r="K43" s="2"/>
      </tp>
      <tp t="s">
        <v>PSA</v>
        <stp/>
        <stp>##V3_BDPV12</stp>
        <stp>31283H4W2 Mtge</stp>
        <stp>MTG_PREPAY_TYP</stp>
        <stp>[Copy of 02_cpr_main.xlsx]data!R40C11</stp>
        <tr r="K40" s="2"/>
      </tp>
      <tp t="s">
        <v>PSA</v>
        <stp/>
        <stp>##V3_BDPV12</stp>
        <stp>31283H4W2 Mtge</stp>
        <stp>MTG_PREPAY_TYP</stp>
        <stp>[Copy of 02_cpr_main.xlsx]data!R41C11</stp>
        <tr r="K41" s="2"/>
      </tp>
      <tp t="s">
        <v>PSA</v>
        <stp/>
        <stp>##V3_BDPV12</stp>
        <stp>31283H4W2 Mtge</stp>
        <stp>MTG_PREPAY_TYP</stp>
        <stp>[Copy of 02_cpr_main.xlsx]data!R48C11</stp>
        <tr r="K48" s="2"/>
      </tp>
      <tp t="s">
        <v>PSA</v>
        <stp/>
        <stp>##V3_BDPV12</stp>
        <stp>31283H4W2 Mtge</stp>
        <stp>MTG_PREPAY_TYP</stp>
        <stp>[Copy of 02_cpr_main.xlsx]data!R49C11</stp>
        <tr r="K49" s="2"/>
      </tp>
      <tp t="s">
        <v>PSA</v>
        <stp/>
        <stp>##V3_BDPV12</stp>
        <stp>31283H4W2 Mtge</stp>
        <stp>MTG_PREPAY_TYP</stp>
        <stp>[Copy of 02_cpr_main.xlsx]data!R76C11</stp>
        <tr r="K76" s="2"/>
      </tp>
      <tp t="s">
        <v>PSA</v>
        <stp/>
        <stp>##V3_BDPV12</stp>
        <stp>31283H4W2 Mtge</stp>
        <stp>MTG_PREPAY_TYP</stp>
        <stp>[Copy of 02_cpr_main.xlsx]data!R77C11</stp>
        <tr r="K77" s="2"/>
      </tp>
      <tp t="s">
        <v>PSA</v>
        <stp/>
        <stp>##V3_BDPV12</stp>
        <stp>31283H4W2 Mtge</stp>
        <stp>MTG_PREPAY_TYP</stp>
        <stp>[Copy of 02_cpr_main.xlsx]data!R74C11</stp>
        <tr r="K74" s="2"/>
      </tp>
      <tp t="s">
        <v>PSA</v>
        <stp/>
        <stp>##V3_BDPV12</stp>
        <stp>31283H4W2 Mtge</stp>
        <stp>MTG_PREPAY_TYP</stp>
        <stp>[Copy of 02_cpr_main.xlsx]data!R75C11</stp>
        <tr r="K75" s="2"/>
      </tp>
      <tp t="s">
        <v>PSA</v>
        <stp/>
        <stp>##V3_BDPV12</stp>
        <stp>31283H4W2 Mtge</stp>
        <stp>MTG_PREPAY_TYP</stp>
        <stp>[Copy of 02_cpr_main.xlsx]data!R72C11</stp>
        <tr r="K72" s="2"/>
      </tp>
      <tp t="s">
        <v>PSA</v>
        <stp/>
        <stp>##V3_BDPV12</stp>
        <stp>31283H4W2 Mtge</stp>
        <stp>MTG_PREPAY_TYP</stp>
        <stp>[Copy of 02_cpr_main.xlsx]data!R73C11</stp>
        <tr r="K73" s="2"/>
      </tp>
      <tp t="s">
        <v>PSA</v>
        <stp/>
        <stp>##V3_BDPV12</stp>
        <stp>31283H4W2 Mtge</stp>
        <stp>MTG_PREPAY_TYP</stp>
        <stp>[Copy of 02_cpr_main.xlsx]data!R70C11</stp>
        <tr r="K70" s="2"/>
      </tp>
      <tp t="s">
        <v>PSA</v>
        <stp/>
        <stp>##V3_BDPV12</stp>
        <stp>31283H4W2 Mtge</stp>
        <stp>MTG_PREPAY_TYP</stp>
        <stp>[Copy of 02_cpr_main.xlsx]data!R71C11</stp>
        <tr r="K71" s="2"/>
      </tp>
      <tp t="s">
        <v>PSA</v>
        <stp/>
        <stp>##V3_BDPV12</stp>
        <stp>31283H4W2 Mtge</stp>
        <stp>MTG_PREPAY_TYP</stp>
        <stp>[Copy of 02_cpr_main.xlsx]data!R78C11</stp>
        <tr r="K78" s="2"/>
      </tp>
      <tp t="s">
        <v>PSA</v>
        <stp/>
        <stp>##V3_BDPV12</stp>
        <stp>31283H4W2 Mtge</stp>
        <stp>MTG_PREPAY_TYP</stp>
        <stp>[Copy of 02_cpr_main.xlsx]data!R79C11</stp>
        <tr r="K79" s="2"/>
      </tp>
      <tp t="s">
        <v>PSA</v>
        <stp/>
        <stp>##V3_BDPV12</stp>
        <stp>31283H4W2 Mtge</stp>
        <stp>MTG_PREPAY_TYP</stp>
        <stp>[Copy of 02_cpr_main.xlsx]data!R66C11</stp>
        <tr r="K66" s="2"/>
      </tp>
      <tp t="s">
        <v>PSA</v>
        <stp/>
        <stp>##V3_BDPV12</stp>
        <stp>31283H4W2 Mtge</stp>
        <stp>MTG_PREPAY_TYP</stp>
        <stp>[Copy of 02_cpr_main.xlsx]data!R67C11</stp>
        <tr r="K67" s="2"/>
      </tp>
      <tp t="s">
        <v>PSA</v>
        <stp/>
        <stp>##V3_BDPV12</stp>
        <stp>31283H4W2 Mtge</stp>
        <stp>MTG_PREPAY_TYP</stp>
        <stp>[Copy of 02_cpr_main.xlsx]data!R64C11</stp>
        <tr r="K64" s="2"/>
      </tp>
      <tp t="s">
        <v>PSA</v>
        <stp/>
        <stp>##V3_BDPV12</stp>
        <stp>31283H4W2 Mtge</stp>
        <stp>MTG_PREPAY_TYP</stp>
        <stp>[Copy of 02_cpr_main.xlsx]data!R65C11</stp>
        <tr r="K65" s="2"/>
      </tp>
      <tp t="s">
        <v>PSA</v>
        <stp/>
        <stp>##V3_BDPV12</stp>
        <stp>31283H4W2 Mtge</stp>
        <stp>MTG_PREPAY_TYP</stp>
        <stp>[Copy of 02_cpr_main.xlsx]data!R62C11</stp>
        <tr r="K62" s="2"/>
      </tp>
      <tp t="s">
        <v>PSA</v>
        <stp/>
        <stp>##V3_BDPV12</stp>
        <stp>31283H4W2 Mtge</stp>
        <stp>MTG_PREPAY_TYP</stp>
        <stp>[Copy of 02_cpr_main.xlsx]data!R63C11</stp>
        <tr r="K63" s="2"/>
      </tp>
      <tp t="s">
        <v>PSA</v>
        <stp/>
        <stp>##V3_BDPV12</stp>
        <stp>31283H4W2 Mtge</stp>
        <stp>MTG_PREPAY_TYP</stp>
        <stp>[Copy of 02_cpr_main.xlsx]data!R60C11</stp>
        <tr r="K60" s="2"/>
      </tp>
      <tp t="s">
        <v>PSA</v>
        <stp/>
        <stp>##V3_BDPV12</stp>
        <stp>31283H4W2 Mtge</stp>
        <stp>MTG_PREPAY_TYP</stp>
        <stp>[Copy of 02_cpr_main.xlsx]data!R61C11</stp>
        <tr r="K61" s="2"/>
      </tp>
      <tp t="s">
        <v>PSA</v>
        <stp/>
        <stp>##V3_BDPV12</stp>
        <stp>31283H4W2 Mtge</stp>
        <stp>MTG_PREPAY_TYP</stp>
        <stp>[Copy of 02_cpr_main.xlsx]data!R68C11</stp>
        <tr r="K68" s="2"/>
      </tp>
      <tp t="s">
        <v>PSA</v>
        <stp/>
        <stp>##V3_BDPV12</stp>
        <stp>31283H4W2 Mtge</stp>
        <stp>MTG_PREPAY_TYP</stp>
        <stp>[Copy of 02_cpr_main.xlsx]data!R69C11</stp>
        <tr r="K69" s="2"/>
      </tp>
      <tp t="s">
        <v>PSA</v>
        <stp/>
        <stp>##V3_BDPV12</stp>
        <stp>31283H4W2 Mtge</stp>
        <stp>MTG_PREPAY_TYP</stp>
        <stp>[Copy of 02_cpr_main.xlsx]data!R96C11</stp>
        <tr r="K96" s="2"/>
      </tp>
      <tp t="s">
        <v>PSA</v>
        <stp/>
        <stp>##V3_BDPV12</stp>
        <stp>31283H4W2 Mtge</stp>
        <stp>MTG_PREPAY_TYP</stp>
        <stp>[Copy of 02_cpr_main.xlsx]data!R97C11</stp>
        <tr r="K97" s="2"/>
      </tp>
      <tp t="s">
        <v>PSA</v>
        <stp/>
        <stp>##V3_BDPV12</stp>
        <stp>31283H4W2 Mtge</stp>
        <stp>MTG_PREPAY_TYP</stp>
        <stp>[Copy of 02_cpr_main.xlsx]data!R94C11</stp>
        <tr r="K94" s="2"/>
      </tp>
      <tp t="s">
        <v>PSA</v>
        <stp/>
        <stp>##V3_BDPV12</stp>
        <stp>31283H4W2 Mtge</stp>
        <stp>MTG_PREPAY_TYP</stp>
        <stp>[Copy of 02_cpr_main.xlsx]data!R95C11</stp>
        <tr r="K95" s="2"/>
      </tp>
      <tp t="s">
        <v>PSA</v>
        <stp/>
        <stp>##V3_BDPV12</stp>
        <stp>31283H4W2 Mtge</stp>
        <stp>MTG_PREPAY_TYP</stp>
        <stp>[Copy of 02_cpr_main.xlsx]data!R92C11</stp>
        <tr r="K92" s="2"/>
      </tp>
      <tp t="s">
        <v>PSA</v>
        <stp/>
        <stp>##V3_BDPV12</stp>
        <stp>31283H4W2 Mtge</stp>
        <stp>MTG_PREPAY_TYP</stp>
        <stp>[Copy of 02_cpr_main.xlsx]data!R93C11</stp>
        <tr r="K93" s="2"/>
      </tp>
      <tp t="s">
        <v>PSA</v>
        <stp/>
        <stp>##V3_BDPV12</stp>
        <stp>31283H4W2 Mtge</stp>
        <stp>MTG_PREPAY_TYP</stp>
        <stp>[Copy of 02_cpr_main.xlsx]data!R90C11</stp>
        <tr r="K90" s="2"/>
      </tp>
      <tp t="s">
        <v>PSA</v>
        <stp/>
        <stp>##V3_BDPV12</stp>
        <stp>31283H4W2 Mtge</stp>
        <stp>MTG_PREPAY_TYP</stp>
        <stp>[Copy of 02_cpr_main.xlsx]data!R91C11</stp>
        <tr r="K91" s="2"/>
      </tp>
      <tp t="s">
        <v>PSA</v>
        <stp/>
        <stp>##V3_BDPV12</stp>
        <stp>31283H4W2 Mtge</stp>
        <stp>MTG_PREPAY_TYP</stp>
        <stp>[Copy of 02_cpr_main.xlsx]data!R98C11</stp>
        <tr r="K98" s="2"/>
      </tp>
      <tp t="s">
        <v>PSA</v>
        <stp/>
        <stp>##V3_BDPV12</stp>
        <stp>31283H4W2 Mtge</stp>
        <stp>MTG_PREPAY_TYP</stp>
        <stp>[Copy of 02_cpr_main.xlsx]data!R99C11</stp>
        <tr r="K99" s="2"/>
      </tp>
      <tp t="s">
        <v>PSA</v>
        <stp/>
        <stp>##V3_BDPV12</stp>
        <stp>31283H4W2 Mtge</stp>
        <stp>MTG_PREPAY_TYP</stp>
        <stp>[Copy of 02_cpr_main.xlsx]data!R86C11</stp>
        <tr r="K86" s="2"/>
      </tp>
      <tp t="s">
        <v>PSA</v>
        <stp/>
        <stp>##V3_BDPV12</stp>
        <stp>31283H4W2 Mtge</stp>
        <stp>MTG_PREPAY_TYP</stp>
        <stp>[Copy of 02_cpr_main.xlsx]data!R87C11</stp>
        <tr r="K87" s="2"/>
      </tp>
      <tp t="s">
        <v>PSA</v>
        <stp/>
        <stp>##V3_BDPV12</stp>
        <stp>31283H4W2 Mtge</stp>
        <stp>MTG_PREPAY_TYP</stp>
        <stp>[Copy of 02_cpr_main.xlsx]data!R84C11</stp>
        <tr r="K84" s="2"/>
      </tp>
      <tp t="s">
        <v>PSA</v>
        <stp/>
        <stp>##V3_BDPV12</stp>
        <stp>31283H4W2 Mtge</stp>
        <stp>MTG_PREPAY_TYP</stp>
        <stp>[Copy of 02_cpr_main.xlsx]data!R85C11</stp>
        <tr r="K85" s="2"/>
      </tp>
      <tp t="s">
        <v>PSA</v>
        <stp/>
        <stp>##V3_BDPV12</stp>
        <stp>31283H4W2 Mtge</stp>
        <stp>MTG_PREPAY_TYP</stp>
        <stp>[Copy of 02_cpr_main.xlsx]data!R82C11</stp>
        <tr r="K82" s="2"/>
      </tp>
      <tp t="s">
        <v>PSA</v>
        <stp/>
        <stp>##V3_BDPV12</stp>
        <stp>31283H4W2 Mtge</stp>
        <stp>MTG_PREPAY_TYP</stp>
        <stp>[Copy of 02_cpr_main.xlsx]data!R83C11</stp>
        <tr r="K83" s="2"/>
      </tp>
      <tp t="s">
        <v>PSA</v>
        <stp/>
        <stp>##V3_BDPV12</stp>
        <stp>31283H4W2 Mtge</stp>
        <stp>MTG_PREPAY_TYP</stp>
        <stp>[Copy of 02_cpr_main.xlsx]data!R80C11</stp>
        <tr r="K80" s="2"/>
      </tp>
      <tp t="s">
        <v>PSA</v>
        <stp/>
        <stp>##V3_BDPV12</stp>
        <stp>31283H4W2 Mtge</stp>
        <stp>MTG_PREPAY_TYP</stp>
        <stp>[Copy of 02_cpr_main.xlsx]data!R81C11</stp>
        <tr r="K81" s="2"/>
      </tp>
      <tp t="s">
        <v>PSA</v>
        <stp/>
        <stp>##V3_BDPV12</stp>
        <stp>31283H4W2 Mtge</stp>
        <stp>MTG_PREPAY_TYP</stp>
        <stp>[Copy of 02_cpr_main.xlsx]data!R88C11</stp>
        <tr r="K88" s="2"/>
      </tp>
      <tp t="s">
        <v>PSA</v>
        <stp/>
        <stp>##V3_BDPV12</stp>
        <stp>31283H4W2 Mtge</stp>
        <stp>MTG_PREPAY_TYP</stp>
        <stp>[Copy of 02_cpr_main.xlsx]data!R89C11</stp>
        <tr r="K89" s="2"/>
      </tp>
      <tp t="s">
        <v>#N/A Invalid Field</v>
        <stp/>
        <stp>##V3_BDHV12</stp>
        <stp>01F060444 Mtge</stp>
        <stp>MTG_GEN_CPR_3M</stp>
        <stp>20090331</stp>
        <stp>20090331</stp>
        <stp>[Copy of 02_cpr_main.xlsx]data!R10C5</stp>
        <stp>Dts=H</stp>
        <tr r="E10" s="2"/>
      </tp>
      <tp t="s">
        <v>#N/A Invalid Field</v>
        <stp/>
        <stp>##V3_BDHV12</stp>
        <stp>02R042645 Mtge</stp>
        <stp>MTG_GEN_CPR_3M</stp>
        <stp>20090331</stp>
        <stp>20090331</stp>
        <stp>[Copy of 02_cpr_main.xlsx]data!R20C5</stp>
        <stp>Dts=H</stp>
        <tr r="E20" s="2"/>
      </tp>
      <tp t="s">
        <v>#N/A Invalid Field</v>
        <stp/>
        <stp>##V3_BDHV12</stp>
        <stp>02R060647 Mtge</stp>
        <stp>MTG_GEN_CPR_3M</stp>
        <stp>20090331</stp>
        <stp>20090331</stp>
        <stp>[Copy of 02_cpr_main.xlsx]data!R25C5</stp>
        <stp>Dts=H</stp>
        <tr r="E25" s="2"/>
      </tp>
      <tp t="s">
        <v>#N/A Invalid Field</v>
        <stp/>
        <stp>##V3_BDHV12</stp>
        <stp>02R052644 Mtge</stp>
        <stp>MTG_GEN_CPR_3M</stp>
        <stp>20090331</stp>
        <stp>20090331</stp>
        <stp>[Copy of 02_cpr_main.xlsx]data!R24C5</stp>
        <stp>Dts=H</stp>
        <tr r="E24" s="2"/>
      </tp>
      <tp t="s">
        <v>#N/A Invalid Field</v>
        <stp/>
        <stp>##V3_BDHV12</stp>
        <stp>02R042447 Mtge</stp>
        <stp>MTG_GEN_CPR_3M</stp>
        <stp>20090331</stp>
        <stp>20090331</stp>
        <stp>[Copy of 02_cpr_main.xlsx]data!R19C5</stp>
        <stp>Dts=H</stp>
        <tr r="E19" s="2"/>
      </tp>
      <tp t="s">
        <v>#N/A Invalid Field</v>
        <stp/>
        <stp>##V3_BDHV12</stp>
        <stp>02R052446 Mtge</stp>
        <stp>MTG_GEN_CPR_3M</stp>
        <stp>20090331</stp>
        <stp>20090331</stp>
        <stp>[Copy of 02_cpr_main.xlsx]data!R23C5</stp>
        <stp>Dts=H</stp>
        <tr r="E23" s="2"/>
      </tp>
      <tp t="s">
        <v>#N/A Invalid Field</v>
        <stp/>
        <stp>##V3_BDHV12</stp>
        <stp>21H052645 Mtge</stp>
        <stp>MTG_GEN_CPR_3M</stp>
        <stp>20090331</stp>
        <stp>20090331</stp>
        <stp>[Copy of 02_cpr_main.xlsx]data!R26C5</stp>
        <stp>Dts=H</stp>
        <tr r="E26" s="2"/>
      </tp>
      <tp t="s">
        <v>#N/A Invalid Field</v>
        <stp/>
        <stp>##V3_BDHV12</stp>
        <stp>02R050440 Mtge</stp>
        <stp>MTG_GEN_CPR_3M</stp>
        <stp>20090331</stp>
        <stp>20090331</stp>
        <stp>[Copy of 02_cpr_main.xlsx]data!R21C5</stp>
        <stp>Dts=H</stp>
        <tr r="E21" s="2"/>
      </tp>
      <tp t="s">
        <v>#N/A Invalid Field</v>
        <stp/>
        <stp>##V3_BDHV12</stp>
        <stp>01F060642 Mtge</stp>
        <stp>MTG_GEN_CPR_3M</stp>
        <stp>20090331</stp>
        <stp>20090331</stp>
        <stp>[Copy of 02_cpr_main.xlsx]data!R11C5</stp>
        <stp>Dts=H</stp>
        <tr r="E11" s="2"/>
      </tp>
      <tp t="s">
        <v>#N/A Invalid Field</v>
        <stp/>
        <stp>##V3_BDHV12</stp>
        <stp>01N042641 Mtge</stp>
        <stp>MTG_GEN_CPR_3M</stp>
        <stp>20090331</stp>
        <stp>20090331</stp>
        <stp>[Copy of 02_cpr_main.xlsx]data!R14C5</stp>
        <stp>Dts=H</stp>
        <tr r="E14" s="2"/>
      </tp>
      <tp t="s">
        <v>#N/A Invalid Field</v>
        <stp/>
        <stp>##V3_BDHV12</stp>
        <stp>01N060643 Mtge</stp>
        <stp>MTG_GEN_CPR_3M</stp>
        <stp>20090331</stp>
        <stp>20090331</stp>
        <stp>[Copy of 02_cpr_main.xlsx]data!R16C5</stp>
        <stp>Dts=H</stp>
        <tr r="E16" s="2"/>
      </tp>
      <tp t="s">
        <v>#N/A Invalid Field</v>
        <stp/>
        <stp>##V3_BDHV12</stp>
        <stp>01F062648 Mtge</stp>
        <stp>MTG_GEN_CPR_3M</stp>
        <stp>20090331</stp>
        <stp>20090331</stp>
        <stp>[Copy of 02_cpr_main.xlsx]data!R12C5</stp>
        <stp>Dts=H</stp>
        <tr r="E12" s="2"/>
      </tp>
      <tp t="s">
        <v>#N/A Invalid Field</v>
        <stp/>
        <stp>##V3_BDHV12</stp>
        <stp>02R050648 Mtge</stp>
        <stp>MTG_GEN_CPR_3M</stp>
        <stp>20090331</stp>
        <stp>20090331</stp>
        <stp>[Copy of 02_cpr_main.xlsx]data!R22C5</stp>
        <stp>Dts=H</stp>
        <tr r="E22" s="2"/>
      </tp>
      <tp t="s">
        <v>#N/A Invalid Field</v>
        <stp/>
        <stp>##V3_BDHV12</stp>
        <stp>01N062649 Mtge</stp>
        <stp>MTG_GEN_CPR_3M</stp>
        <stp>20090331</stp>
        <stp>20090331</stp>
        <stp>[Copy of 02_cpr_main.xlsx]data!R18C5</stp>
        <stp>Dts=H</stp>
        <tr r="E18" s="2"/>
      </tp>
      <tp t="s">
        <v>#N/A Invalid Field</v>
        <stp/>
        <stp>##V3_BDHV12</stp>
        <stp>21H060648 Mtge</stp>
        <stp>MTG_GEN_CPR_3M</stp>
        <stp>20090331</stp>
        <stp>20090331</stp>
        <stp>[Copy of 02_cpr_main.xlsx]data!R27C5</stp>
        <stp>Dts=H</stp>
        <tr r="E27" s="2"/>
      </tp>
      <tp t="s">
        <v>#N/A Invalid Field</v>
        <stp/>
        <stp>##V3_BDHV12</stp>
        <stp>3128GDX47 Mtge</stp>
        <stp>MTG_GEN_CPR_3M</stp>
        <stp>20090610</stp>
        <stp>20090610</stp>
        <stp>[Copy of 02_cpr_main.xlsx]data!R49C8</stp>
        <stp>Dts=H</stp>
        <tr r="H49" s="2"/>
      </tp>
      <tp t="s">
        <v>#N/A Invalid Field</v>
        <stp/>
        <stp>##V3_BDHV12</stp>
        <stp>01F062655 Mtge</stp>
        <stp>MTG_GEN_CPR_12M</stp>
        <stp>20090610</stp>
        <stp>20090610</stp>
        <stp>[Copy of 02_cpr_main.xlsx]data!R13C10</stp>
        <stp>Dts=H</stp>
        <tr r="J13" s="2"/>
      </tp>
      <tp t="s">
        <v>#N/A Invalid Field</v>
        <stp/>
        <stp>##V3_BDHV12</stp>
        <stp>01F062648 Mtge</stp>
        <stp>MTG_GEN_CPR_12M</stp>
        <stp>20090610</stp>
        <stp>20090610</stp>
        <stp>[Copy of 02_cpr_main.xlsx]data!R12C10</stp>
        <stp>Dts=H</stp>
        <tr r="J12" s="2"/>
      </tp>
      <tp t="s">
        <v>#N/A Invalid Field</v>
        <stp/>
        <stp>##V3_BDHV12</stp>
        <stp>01N062649 Mtge</stp>
        <stp>MTG_GEN_CPR_12M</stp>
        <stp>20090610</stp>
        <stp>20090610</stp>
        <stp>[Copy of 02_cpr_main.xlsx]data!R18C10</stp>
        <stp>Dts=H</stp>
        <tr r="J18" s="2"/>
      </tp>
      <tp t="s">
        <v>#N/A Invalid Field</v>
        <stp/>
        <stp>##V3_BDHV12</stp>
        <stp>312962EA7 Mtge</stp>
        <stp>MTG_GEN_CPR_12M</stp>
        <stp>20090331</stp>
        <stp>20090331</stp>
        <stp>[Copy of 02_cpr_main.xlsx]data!R137C7</stp>
        <stp>Dts=H</stp>
        <tr r="G137" s="2"/>
      </tp>
      <tp t="s">
        <v>#N/A Invalid Field</v>
        <stp/>
        <stp>##V3_BDHV12</stp>
        <stp>3128Q2GG2 Mtge</stp>
        <stp>MTG_GEN_CPR_12M</stp>
        <stp>20090331</stp>
        <stp>20090331</stp>
        <stp>[Copy of 02_cpr_main.xlsx]data!R106C7</stp>
        <stp>Dts=H</stp>
        <tr r="G106" s="2"/>
      </tp>
    </main>
    <main first="bloomberg.rtd">
      <tp t="s">
        <v>#N/A Invalid Field</v>
        <stp/>
        <stp>##V3_BDHV12</stp>
        <stp>312962KF9 Mtge</stp>
        <stp>MTG_GEN_CPR_12M</stp>
        <stp>20090331</stp>
        <stp>20090331</stp>
        <stp>[Copy of 02_cpr_main.xlsx]data!R138C7</stp>
        <stp>Dts=H</stp>
        <tr r="G138" s="2"/>
      </tp>
    </main>
    <main first="bloomberg.rtd">
      <tp t="s">
        <v>#N/A Invalid Field</v>
        <stp/>
        <stp>##V3_BDHV12</stp>
        <stp>01N052657 Mtge</stp>
        <stp>MTG_GEN_CPR_12M</stp>
        <stp>20090610</stp>
        <stp>20090610</stp>
        <stp>[Copy of 02_cpr_main.xlsx]data!R15C10</stp>
        <stp>Dts=H</stp>
        <tr r="J15" s="2"/>
      </tp>
      <tp t="s">
        <v>#N/A Invalid Field</v>
        <stp/>
        <stp>##V3_BDHV12</stp>
        <stp>01N042641 Mtge</stp>
        <stp>MTG_GEN_CPR_12M</stp>
        <stp>20090610</stp>
        <stp>20090610</stp>
        <stp>[Copy of 02_cpr_main.xlsx]data!R14C10</stp>
        <stp>Dts=H</stp>
        <tr r="J14" s="2"/>
      </tp>
      <tp t="s">
        <v>#N/A Invalid Field</v>
        <stp/>
        <stp>##V3_BDHV12</stp>
        <stp>02R052644 Mtge</stp>
        <stp>MTG_GEN_CPR_12M</stp>
        <stp>20090610</stp>
        <stp>20090610</stp>
        <stp>[Copy of 02_cpr_main.xlsx]data!R24C10</stp>
        <stp>Dts=H</stp>
        <tr r="J24" s="2"/>
      </tp>
      <tp t="s">
        <v>#N/A Invalid Field</v>
        <stp/>
        <stp>##V3_BDHV12</stp>
        <stp>02R052446 Mtge</stp>
        <stp>MTG_GEN_CPR_12M</stp>
        <stp>20090610</stp>
        <stp>20090610</stp>
        <stp>[Copy of 02_cpr_main.xlsx]data!R23C10</stp>
        <stp>Dts=H</stp>
        <tr r="J23" s="2"/>
      </tp>
      <tp t="s">
        <v>#N/A Invalid Field</v>
        <stp/>
        <stp>##V3_BDHV12</stp>
        <stp>02R042645 Mtge</stp>
        <stp>MTG_GEN_CPR_12M</stp>
        <stp>20090610</stp>
        <stp>20090610</stp>
        <stp>[Copy of 02_cpr_main.xlsx]data!R20C10</stp>
        <stp>Dts=H</stp>
        <tr r="J20" s="2"/>
      </tp>
      <tp>
        <v>1352.9</v>
        <stp/>
        <stp>##V3_BDPV12</stp>
        <stp>3128JMFN2 Mtge</stp>
        <stp xml:space="preserve">MTG_PL_PSA_1M </stp>
        <stp>[Copy of 02_cpr_main.xlsx]data!R68C13</stp>
        <tr r="M68" s="2"/>
      </tp>
      <tp>
        <v>411.2</v>
        <stp/>
        <stp>##V3_BDPV12</stp>
        <stp>3128JMFN2 Mtge</stp>
        <stp xml:space="preserve">MTG_PL_PSA_6M </stp>
        <stp>[Copy of 02_cpr_main.xlsx]data!R68C15</stp>
        <tr r="O68" s="2"/>
      </tp>
      <tp>
        <v>717.7</v>
        <stp/>
        <stp>##V3_BDPV12</stp>
        <stp>3128JMFN2 Mtge</stp>
        <stp xml:space="preserve">MTG_PL_PSA_3M </stp>
        <stp>[Copy of 02_cpr_main.xlsx]data!R68C14</stp>
        <tr r="N68" s="2"/>
      </tp>
      <tp>
        <v>213</v>
        <stp/>
        <stp>##V3_BDPV12</stp>
        <stp>31297GXZ9 Mtge</stp>
        <stp>MTG_PREPAY_SPEED</stp>
        <stp>[Copy of 02_cpr_main.xlsx]data!R148C12</stp>
        <tr r="L148" s="2"/>
      </tp>
      <tp>
        <v>169</v>
        <stp/>
        <stp>##V3_BDPV12</stp>
        <stp>31414TNR8 Mtge</stp>
        <stp>MTG_PREPAY_SPEED</stp>
        <stp>[Copy of 02_cpr_main.xlsx]data!R444C12</stp>
        <tr r="L444" s="2"/>
      </tp>
      <tp t="s">
        <v>#N/A N/A</v>
        <stp/>
        <stp>##V3_BDPV12</stp>
        <stp>31403F6S8 Mtge</stp>
        <stp>MTG_PREPAY_SPEED</stp>
        <stp>[Copy of 02_cpr_main.xlsx]data!R306C12</stp>
        <tr r="L306" s="2"/>
      </tp>
      <tp t="s">
        <v>#N/A N/A</v>
        <stp/>
        <stp>##V3_BDPV12</stp>
        <stp>31403ARS6 Mtge</stp>
        <stp>MTG_PREPAY_SPEED</stp>
        <stp>[Copy of 02_cpr_main.xlsx]data!R291C12</stp>
        <tr r="L291" s="2"/>
      </tp>
      <tp t="s">
        <v>#N/A N/A</v>
        <stp/>
        <stp>##V3_BDPV12</stp>
        <stp>31412GSR3 Mtge</stp>
        <stp>MTG_PREPAY_SPEED</stp>
        <stp>[Copy of 02_cpr_main.xlsx]data!R407C12</stp>
        <tr r="L407" s="2"/>
      </tp>
      <tp>
        <v>182</v>
        <stp/>
        <stp>##V3_BDPV12</stp>
        <stp>31413N5R2 Mtge</stp>
        <stp>MTG_PREPAY_SPEED</stp>
        <stp>[Copy of 02_cpr_main.xlsx]data!R428C12</stp>
        <tr r="L428" s="2"/>
      </tp>
      <tp>
        <v>169</v>
        <stp/>
        <stp>##V3_BDPV12</stp>
        <stp>31400RNS6 Mtge</stp>
        <stp>MTG_PREPAY_SPEED</stp>
        <stp>[Copy of 02_cpr_main.xlsx]data!R249C12</stp>
        <tr r="L249" s="2"/>
      </tp>
      <tp t="s">
        <v>#N/A N/A</v>
        <stp/>
        <stp>##V3_BDPV12</stp>
        <stp>31371K5T4 Mtge</stp>
        <stp>MTG_PREPAY_SPEED</stp>
        <stp>[Copy of 02_cpr_main.xlsx]data!R168C12</stp>
        <tr r="L168" s="2"/>
      </tp>
      <tp t="s">
        <v>#N/A N/A</v>
        <stp/>
        <stp>##V3_BDPV12</stp>
        <stp>31402QHS3 Mtge</stp>
        <stp>MTG_PREPAY_SPEED</stp>
        <stp>[Copy of 02_cpr_main.xlsx]data!R275C12</stp>
        <tr r="L275" s="2"/>
      </tp>
      <tp t="s">
        <v>#N/A N/A</v>
        <stp/>
        <stp>##V3_BDPV12</stp>
        <stp>31293FJZ1 Mtge</stp>
        <stp>MTG_PREPAY_SPEED</stp>
        <stp>[Copy of 02_cpr_main.xlsx]data!R121C12</stp>
        <tr r="L121" s="2"/>
      </tp>
      <tp>
        <v>169</v>
        <stp/>
        <stp>##V3_BDPV12</stp>
        <stp>31402TVS1 Mtge</stp>
        <stp>MTG_PREPAY_SPEED</stp>
        <stp>[Copy of 02_cpr_main.xlsx]data!R288C12</stp>
        <tr r="L288" s="2"/>
      </tp>
      <tp t="s">
        <v>#N/A Invalid Field</v>
        <stp/>
        <stp>##V3_BDHV12</stp>
        <stp>31283KR34 Mtge</stp>
        <stp>MTG_GEN_CPR_3M</stp>
        <stp>20090331</stp>
        <stp>20090331</stp>
        <stp>[Copy of 02_cpr_main.xlsx]data!R36C5</stp>
        <stp>Dts=H</stp>
        <tr r="E36" s="2"/>
      </tp>
      <tp t="s">
        <v>#N/A Invalid Field</v>
        <stp/>
        <stp>##V3_BDHV12</stp>
        <stp>31288MC31 Mtge</stp>
        <stp>MTG_GEN_CPR_3M</stp>
        <stp>20090331</stp>
        <stp>20090331</stp>
        <stp>[Copy of 02_cpr_main.xlsx]data!R40C5</stp>
        <stp>Dts=H</stp>
        <tr r="E40" s="2"/>
      </tp>
      <tp t="s">
        <v>#N/A Invalid Field</v>
        <stp/>
        <stp>##V3_BDHV12</stp>
        <stp>3128JLW39 Mtge</stp>
        <stp>MTG_GEN_CPR_3M</stp>
        <stp>20090331</stp>
        <stp>20090331</stp>
        <stp>[Copy of 02_cpr_main.xlsx]data!R67C5</stp>
        <stp>Dts=H</stp>
        <tr r="E67" s="2"/>
      </tp>
      <tp t="s">
        <v>#N/A Invalid Field</v>
        <stp/>
        <stp>##V3_BDHV12</stp>
        <stp>3128GCP55 Mtge</stp>
        <stp>MTG_GEN_CPR_6M</stp>
        <stp>20090331</stp>
        <stp>20090331</stp>
        <stp>[Copy of 02_cpr_main.xlsx]data!R42C6</stp>
        <stp>Dts=H</stp>
        <tr r="F42" s="2"/>
      </tp>
      <tp t="s">
        <v>#N/A Invalid Field</v>
        <stp/>
        <stp>##V3_BDHV12</stp>
        <stp>3128GWF37 Mtge</stp>
        <stp>MTG_GEN_CPR_3M</stp>
        <stp>20090331</stp>
        <stp>20090331</stp>
        <stp>[Copy of 02_cpr_main.xlsx]data!R63C5</stp>
        <stp>Dts=H</stp>
        <tr r="E63" s="2"/>
      </tp>
      <tp t="s">
        <v>#N/A Invalid Field</v>
        <stp/>
        <stp>##V3_BDHV12</stp>
        <stp>3128GWD39 Mtge</stp>
        <stp>MTG_GEN_CPR_3M</stp>
        <stp>20090331</stp>
        <stp>20090331</stp>
        <stp>[Copy of 02_cpr_main.xlsx]data!R62C5</stp>
        <stp>Dts=H</stp>
        <tr r="E62" s="2"/>
      </tp>
    </main>
    <main first="bloomberg.rtd">
      <tp t="s">
        <v>#N/A Invalid Field</v>
        <stp/>
        <stp>##V3_BDHV12</stp>
        <stp>3128M4NJ8 Mtge</stp>
        <stp>MTG_GEN_CPR_12M</stp>
        <stp>20090610</stp>
        <stp>20090610</stp>
        <stp>[Copy of 02_cpr_main.xlsx]data!R84C10</stp>
        <stp>Dts=H</stp>
        <tr r="J84" s="2"/>
      </tp>
      <tp>
        <v>1582.4</v>
        <stp/>
        <stp>##V3_BDPV12</stp>
        <stp>3128H33R0 Mtge</stp>
        <stp xml:space="preserve">MTG_PL_PSA_3M </stp>
        <stp>[Copy of 02_cpr_main.xlsx]data!R65C14</stp>
        <tr r="N65" s="2"/>
      </tp>
      <tp>
        <v>1336.8</v>
        <stp/>
        <stp>##V3_BDPV12</stp>
        <stp>3128H33R0 Mtge</stp>
        <stp xml:space="preserve">MTG_PL_PSA_6M </stp>
        <stp>[Copy of 02_cpr_main.xlsx]data!R65C15</stp>
        <tr r="O65" s="2"/>
      </tp>
      <tp>
        <v>0</v>
        <stp/>
        <stp>##V3_BDPV12</stp>
        <stp>3128H33R0 Mtge</stp>
        <stp xml:space="preserve">MTG_PL_PSA_1M </stp>
        <stp>[Copy of 02_cpr_main.xlsx]data!R65C13</stp>
        <tr r="M65" s="2"/>
      </tp>
      <tp t="s">
        <v>#N/A Invalid Field</v>
        <stp/>
        <stp>##V3_BDHV12</stp>
        <stp>3128M4VW0 Mtge</stp>
        <stp>MTG_GEN_CPR_12M</stp>
        <stp>20090610</stp>
        <stp>20090610</stp>
        <stp>[Copy of 02_cpr_main.xlsx]data!R85C10</stp>
        <stp>Dts=H</stp>
        <tr r="J85" s="2"/>
      </tp>
      <tp t="s">
        <v>#N/A N/A</v>
        <stp/>
        <stp>##V3_BDPV12</stp>
        <stp>31411YDS9 Mtge</stp>
        <stp>MTG_PREPAY_SPEED</stp>
        <stp>[Copy of 02_cpr_main.xlsx]data!R399C12</stp>
        <tr r="L399" s="2"/>
      </tp>
      <tp>
        <v>2.15</v>
        <stp/>
        <stp>##V3_BDPV12</stp>
        <stp>31402Q4R9 Mtge</stp>
        <stp>MTG_PREPAY_SPEED</stp>
        <stp>[Copy of 02_cpr_main.xlsx]data!R274C12</stp>
        <tr r="L274" s="2"/>
      </tp>
      <tp>
        <v>169</v>
        <stp/>
        <stp>##V3_BDPV12</stp>
        <stp>31413SCS1 Mtge</stp>
        <stp>MTG_PREPAY_SPEED</stp>
        <stp>[Copy of 02_cpr_main.xlsx]data!R432C12</stp>
        <tr r="L432" s="2"/>
      </tp>
      <tp t="s">
        <v>#N/A N/A</v>
        <stp/>
        <stp>##V3_BDPV12</stp>
        <stp>36210VRS2 Mtge</stp>
        <stp>MTG_PREPAY_SPEED</stp>
        <stp>[Copy of 02_cpr_main.xlsx]data!R485C12</stp>
        <tr r="L485" s="2"/>
      </tp>
      <tp t="s">
        <v>#N/A N/A</v>
        <stp/>
        <stp>##V3_BDPV12</stp>
        <stp>31402CZR6 Mtge</stp>
        <stp>MTG_PREPAY_SPEED</stp>
        <stp>[Copy of 02_cpr_main.xlsx]data!R267C12</stp>
        <tr r="L267" s="2"/>
      </tp>
      <tp>
        <v>161</v>
        <stp/>
        <stp>##V3_BDPV12</stp>
        <stp>31403DDR7 Mtge</stp>
        <stp>MTG_PREPAY_SPEED</stp>
        <stp>[Copy of 02_cpr_main.xlsx]data!R297C12</stp>
        <tr r="L297" s="2"/>
      </tp>
      <tp>
        <v>182</v>
        <stp/>
        <stp>##V3_BDPV12</stp>
        <stp>31410C6S6 Mtge</stp>
        <stp>MTG_PREPAY_SPEED</stp>
        <stp>[Copy of 02_cpr_main.xlsx]data!R358C12</stp>
        <tr r="L358" s="2"/>
      </tp>
      <tp>
        <v>171</v>
        <stp/>
        <stp>##V3_BDPV12</stp>
        <stp>31371NGU3 Mtge</stp>
        <stp>MTG_PREPAY_SPEED</stp>
        <stp>[Copy of 02_cpr_main.xlsx]data!R180C12</stp>
        <tr r="L180" s="2"/>
      </tp>
      <tp>
        <v>139</v>
        <stp/>
        <stp>##V3_BDPV12</stp>
        <stp>36225BAP3 Mtge</stp>
        <stp>MTG_PREPAY_SPEED</stp>
        <stp>[Copy of 02_cpr_main.xlsx]data!R490C12</stp>
        <tr r="L490" s="2"/>
      </tp>
      <tp>
        <v>161</v>
        <stp/>
        <stp>##V3_BDPV12</stp>
        <stp>31405AZR7 Mtge</stp>
        <stp>MTG_PREPAY_SPEED</stp>
        <stp>[Copy of 02_cpr_main.xlsx]data!R323C12</stp>
        <tr r="L323" s="2"/>
      </tp>
      <tp t="s">
        <v>#N/A Invalid Field</v>
        <stp/>
        <stp>##V3_BDHV12</stp>
        <stp>31288MC23 Mtge</stp>
        <stp>MTG_GEN_CPR_3M</stp>
        <stp>20090331</stp>
        <stp>20090331</stp>
        <stp>[Copy of 02_cpr_main.xlsx]data!R39C5</stp>
        <stp>Dts=H</stp>
        <tr r="E39" s="2"/>
      </tp>
      <tp t="s">
        <v>#N/A Invalid Field</v>
        <stp/>
        <stp>##V3_BDHV12</stp>
        <stp>3128MBH26 Mtge</stp>
        <stp>MTG_GEN_CPR_3M</stp>
        <stp>20090331</stp>
        <stp>20090331</stp>
        <stp>[Copy of 02_cpr_main.xlsx]data!R94C5</stp>
        <stp>Dts=H</stp>
        <tr r="E94" s="2"/>
      </tp>
      <tp t="s">
        <v>#N/A Invalid Field</v>
        <stp/>
        <stp>##V3_BDHV12</stp>
        <stp>3128GDX47 Mtge</stp>
        <stp>MTG_GEN_CPR_6M</stp>
        <stp>20090331</stp>
        <stp>20090331</stp>
        <stp>[Copy of 02_cpr_main.xlsx]data!R49C6</stp>
        <stp>Dts=H</stp>
        <tr r="F49" s="2"/>
      </tp>
      <tp t="s">
        <v>#N/A Invalid Field</v>
        <stp/>
        <stp>##V3_BDHV12</stp>
        <stp>3128M5ED8 Mtge</stp>
        <stp>MTG_GEN_CPR_12M</stp>
        <stp>20090610</stp>
        <stp>20090610</stp>
        <stp>[Copy of 02_cpr_main.xlsx]data!R86C10</stp>
        <stp>Dts=H</stp>
        <tr r="J86" s="2"/>
      </tp>
    </main>
    <main first="bloomberg.rtd">
      <tp>
        <v>1438.9</v>
        <stp/>
        <stp>##V3_BDPV12</stp>
        <stp>3128MBJS7 Mtge</stp>
        <stp xml:space="preserve">MTG_PL_PSA_6M </stp>
        <stp>[Copy of 02_cpr_main.xlsx]data!R95C15</stp>
        <tr r="O95" s="2"/>
      </tp>
      <tp>
        <v>0</v>
        <stp/>
        <stp>##V3_BDPV12</stp>
        <stp>3128MBJS7 Mtge</stp>
        <stp xml:space="preserve">MTG_PL_PSA_1M </stp>
        <stp>[Copy of 02_cpr_main.xlsx]data!R95C13</stp>
        <tr r="M95" s="2"/>
      </tp>
      <tp>
        <v>1600.5</v>
        <stp/>
        <stp>##V3_BDPV12</stp>
        <stp>3128MBJS7 Mtge</stp>
        <stp xml:space="preserve">MTG_PL_PSA_3M </stp>
        <stp>[Copy of 02_cpr_main.xlsx]data!R95C14</stp>
        <tr r="N95" s="2"/>
      </tp>
      <tp>
        <v>3.6</v>
        <stp/>
        <stp>##V3_BDPV12</stp>
        <stp>3128KDAY1 Mtge</stp>
        <stp xml:space="preserve">MTG_PL_PSA_3M </stp>
        <stp>[Copy of 02_cpr_main.xlsx]data!R74C14</stp>
        <tr r="N74" s="2"/>
      </tp>
      <tp>
        <v>3.6</v>
        <stp/>
        <stp>##V3_BDPV12</stp>
        <stp>3128KDAY1 Mtge</stp>
        <stp xml:space="preserve">MTG_PL_PSA_1M </stp>
        <stp>[Copy of 02_cpr_main.xlsx]data!R74C13</stp>
        <tr r="M74" s="2"/>
      </tp>
      <tp>
        <v>3.5</v>
        <stp/>
        <stp>##V3_BDPV12</stp>
        <stp>3128KDAY1 Mtge</stp>
        <stp xml:space="preserve">MTG_PL_PSA_6M </stp>
        <stp>[Copy of 02_cpr_main.xlsx]data!R74C15</stp>
        <tr r="O74" s="2"/>
      </tp>
      <tp>
        <v>48.6</v>
        <stp/>
        <stp>##V3_BDPV12</stp>
        <stp>3128JRPE0 Mtge</stp>
        <stp xml:space="preserve">MTG_PL_PSA_3M </stp>
        <stp>[Copy of 02_cpr_main.xlsx]data!R71C14</stp>
        <tr r="N71" s="2"/>
      </tp>
      <tp>
        <v>100.4</v>
        <stp/>
        <stp>##V3_BDPV12</stp>
        <stp>3128JRPE0 Mtge</stp>
        <stp xml:space="preserve">MTG_PL_PSA_6M </stp>
        <stp>[Copy of 02_cpr_main.xlsx]data!R71C15</stp>
        <tr r="O71" s="2"/>
      </tp>
      <tp>
        <v>24</v>
        <stp/>
        <stp>##V3_BDPV12</stp>
        <stp>3128JRPE0 Mtge</stp>
        <stp xml:space="preserve">MTG_PL_PSA_1M </stp>
        <stp>[Copy of 02_cpr_main.xlsx]data!R71C13</stp>
        <tr r="M71" s="2"/>
      </tp>
      <tp>
        <v>0</v>
        <stp/>
        <stp>##V3_BDPV12</stp>
        <stp>31295NZX9 Mtge</stp>
        <stp>MTG_PREPAY_SPEED</stp>
        <stp>[Copy of 02_cpr_main.xlsx]data!R136C12</stp>
        <tr r="L136" s="2"/>
      </tp>
      <tp>
        <v>169</v>
        <stp/>
        <stp>##V3_BDPV12</stp>
        <stp>31410MYP9 Mtge</stp>
        <stp>MTG_PREPAY_SPEED</stp>
        <stp>[Copy of 02_cpr_main.xlsx]data!R379C12</stp>
        <tr r="L379" s="2"/>
      </tp>
      <tp t="s">
        <v>#N/A N/A</v>
        <stp/>
        <stp>##V3_BDPV12</stp>
        <stp>31297VFX1 Mtge</stp>
        <stp>MTG_PREPAY_SPEED</stp>
        <stp>[Copy of 02_cpr_main.xlsx]data!R149C12</stp>
        <tr r="L149" s="2"/>
      </tp>
      <tp>
        <v>169</v>
        <stp/>
        <stp>##V3_BDPV12</stp>
        <stp>31407X2Q3 Mtge</stp>
        <stp>MTG_PREPAY_SPEED</stp>
        <stp>[Copy of 02_cpr_main.xlsx]data!R348C12</stp>
        <tr r="L348" s="2"/>
      </tp>
      <tp>
        <v>0</v>
        <stp/>
        <stp>##V3_BDPV12</stp>
        <stp>31403K4Q3 Mtge</stp>
        <stp>MTG_PREPAY_SPEED</stp>
        <stp>[Copy of 02_cpr_main.xlsx]data!R307C12</stp>
        <tr r="L307" s="2"/>
      </tp>
      <tp t="s">
        <v>#N/A N/A</v>
        <stp/>
        <stp>##V3_BDPV12</stp>
        <stp>31402BGQ1 Mtge</stp>
        <stp>MTG_PREPAY_SPEED</stp>
        <stp>[Copy of 02_cpr_main.xlsx]data!R262C12</stp>
        <tr r="L262" s="2"/>
      </tp>
      <tp t="s">
        <v>#N/A N/A</v>
        <stp/>
        <stp>##V3_BDPV12</stp>
        <stp>31412B2P6 Mtge</stp>
        <stp>MTG_PREPAY_SPEED</stp>
        <stp>[Copy of 02_cpr_main.xlsx]data!R401C12</stp>
        <tr r="L401" s="2"/>
      </tp>
      <tp t="s">
        <v>#N/A Invalid Field</v>
        <stp/>
        <stp>##V3_BDHV12</stp>
        <stp>01N060650 Mtge</stp>
        <stp>MTG_GEN_CPR_6M</stp>
        <stp>20090610</stp>
        <stp>20090610</stp>
        <stp>[Copy of 02_cpr_main.xlsx]data!R17C9</stp>
        <stp>Dts=H</stp>
        <tr r="I17" s="2"/>
      </tp>
      <tp t="s">
        <v>#N/A Invalid Field</v>
        <stp/>
        <stp>##V3_BDHV12</stp>
        <stp>01F062655 Mtge</stp>
        <stp>MTG_GEN_CPR_6M</stp>
        <stp>20090610</stp>
        <stp>20090610</stp>
        <stp>[Copy of 02_cpr_main.xlsx]data!R13C9</stp>
        <stp>Dts=H</stp>
        <tr r="I13" s="2"/>
      </tp>
      <tp t="s">
        <v>#N/A Invalid Field</v>
        <stp/>
        <stp>##V3_BDHV12</stp>
        <stp>21H060655 Mtge</stp>
        <stp>MTG_GEN_CPR_6M</stp>
        <stp>20090610</stp>
        <stp>20090610</stp>
        <stp>[Copy of 02_cpr_main.xlsx]data!R28C9</stp>
        <stp>Dts=H</stp>
        <tr r="I28" s="2"/>
      </tp>
      <tp t="s">
        <v>#N/A Invalid Field</v>
        <stp/>
        <stp>##V3_BDHV12</stp>
        <stp>01N052657 Mtge</stp>
        <stp>MTG_GEN_CPR_6M</stp>
        <stp>20090610</stp>
        <stp>20090610</stp>
        <stp>[Copy of 02_cpr_main.xlsx]data!R15C9</stp>
        <stp>Dts=H</stp>
        <tr r="I15" s="2"/>
      </tp>
      <tp t="s">
        <v>#N/A Invalid Field</v>
        <stp/>
        <stp>##V3_BDHV12</stp>
        <stp>3128M6Q92 Mtge</stp>
        <stp>MTG_GEN_CPR_3M</stp>
        <stp>20090610</stp>
        <stp>20090610</stp>
        <stp>[Copy of 02_cpr_main.xlsx]data!R89C8</stp>
        <stp>Dts=H</stp>
        <tr r="H89" s="2"/>
      </tp>
      <tp t="s">
        <v>#N/A Invalid Field</v>
        <stp/>
        <stp>##V3_BDHV12</stp>
        <stp>3128NGF75 Mtge</stp>
        <stp>MTG_GEN_CPR_6M</stp>
        <stp>20090331</stp>
        <stp>20090331</stp>
        <stp>[Copy of 02_cpr_main.xlsx]data!R99C6</stp>
        <stp>Dts=H</stp>
        <tr r="F99" s="2"/>
      </tp>
      <tp t="s">
        <v>#N/A Invalid Field</v>
        <stp/>
        <stp>##V3_BDHV12</stp>
        <stp>3128NFL70 Mtge</stp>
        <stp>MTG_GEN_CPR_6M</stp>
        <stp>20090331</stp>
        <stp>20090331</stp>
        <stp>[Copy of 02_cpr_main.xlsx]data!R97C6</stp>
        <stp>Dts=H</stp>
        <tr r="F97" s="2"/>
      </tp>
      <tp t="s">
        <v>#N/A Invalid Field</v>
        <stp/>
        <stp>##V3_BDHV12</stp>
        <stp>3128GWX78 Mtge</stp>
        <stp>MTG_GEN_CPR_6M</stp>
        <stp>20090331</stp>
        <stp>20090331</stp>
        <stp>[Copy of 02_cpr_main.xlsx]data!R64C6</stp>
        <stp>Dts=H</stp>
        <tr r="F64" s="2"/>
      </tp>
      <tp t="s">
        <v>#N/A Invalid Field</v>
        <stp/>
        <stp>##V3_BDHV12</stp>
        <stp>3128GGA78 Mtge</stp>
        <stp>MTG_GEN_CPR_6M</stp>
        <stp>20090331</stp>
        <stp>20090331</stp>
        <stp>[Copy of 02_cpr_main.xlsx]data!R54C6</stp>
        <stp>Dts=H</stp>
        <tr r="F54" s="2"/>
      </tp>
      <tp t="s">
        <v>#N/A Invalid Field</v>
        <stp/>
        <stp>##V3_BDHV12</stp>
        <stp>3128GLE99 Mtge</stp>
        <stp>MTG_GEN_CPR_3M</stp>
        <stp>20090610</stp>
        <stp>20090610</stp>
        <stp>[Copy of 02_cpr_main.xlsx]data!R60C8</stp>
        <stp>Dts=H</stp>
        <tr r="H60" s="2"/>
      </tp>
      <tp t="s">
        <v>#N/A Invalid Field</v>
        <stp/>
        <stp>##V3_BDHV12</stp>
        <stp>3128M6LZ9 Mtge</stp>
        <stp>MTG_GEN_CPR_12M</stp>
        <stp>20090610</stp>
        <stp>20090610</stp>
        <stp>[Copy of 02_cpr_main.xlsx]data!R88C10</stp>
        <stp>Dts=H</stp>
        <tr r="J88" s="2"/>
      </tp>
      <tp t="s">
        <v>#N/A Invalid Field</v>
        <stp/>
        <stp>##V3_BDHV12</stp>
        <stp>3128M6AX6 Mtge</stp>
        <stp>MTG_GEN_CPR_12M</stp>
        <stp>20090610</stp>
        <stp>20090610</stp>
        <stp>[Copy of 02_cpr_main.xlsx]data!R87C10</stp>
        <stp>Dts=H</stp>
        <tr r="J87" s="2"/>
      </tp>
    </main>
    <main first="bloomberg.rtd">
      <tp>
        <v>1553.3</v>
        <stp/>
        <stp>##V3_BDPV12</stp>
        <stp>3128H4XA2 Mtge</stp>
        <stp xml:space="preserve">MTG_PL_PSA_3M </stp>
        <stp>[Copy of 02_cpr_main.xlsx]data!R66C14</stp>
        <tr r="N66" s="2"/>
      </tp>
      <tp>
        <v>0</v>
        <stp/>
        <stp>##V3_BDPV12</stp>
        <stp>3128H4XA2 Mtge</stp>
        <stp xml:space="preserve">MTG_PL_PSA_1M </stp>
        <stp>[Copy of 02_cpr_main.xlsx]data!R66C13</stp>
        <tr r="M66" s="2"/>
      </tp>
      <tp>
        <v>1291.8</v>
        <stp/>
        <stp>##V3_BDPV12</stp>
        <stp>3128H4XA2 Mtge</stp>
        <stp xml:space="preserve">MTG_PL_PSA_6M </stp>
        <stp>[Copy of 02_cpr_main.xlsx]data!R66C15</stp>
        <tr r="O66" s="2"/>
      </tp>
      <tp t="s">
        <v>#N/A Invalid Field</v>
        <stp/>
        <stp>##V3_BDHV12</stp>
        <stp>3128M6Q92 Mtge</stp>
        <stp>MTG_GEN_CPR_12M</stp>
        <stp>20090610</stp>
        <stp>20090610</stp>
        <stp>[Copy of 02_cpr_main.xlsx]data!R89C10</stp>
        <stp>Dts=H</stp>
        <tr r="J89" s="2"/>
      </tp>
      <tp>
        <v>1094</v>
        <stp/>
        <stp>##V3_BDPV12</stp>
        <stp>3128MBH26 Mtge</stp>
        <stp xml:space="preserve">MTG_PL_PSA_6M </stp>
        <stp>[Copy of 02_cpr_main.xlsx]data!R94C15</stp>
        <tr r="O94" s="2"/>
      </tp>
      <tp>
        <v>0</v>
        <stp/>
        <stp>##V3_BDPV12</stp>
        <stp>3128MBH26 Mtge</stp>
        <stp xml:space="preserve">MTG_PL_PSA_1M </stp>
        <stp>[Copy of 02_cpr_main.xlsx]data!R94C13</stp>
        <tr r="M94" s="2"/>
      </tp>
      <tp>
        <v>1472.4</v>
        <stp/>
        <stp>##V3_BDPV12</stp>
        <stp>3128MBH26 Mtge</stp>
        <stp xml:space="preserve">MTG_PL_PSA_3M </stp>
        <stp>[Copy of 02_cpr_main.xlsx]data!R94C14</stp>
        <tr r="N94" s="2"/>
      </tp>
      <tp>
        <v>12</v>
        <stp/>
        <stp>##V3_BDPV12</stp>
        <stp>3128NGF75 Mtge</stp>
        <stp xml:space="preserve">MTG_PL_PSA_3M </stp>
        <stp>[Copy of 02_cpr_main.xlsx]data!R99C14</stp>
        <tr r="N99" s="2"/>
      </tp>
      <tp>
        <v>4.3</v>
        <stp/>
        <stp>##V3_BDPV12</stp>
        <stp>3128NGF75 Mtge</stp>
        <stp xml:space="preserve">MTG_PL_PSA_6M </stp>
        <stp>[Copy of 02_cpr_main.xlsx]data!R99C15</stp>
        <tr r="O99" s="2"/>
      </tp>
      <tp>
        <v>-19.2</v>
        <stp/>
        <stp>##V3_BDPV12</stp>
        <stp>3128NGF75 Mtge</stp>
        <stp xml:space="preserve">MTG_PL_PSA_1M </stp>
        <stp>[Copy of 02_cpr_main.xlsx]data!R99C13</stp>
        <tr r="M99" s="2"/>
      </tp>
      <tp>
        <v>0.5</v>
        <stp/>
        <stp>##V3_BDPV12</stp>
        <stp>3128KWMW0 Mtge</stp>
        <stp xml:space="preserve">MTG_PL_PSA_1M </stp>
        <stp>[Copy of 02_cpr_main.xlsx]data!R75C13</stp>
        <tr r="M75" s="2"/>
      </tp>
      <tp>
        <v>0.5</v>
        <stp/>
        <stp>##V3_BDPV12</stp>
        <stp>3128KWMW0 Mtge</stp>
        <stp xml:space="preserve">MTG_PL_PSA_6M </stp>
        <stp>[Copy of 02_cpr_main.xlsx]data!R75C15</stp>
        <tr r="O75" s="2"/>
      </tp>
      <tp>
        <v>0.5</v>
        <stp/>
        <stp>##V3_BDPV12</stp>
        <stp>3128KWMW0 Mtge</stp>
        <stp xml:space="preserve">MTG_PL_PSA_3M </stp>
        <stp>[Copy of 02_cpr_main.xlsx]data!R75C14</stp>
        <tr r="N75" s="2"/>
      </tp>
      <tp>
        <v>0</v>
        <stp/>
        <stp>##V3_BDPV12</stp>
        <stp>3128LUSW7 Mtge</stp>
        <stp xml:space="preserve">MTG_PL_PSA_6M </stp>
        <stp>[Copy of 02_cpr_main.xlsx]data!R80C15</stp>
        <tr r="O80" s="2"/>
      </tp>
      <tp>
        <v>-106.1</v>
        <stp/>
        <stp>##V3_BDPV12</stp>
        <stp>3128LUSW7 Mtge</stp>
        <stp xml:space="preserve">MTG_PL_PSA_1M </stp>
        <stp>[Copy of 02_cpr_main.xlsx]data!R80C13</stp>
        <tr r="M80" s="2"/>
      </tp>
      <tp>
        <v>0</v>
        <stp/>
        <stp>##V3_BDPV12</stp>
        <stp>3128LUSW7 Mtge</stp>
        <stp xml:space="preserve">MTG_PL_PSA_3M </stp>
        <stp>[Copy of 02_cpr_main.xlsx]data!R80C14</stp>
        <tr r="N80" s="2"/>
      </tp>
      <tp>
        <v>68.400000000000006</v>
        <stp/>
        <stp>##V3_BDPV12</stp>
        <stp>3128LXDE7 Mtge</stp>
        <stp xml:space="preserve">MTG_PL_PSA_3M </stp>
        <stp>[Copy of 02_cpr_main.xlsx]data!R81C14</stp>
        <tr r="N81" s="2"/>
      </tp>
      <tp>
        <v>41.5</v>
        <stp/>
        <stp>##V3_BDPV12</stp>
        <stp>3128LXDE7 Mtge</stp>
        <stp xml:space="preserve">MTG_PL_PSA_1M </stp>
        <stp>[Copy of 02_cpr_main.xlsx]data!R81C13</stp>
        <tr r="M81" s="2"/>
      </tp>
      <tp>
        <v>90.9</v>
        <stp/>
        <stp>##V3_BDPV12</stp>
        <stp>3128LXDE7 Mtge</stp>
        <stp xml:space="preserve">MTG_PL_PSA_6M </stp>
        <stp>[Copy of 02_cpr_main.xlsx]data!R81C15</stp>
        <tr r="O81" s="2"/>
      </tp>
      <tp t="s">
        <v>#N/A N/A</v>
        <stp/>
        <stp>##V3_BDPV12</stp>
        <stp>31376J2W8 Mtge</stp>
        <stp>MTG_PREPAY_SPEED</stp>
        <stp>[Copy of 02_cpr_main.xlsx]data!R186C12</stp>
        <tr r="L186" s="2"/>
      </tp>
      <tp>
        <v>169</v>
        <stp/>
        <stp>##V3_BDPV12</stp>
        <stp>31408HXP5 Mtge</stp>
        <stp>MTG_PREPAY_SPEED</stp>
        <stp>[Copy of 02_cpr_main.xlsx]data!R351C12</stp>
        <tr r="L351" s="2"/>
      </tp>
      <tp>
        <v>40.44</v>
        <stp/>
        <stp>##V3_BDPV12</stp>
        <stp>31407WSP9 Mtge</stp>
        <stp>MTG_PREPAY_SPEED</stp>
        <stp>[Copy of 02_cpr_main.xlsx]data!R347C12</stp>
        <tr r="L347" s="2"/>
      </tp>
      <tp t="s">
        <v>#N/A N/A</v>
        <stp/>
        <stp>##V3_BDPV12</stp>
        <stp>31411RCQ9 Mtge</stp>
        <stp>MTG_PREPAY_SPEED</stp>
        <stp>[Copy of 02_cpr_main.xlsx]data!R393C12</stp>
        <tr r="L393" s="2"/>
      </tp>
      <tp>
        <v>171</v>
        <stp/>
        <stp>##V3_BDPV12</stp>
        <stp>31380V6X9 Mtge</stp>
        <stp>MTG_PREPAY_SPEED</stp>
        <stp>[Copy of 02_cpr_main.xlsx]data!R193C12</stp>
        <tr r="L193" s="2"/>
      </tp>
      <tp>
        <v>3.16</v>
        <stp/>
        <stp>##V3_BDPV12</stp>
        <stp>31385WZX0 Mtge</stp>
        <stp>MTG_PREPAY_SPEED</stp>
        <stp>[Copy of 02_cpr_main.xlsx]data!R219C12</stp>
        <tr r="L219" s="2"/>
      </tp>
      <tp t="s">
        <v>#N/A N/A</v>
        <stp/>
        <stp>##V3_BDPV12</stp>
        <stp>31371KNW7 Mtge</stp>
        <stp>MTG_PREPAY_SPEED</stp>
        <stp>[Copy of 02_cpr_main.xlsx]data!R172C12</stp>
        <tr r="L172" s="2"/>
      </tp>
      <tp t="s">
        <v>#N/A N/A</v>
        <stp/>
        <stp>##V3_BDPV12</stp>
        <stp>31294KRY3 Mtge</stp>
        <stp>MTG_PREPAY_SPEED</stp>
        <stp>[Copy of 02_cpr_main.xlsx]data!R133C12</stp>
        <tr r="L133" s="2"/>
      </tp>
      <tp t="s">
        <v>#N/A N/A</v>
        <stp/>
        <stp>##V3_BDPV12</stp>
        <stp>36290W3Y6 Mtge</stp>
        <stp>MTG_PREPAY_SPEED</stp>
        <stp>[Copy of 02_cpr_main.xlsx]data!R498C12</stp>
        <tr r="L498" s="2"/>
      </tp>
      <tp>
        <v>161</v>
        <stp/>
        <stp>##V3_BDPV12</stp>
        <stp>31371LQW2 Mtge</stp>
        <stp>MTG_PREPAY_SPEED</stp>
        <stp>[Copy of 02_cpr_main.xlsx]data!R176C12</stp>
        <tr r="L176" s="2"/>
      </tp>
      <tp>
        <v>139</v>
        <stp/>
        <stp>##V3_BDPV12</stp>
        <stp>36211DPQ7 Mtge</stp>
        <stp>MTG_PREPAY_SPEED</stp>
        <stp>[Copy of 02_cpr_main.xlsx]data!R486C12</stp>
        <tr r="L486" s="2"/>
      </tp>
      <tp>
        <v>169</v>
        <stp/>
        <stp>##V3_BDPV12</stp>
        <stp>31410C3Q3 Mtge</stp>
        <stp>MTG_PREPAY_SPEED</stp>
        <stp>[Copy of 02_cpr_main.xlsx]data!R357C12</stp>
        <tr r="L357" s="2"/>
      </tp>
      <tp t="s">
        <v>#N/A N/A</v>
        <stp/>
        <stp>##V3_BDPV12</stp>
        <stp>31401MDP3 Mtge</stp>
        <stp>MTG_PREPAY_SPEED</stp>
        <stp>[Copy of 02_cpr_main.xlsx]data!R258C12</stp>
        <tr r="L258" s="2"/>
      </tp>
      <tp t="s">
        <v>#N/A Invalid Field</v>
        <stp/>
        <stp>##V3_BDHV12</stp>
        <stp>01N042641 Mtge</stp>
        <stp>MTG_GEN_CPR_6M</stp>
        <stp>20090610</stp>
        <stp>20090610</stp>
        <stp>[Copy of 02_cpr_main.xlsx]data!R14C9</stp>
        <stp>Dts=H</stp>
        <tr r="I14" s="2"/>
      </tp>
      <tp t="s">
        <v>#N/A Invalid Field</v>
        <stp/>
        <stp>##V3_BDHV12</stp>
        <stp>01N060643 Mtge</stp>
        <stp>MTG_GEN_CPR_6M</stp>
        <stp>20090610</stp>
        <stp>20090610</stp>
        <stp>[Copy of 02_cpr_main.xlsx]data!R16C9</stp>
        <stp>Dts=H</stp>
        <tr r="I16" s="2"/>
      </tp>
      <tp t="s">
        <v>#N/A Invalid Field</v>
        <stp/>
        <stp>##V3_BDHV12</stp>
        <stp>01F060642 Mtge</stp>
        <stp>MTG_GEN_CPR_6M</stp>
        <stp>20090610</stp>
        <stp>20090610</stp>
        <stp>[Copy of 02_cpr_main.xlsx]data!R11C9</stp>
        <stp>Dts=H</stp>
        <tr r="I11" s="2"/>
      </tp>
      <tp t="s">
        <v>#N/A Invalid Field</v>
        <stp/>
        <stp>##V3_BDHV12</stp>
        <stp>02R050440 Mtge</stp>
        <stp>MTG_GEN_CPR_6M</stp>
        <stp>20090610</stp>
        <stp>20090610</stp>
        <stp>[Copy of 02_cpr_main.xlsx]data!R21C9</stp>
        <stp>Dts=H</stp>
        <tr r="I21" s="2"/>
      </tp>
      <tp t="s">
        <v>#N/A Invalid Field</v>
        <stp/>
        <stp>##V3_BDHV12</stp>
        <stp>21H052645 Mtge</stp>
        <stp>MTG_GEN_CPR_6M</stp>
        <stp>20090610</stp>
        <stp>20090610</stp>
        <stp>[Copy of 02_cpr_main.xlsx]data!R26C9</stp>
        <stp>Dts=H</stp>
        <tr r="I26" s="2"/>
      </tp>
      <tp t="s">
        <v>#N/A Invalid Field</v>
        <stp/>
        <stp>##V3_BDHV12</stp>
        <stp>02R052446 Mtge</stp>
        <stp>MTG_GEN_CPR_6M</stp>
        <stp>20090610</stp>
        <stp>20090610</stp>
        <stp>[Copy of 02_cpr_main.xlsx]data!R23C9</stp>
        <stp>Dts=H</stp>
        <tr r="I23" s="2"/>
      </tp>
      <tp t="s">
        <v>#N/A Invalid Field</v>
        <stp/>
        <stp>##V3_BDHV12</stp>
        <stp>02R042447 Mtge</stp>
        <stp>MTG_GEN_CPR_6M</stp>
        <stp>20090610</stp>
        <stp>20090610</stp>
        <stp>[Copy of 02_cpr_main.xlsx]data!R19C9</stp>
        <stp>Dts=H</stp>
        <tr r="I19" s="2"/>
      </tp>
      <tp t="s">
        <v>#N/A Invalid Field</v>
        <stp/>
        <stp>##V3_BDHV12</stp>
        <stp>02R042645 Mtge</stp>
        <stp>MTG_GEN_CPR_6M</stp>
        <stp>20090610</stp>
        <stp>20090610</stp>
        <stp>[Copy of 02_cpr_main.xlsx]data!R20C9</stp>
        <stp>Dts=H</stp>
        <tr r="I20" s="2"/>
      </tp>
      <tp t="s">
        <v>#N/A Invalid Field</v>
        <stp/>
        <stp>##V3_BDHV12</stp>
        <stp>01F060444 Mtge</stp>
        <stp>MTG_GEN_CPR_6M</stp>
        <stp>20090610</stp>
        <stp>20090610</stp>
        <stp>[Copy of 02_cpr_main.xlsx]data!R10C9</stp>
        <stp>Dts=H</stp>
        <tr r="I10" s="2"/>
      </tp>
      <tp t="s">
        <v>#N/A Invalid Field</v>
        <stp/>
        <stp>##V3_BDHV12</stp>
        <stp>02R052644 Mtge</stp>
        <stp>MTG_GEN_CPR_6M</stp>
        <stp>20090610</stp>
        <stp>20090610</stp>
        <stp>[Copy of 02_cpr_main.xlsx]data!R24C9</stp>
        <stp>Dts=H</stp>
        <tr r="I24" s="2"/>
      </tp>
      <tp t="s">
        <v>#N/A Invalid Field</v>
        <stp/>
        <stp>##V3_BDHV12</stp>
        <stp>02R060647 Mtge</stp>
        <stp>MTG_GEN_CPR_6M</stp>
        <stp>20090610</stp>
        <stp>20090610</stp>
        <stp>[Copy of 02_cpr_main.xlsx]data!R25C9</stp>
        <stp>Dts=H</stp>
        <tr r="I25" s="2"/>
      </tp>
      <tp t="s">
        <v>#N/A Invalid Field</v>
        <stp/>
        <stp>##V3_BDHV12</stp>
        <stp>01N062649 Mtge</stp>
        <stp>MTG_GEN_CPR_6M</stp>
        <stp>20090610</stp>
        <stp>20090610</stp>
        <stp>[Copy of 02_cpr_main.xlsx]data!R18C9</stp>
        <stp>Dts=H</stp>
        <tr r="I18" s="2"/>
      </tp>
      <tp t="s">
        <v>#N/A Invalid Field</v>
        <stp/>
        <stp>##V3_BDHV12</stp>
        <stp>21H060648 Mtge</stp>
        <stp>MTG_GEN_CPR_6M</stp>
        <stp>20090610</stp>
        <stp>20090610</stp>
        <stp>[Copy of 02_cpr_main.xlsx]data!R27C9</stp>
        <stp>Dts=H</stp>
        <tr r="I27" s="2"/>
      </tp>
      <tp t="s">
        <v>#N/A Invalid Field</v>
        <stp/>
        <stp>##V3_BDHV12</stp>
        <stp>02R050648 Mtge</stp>
        <stp>MTG_GEN_CPR_6M</stp>
        <stp>20090610</stp>
        <stp>20090610</stp>
        <stp>[Copy of 02_cpr_main.xlsx]data!R22C9</stp>
        <stp>Dts=H</stp>
        <tr r="I22" s="2"/>
      </tp>
      <tp t="s">
        <v>#N/A Invalid Field</v>
        <stp/>
        <stp>##V3_BDHV12</stp>
        <stp>01F062648 Mtge</stp>
        <stp>MTG_GEN_CPR_6M</stp>
        <stp>20090610</stp>
        <stp>20090610</stp>
        <stp>[Copy of 02_cpr_main.xlsx]data!R12C9</stp>
        <stp>Dts=H</stp>
        <tr r="I12" s="2"/>
      </tp>
      <tp t="s">
        <v>#N/A Invalid Field</v>
        <stp/>
        <stp>##V3_BDHV12</stp>
        <stp>3128GFA62 Mtge</stp>
        <stp>MTG_GEN_CPR_6M</stp>
        <stp>20090331</stp>
        <stp>20090331</stp>
        <stp>[Copy of 02_cpr_main.xlsx]data!R53C6</stp>
        <stp>Dts=H</stp>
        <tr r="F53" s="2"/>
      </tp>
      <tp t="s">
        <v>#N/A Invalid Field</v>
        <stp/>
        <stp>##V3_BDHV12</stp>
        <stp>3128M1L80 Mtge</stp>
        <stp>MTG_GEN_CPR_3M</stp>
        <stp>20090610</stp>
        <stp>20090610</stp>
        <stp>[Copy of 02_cpr_main.xlsx]data!R83C8</stp>
        <stp>Dts=H</stp>
        <tr r="H83" s="2"/>
      </tp>
      <tp t="s">
        <v>#N/A Invalid Field</v>
        <stp/>
        <stp>##V3_BDHV12</stp>
        <stp>3128M1B81 Mtge</stp>
        <stp>MTG_GEN_CPR_3M</stp>
        <stp>20090610</stp>
        <stp>20090610</stp>
        <stp>[Copy of 02_cpr_main.xlsx]data!R82C8</stp>
        <stp>Dts=H</stp>
        <tr r="H82" s="2"/>
      </tp>
    </main>
    <main first="bloomberg.rtd">
      <tp t="s">
        <v>#N/A Invalid Field</v>
        <stp/>
        <stp>##V3_BDHV12</stp>
        <stp>3128M6RS9 Mtge</stp>
        <stp>MTG_GEN_CPR_12M</stp>
        <stp>20090610</stp>
        <stp>20090610</stp>
        <stp>[Copy of 02_cpr_main.xlsx]data!R90C10</stp>
        <stp>Dts=H</stp>
        <tr r="J90" s="2"/>
      </tp>
      <tp>
        <v>116.8</v>
        <stp/>
        <stp>##V3_BDPV12</stp>
        <stp>3128M6AX6 Mtge</stp>
        <stp xml:space="preserve">MTG_PL_PSA_6M </stp>
        <stp>[Copy of 02_cpr_main.xlsx]data!R87C15</stp>
        <tr r="O87" s="2"/>
      </tp>
      <tp>
        <v>119.4</v>
        <stp/>
        <stp>##V3_BDPV12</stp>
        <stp>3128M6AX6 Mtge</stp>
        <stp xml:space="preserve">MTG_PL_PSA_1M </stp>
        <stp>[Copy of 02_cpr_main.xlsx]data!R87C13</stp>
        <tr r="M87" s="2"/>
      </tp>
      <tp t="s">
        <v>#N/A Invalid Field</v>
        <stp/>
        <stp>##V3_BDHV12</stp>
        <stp>3128M6UU0 Mtge</stp>
        <stp>MTG_GEN_CPR_12M</stp>
        <stp>20090610</stp>
        <stp>20090610</stp>
        <stp>[Copy of 02_cpr_main.xlsx]data!R91C10</stp>
        <stp>Dts=H</stp>
        <tr r="J91" s="2"/>
      </tp>
      <tp>
        <v>102.5</v>
        <stp/>
        <stp>##V3_BDPV12</stp>
        <stp>3128M6AX6 Mtge</stp>
        <stp xml:space="preserve">MTG_PL_PSA_3M </stp>
        <stp>[Copy of 02_cpr_main.xlsx]data!R87C14</stp>
        <tr r="N87" s="2"/>
      </tp>
      <tp t="s">
        <v>#N/A Invalid Field</v>
        <stp/>
        <stp>##V3_BDHV12</stp>
        <stp>3128L8QS7 Mtge</stp>
        <stp>MTG_GEN_CPR_12M</stp>
        <stp>20090610</stp>
        <stp>20090610</stp>
        <stp>[Copy of 02_cpr_main.xlsx]data!R77C10</stp>
        <stp>Dts=H</stp>
        <tr r="J77" s="2"/>
      </tp>
      <tp>
        <v>145.4</v>
        <stp/>
        <stp>##V3_BDPV12</stp>
        <stp>3128L8QS7 Mtge</stp>
        <stp xml:space="preserve">MTG_PL_PSA_3M </stp>
        <stp>[Copy of 02_cpr_main.xlsx]data!R77C14</stp>
        <tr r="N77" s="2"/>
      </tp>
      <tp>
        <v>349.3</v>
        <stp/>
        <stp>##V3_BDPV12</stp>
        <stp>3128L8QS7 Mtge</stp>
        <stp xml:space="preserve">MTG_PL_PSA_1M </stp>
        <stp>[Copy of 02_cpr_main.xlsx]data!R77C13</stp>
        <tr r="M77" s="2"/>
      </tp>
      <tp>
        <v>272.89999999999998</v>
        <stp/>
        <stp>##V3_BDPV12</stp>
        <stp>3128L8QS7 Mtge</stp>
        <stp xml:space="preserve">MTG_PL_PSA_6M </stp>
        <stp>[Copy of 02_cpr_main.xlsx]data!R77C15</stp>
        <tr r="O77" s="2"/>
      </tp>
      <tp>
        <v>1666.7</v>
        <stp/>
        <stp>##V3_BDPV12</stp>
        <stp>3128MBZR1 Mtge</stp>
        <stp xml:space="preserve">MTG_PL_PSA_6M </stp>
        <stp>[Copy of 02_cpr_main.xlsx]data!R96C15</stp>
        <tr r="O96" s="2"/>
      </tp>
      <tp>
        <v>1666.7</v>
        <stp/>
        <stp>##V3_BDPV12</stp>
        <stp>3128MBZR1 Mtge</stp>
        <stp xml:space="preserve">MTG_PL_PSA_1M </stp>
        <stp>[Copy of 02_cpr_main.xlsx]data!R96C13</stp>
        <tr r="M96" s="2"/>
      </tp>
      <tp>
        <v>1666.7</v>
        <stp/>
        <stp>##V3_BDPV12</stp>
        <stp>3128MBZR1 Mtge</stp>
        <stp xml:space="preserve">MTG_PL_PSA_3M </stp>
        <stp>[Copy of 02_cpr_main.xlsx]data!R96C14</stp>
        <tr r="N96" s="2"/>
      </tp>
      <tp t="s">
        <v>#N/A N/A</v>
        <stp/>
        <stp>##V3_BDPV12</stp>
        <stp>31412PEV9 Mtge</stp>
        <stp>MTG_PREPAY_SPEED</stp>
        <stp>[Copy of 02_cpr_main.xlsx]data!R412C12</stp>
        <tr r="L412" s="2"/>
      </tp>
      <tp t="s">
        <v>#N/A N/A</v>
        <stp/>
        <stp>##V3_BDPV12</stp>
        <stp>31374F2P3 Mtge</stp>
        <stp>MTG_PREPAY_SPEED</stp>
        <stp>[Copy of 02_cpr_main.xlsx]data!R182C12</stp>
        <tr r="L182" s="2"/>
      </tp>
      <tp>
        <v>182</v>
        <stp/>
        <stp>##V3_BDPV12</stp>
        <stp>31410GFV0 Mtge</stp>
        <stp>MTG_PREPAY_SPEED</stp>
        <stp>[Copy of 02_cpr_main.xlsx]data!R366C12</stp>
        <tr r="L366" s="2"/>
      </tp>
      <tp>
        <v>182</v>
        <stp/>
        <stp>##V3_BDPV12</stp>
        <stp>31412DYV4 Mtge</stp>
        <stp>MTG_PREPAY_SPEED</stp>
        <stp>[Copy of 02_cpr_main.xlsx]data!R404C12</stp>
        <tr r="L404" s="2"/>
      </tp>
      <tp>
        <v>182</v>
        <stp/>
        <stp>##V3_BDPV12</stp>
        <stp>31414KAV2 Mtge</stp>
        <stp>MTG_PREPAY_SPEED</stp>
        <stp>[Copy of 02_cpr_main.xlsx]data!R440C12</stp>
        <tr r="L440" s="2"/>
      </tp>
      <tp>
        <v>218</v>
        <stp/>
        <stp>##V3_BDPV12</stp>
        <stp>31412XSV7 Mtge</stp>
        <stp>MTG_PREPAY_SPEED</stp>
        <stp>[Copy of 02_cpr_main.xlsx]data!R414C12</stp>
        <tr r="L414" s="2"/>
      </tp>
      <tp t="s">
        <v>#N/A N/A</v>
        <stp/>
        <stp>##V3_BDPV12</stp>
        <stp>36201JFW4 Mtge</stp>
        <stp>MTG_PREPAY_SPEED</stp>
        <stp>[Copy of 02_cpr_main.xlsx]data!R472C12</stp>
        <tr r="L472" s="2"/>
      </tp>
      <tp t="s">
        <v>#N/A Invalid Field</v>
        <stp/>
        <stp>##V3_BDHV12</stp>
        <stp>3128NGF75 Mtge</stp>
        <stp>MTG_GEN_CPR_3M</stp>
        <stp>20090331</stp>
        <stp>20090331</stp>
        <stp>[Copy of 02_cpr_main.xlsx]data!R99C5</stp>
        <stp>Dts=H</stp>
        <tr r="E99" s="2"/>
      </tp>
      <tp t="s">
        <v>#N/A Invalid Field</v>
        <stp/>
        <stp>##V3_BDHV12</stp>
        <stp>3128NFL70 Mtge</stp>
        <stp>MTG_GEN_CPR_3M</stp>
        <stp>20090331</stp>
        <stp>20090331</stp>
        <stp>[Copy of 02_cpr_main.xlsx]data!R97C5</stp>
        <stp>Dts=H</stp>
        <tr r="E97" s="2"/>
      </tp>
      <tp t="s">
        <v>#N/A Invalid Field</v>
        <stp/>
        <stp>##V3_BDHV12</stp>
        <stp>3128GWX78 Mtge</stp>
        <stp>MTG_GEN_CPR_3M</stp>
        <stp>20090331</stp>
        <stp>20090331</stp>
        <stp>[Copy of 02_cpr_main.xlsx]data!R64C5</stp>
        <stp>Dts=H</stp>
        <tr r="E64" s="2"/>
      </tp>
      <tp t="s">
        <v>#N/A Invalid Field</v>
        <stp/>
        <stp>##V3_BDHV12</stp>
        <stp>3128GGA78 Mtge</stp>
        <stp>MTG_GEN_CPR_3M</stp>
        <stp>20090331</stp>
        <stp>20090331</stp>
        <stp>[Copy of 02_cpr_main.xlsx]data!R54C5</stp>
        <stp>Dts=H</stp>
        <tr r="E54" s="2"/>
      </tp>
      <tp>
        <v>0</v>
        <stp/>
        <stp>##V3_BDPV12</stp>
        <stp>3128M1B81 Mtge</stp>
        <stp xml:space="preserve">MTG_PL_PSA_1M </stp>
        <stp>[Copy of 02_cpr_main.xlsx]data!R82C13</stp>
        <tr r="M82" s="2"/>
      </tp>
      <tp>
        <v>972.3</v>
        <stp/>
        <stp>##V3_BDPV12</stp>
        <stp>3128M1B81 Mtge</stp>
        <stp xml:space="preserve">MTG_PL_PSA_6M </stp>
        <stp>[Copy of 02_cpr_main.xlsx]data!R82C15</stp>
        <tr r="O82" s="2"/>
      </tp>
      <tp>
        <v>255.9</v>
        <stp/>
        <stp>##V3_BDPV12</stp>
        <stp>3128M1B81 Mtge</stp>
        <stp xml:space="preserve">MTG_PL_PSA_3M </stp>
        <stp>[Copy of 02_cpr_main.xlsx]data!R82C14</stp>
        <tr r="N82" s="2"/>
      </tp>
    </main>
    <main first="bloomberg.rtd">
      <tp>
        <v>-0.8</v>
        <stp/>
        <stp>##V3_BDPV12</stp>
        <stp>3128NGEM3 Mtge</stp>
        <stp xml:space="preserve">MTG_PL_PSA_3M </stp>
        <stp>[Copy of 02_cpr_main.xlsx]data!R98C14</stp>
        <tr r="N98" s="2"/>
      </tp>
      <tp>
        <v>-0.9</v>
        <stp/>
        <stp>##V3_BDPV12</stp>
        <stp>3128NGEM3 Mtge</stp>
        <stp xml:space="preserve">MTG_PL_PSA_1M </stp>
        <stp>[Copy of 02_cpr_main.xlsx]data!R98C13</stp>
        <tr r="M98" s="2"/>
      </tp>
      <tp>
        <v>-0.8</v>
        <stp/>
        <stp>##V3_BDPV12</stp>
        <stp>3128NGEM3 Mtge</stp>
        <stp xml:space="preserve">MTG_PL_PSA_6M </stp>
        <stp>[Copy of 02_cpr_main.xlsx]data!R98C15</stp>
        <tr r="O98" s="2"/>
      </tp>
      <tp>
        <v>11.7</v>
        <stp/>
        <stp>##V3_BDPV12</stp>
        <stp>3128LDMN1 Mtge</stp>
        <stp xml:space="preserve">MTG_PL_PSA_1M </stp>
        <stp>[Copy of 02_cpr_main.xlsx]data!R78C13</stp>
        <tr r="M78" s="2"/>
      </tp>
      <tp>
        <v>287.7</v>
        <stp/>
        <stp>##V3_BDPV12</stp>
        <stp>3128LDMN1 Mtge</stp>
        <stp xml:space="preserve">MTG_PL_PSA_6M </stp>
        <stp>[Copy of 02_cpr_main.xlsx]data!R78C15</stp>
        <tr r="O78" s="2"/>
      </tp>
      <tp>
        <v>13.4</v>
        <stp/>
        <stp>##V3_BDPV12</stp>
        <stp>3128LDMN1 Mtge</stp>
        <stp xml:space="preserve">MTG_PL_PSA_3M </stp>
        <stp>[Copy of 02_cpr_main.xlsx]data!R78C14</stp>
        <tr r="N78" s="2"/>
      </tp>
      <tp>
        <v>0.53</v>
        <stp/>
        <stp>##V3_BDPV12</stp>
        <stp>31406DJV9 Mtge</stp>
        <stp>MTG_PREPAY_SPEED</stp>
        <stp>[Copy of 02_cpr_main.xlsx]data!R334C12</stp>
        <tr r="L334" s="2"/>
      </tp>
      <tp>
        <v>125</v>
        <stp/>
        <stp>##V3_BDPV12</stp>
        <stp>31402RCV9 Mtge</stp>
        <stp>MTG_PREPAY_SPEED</stp>
        <stp>[Copy of 02_cpr_main.xlsx]data!R280C12</stp>
        <tr r="L280" s="2"/>
      </tp>
      <tp>
        <v>7.44</v>
        <stp/>
        <stp>##V3_BDPV12</stp>
        <stp>31402RLV9 Mtge</stp>
        <stp>MTG_PREPAY_SPEED</stp>
        <stp>[Copy of 02_cpr_main.xlsx]data!R286C12</stp>
        <tr r="L286" s="2"/>
      </tp>
      <tp t="s">
        <v>#N/A N/A</v>
        <stp/>
        <stp>##V3_BDPV12</stp>
        <stp>31404JHV0 Mtge</stp>
        <stp>MTG_PREPAY_SPEED</stp>
        <stp>[Copy of 02_cpr_main.xlsx]data!R315C12</stp>
        <tr r="L315" s="2"/>
      </tp>
      <tp t="s">
        <v>#N/A N/A</v>
        <stp/>
        <stp>##V3_BDPV12</stp>
        <stp>31410UQW5 Mtge</stp>
        <stp>MTG_PREPAY_SPEED</stp>
        <stp>[Copy of 02_cpr_main.xlsx]data!R385C12</stp>
        <tr r="L385" s="2"/>
      </tp>
      <tp>
        <v>0.01</v>
        <stp/>
        <stp>##V3_BDPV12</stp>
        <stp>31405XXV0 Mtge</stp>
        <stp>MTG_PREPAY_SPEED</stp>
        <stp>[Copy of 02_cpr_main.xlsx]data!R330C12</stp>
        <tr r="L330" s="2"/>
      </tp>
      <tp t="s">
        <v>#N/A N/A</v>
        <stp/>
        <stp>##V3_BDPV12</stp>
        <stp>31413BEW7 Mtge</stp>
        <stp>MTG_PREPAY_SPEED</stp>
        <stp>[Copy of 02_cpr_main.xlsx]data!R417C12</stp>
        <tr r="L417" s="2"/>
      </tp>
      <tp t="s">
        <v>#N/A Invalid Field</v>
        <stp/>
        <stp>##V3_BDHV12</stp>
        <stp>3128GFA62 Mtge</stp>
        <stp>MTG_GEN_CPR_3M</stp>
        <stp>20090331</stp>
        <stp>20090331</stp>
        <stp>[Copy of 02_cpr_main.xlsx]data!R53C5</stp>
        <stp>Dts=H</stp>
        <tr r="E53" s="2"/>
      </tp>
      <tp t="s">
        <v>#N/A Invalid Field</v>
        <stp/>
        <stp>##V3_BDHV12</stp>
        <stp>3128M1B81 Mtge</stp>
        <stp>MTG_GEN_CPR_12M</stp>
        <stp>20090610</stp>
        <stp>20090610</stp>
        <stp>[Copy of 02_cpr_main.xlsx]data!R82C10</stp>
        <stp>Dts=H</stp>
        <tr r="J82" s="2"/>
      </tp>
      <tp t="s">
        <v>#N/A Invalid Field</v>
        <stp/>
        <stp>##V3_BDHV12</stp>
        <stp>3128M1L80 Mtge</stp>
        <stp>MTG_GEN_CPR_12M</stp>
        <stp>20090610</stp>
        <stp>20090610</stp>
        <stp>[Copy of 02_cpr_main.xlsx]data!R83C10</stp>
        <stp>Dts=H</stp>
        <tr r="J83" s="2"/>
      </tp>
      <tp>
        <v>911.6</v>
        <stp/>
        <stp>##V3_BDPV12</stp>
        <stp>3128M1L80 Mtge</stp>
        <stp xml:space="preserve">MTG_PL_PSA_3M </stp>
        <stp>[Copy of 02_cpr_main.xlsx]data!R83C14</stp>
        <tr r="N83" s="2"/>
      </tp>
      <tp>
        <v>0</v>
        <stp/>
        <stp>##V3_BDPV12</stp>
        <stp>3128M1L80 Mtge</stp>
        <stp xml:space="preserve">MTG_PL_PSA_1M </stp>
        <stp>[Copy of 02_cpr_main.xlsx]data!R83C13</stp>
        <tr r="M83" s="2"/>
      </tp>
      <tp>
        <v>1117.5999999999999</v>
        <stp/>
        <stp>##V3_BDPV12</stp>
        <stp>3128M1L80 Mtge</stp>
        <stp xml:space="preserve">MTG_PL_PSA_6M </stp>
        <stp>[Copy of 02_cpr_main.xlsx]data!R83C15</stp>
        <tr r="O83" s="2"/>
      </tp>
      <tp>
        <v>13.8</v>
        <stp/>
        <stp>##V3_BDPV12</stp>
        <stp>3128L7UY1 Mtge</stp>
        <stp xml:space="preserve">MTG_PL_PSA_1M </stp>
        <stp>[Copy of 02_cpr_main.xlsx]data!R76C13</stp>
        <tr r="M76" s="2"/>
      </tp>
      <tp>
        <v>210.6</v>
        <stp/>
        <stp>##V3_BDPV12</stp>
        <stp>3128L7UY1 Mtge</stp>
        <stp xml:space="preserve">MTG_PL_PSA_6M </stp>
        <stp>[Copy of 02_cpr_main.xlsx]data!R76C15</stp>
        <tr r="O76" s="2"/>
      </tp>
      <tp>
        <v>17.7</v>
        <stp/>
        <stp>##V3_BDPV12</stp>
        <stp>3128L7UY1 Mtge</stp>
        <stp xml:space="preserve">MTG_PL_PSA_3M </stp>
        <stp>[Copy of 02_cpr_main.xlsx]data!R76C14</stp>
        <tr r="N76" s="2"/>
      </tp>
      <tp>
        <v>3.4</v>
        <stp/>
        <stp>##V3_BDPV12</stp>
        <stp>3128M6UU0 Mtge</stp>
        <stp xml:space="preserve">MTG_PL_PSA_3M </stp>
        <stp>[Copy of 02_cpr_main.xlsx]data!R91C14</stp>
        <tr r="N91" s="2"/>
      </tp>
      <tp>
        <v>3.5</v>
        <stp/>
        <stp>##V3_BDPV12</stp>
        <stp>3128M6UU0 Mtge</stp>
        <stp xml:space="preserve">MTG_PL_PSA_1M </stp>
        <stp>[Copy of 02_cpr_main.xlsx]data!R91C13</stp>
        <tr r="M91" s="2"/>
      </tp>
      <tp>
        <v>7.3</v>
        <stp/>
        <stp>##V3_BDPV12</stp>
        <stp>3128M6UU0 Mtge</stp>
        <stp xml:space="preserve">MTG_PL_PSA_6M </stp>
        <stp>[Copy of 02_cpr_main.xlsx]data!R91C15</stp>
        <tr r="O91" s="2"/>
      </tp>
      <tp>
        <v>86.6</v>
        <stp/>
        <stp>##V3_BDPV12</stp>
        <stp>3128M4VW0 Mtge</stp>
        <stp xml:space="preserve">MTG_PL_PSA_3M </stp>
        <stp>[Copy of 02_cpr_main.xlsx]data!R85C14</stp>
        <tr r="N85" s="2"/>
      </tp>
      <tp>
        <v>82.7</v>
        <stp/>
        <stp>##V3_BDPV12</stp>
        <stp>3128M4VW0 Mtge</stp>
        <stp xml:space="preserve">MTG_PL_PSA_1M </stp>
        <stp>[Copy of 02_cpr_main.xlsx]data!R85C13</stp>
        <tr r="M85" s="2"/>
      </tp>
      <tp>
        <v>86.1</v>
        <stp/>
        <stp>##V3_BDPV12</stp>
        <stp>3128M4VW0 Mtge</stp>
        <stp xml:space="preserve">MTG_PL_PSA_6M </stp>
        <stp>[Copy of 02_cpr_main.xlsx]data!R85C15</stp>
        <tr r="O85" s="2"/>
      </tp>
      <tp>
        <v>0</v>
        <stp/>
        <stp>##V3_BDPV12</stp>
        <stp>3128MB3A3 Mtge</stp>
        <stp xml:space="preserve">MTG_PL_PSA_1M </stp>
        <stp>[Copy of 02_cpr_main.xlsx]data!R92C13</stp>
        <tr r="M92" s="2"/>
      </tp>
      <tp>
        <v>1442.5</v>
        <stp/>
        <stp>##V3_BDPV12</stp>
        <stp>3128MB3A3 Mtge</stp>
        <stp xml:space="preserve">MTG_PL_PSA_6M </stp>
        <stp>[Copy of 02_cpr_main.xlsx]data!R92C15</stp>
        <tr r="O92" s="2"/>
      </tp>
      <tp>
        <v>1529.8</v>
        <stp/>
        <stp>##V3_BDPV12</stp>
        <stp>3128MB3A3 Mtge</stp>
        <stp xml:space="preserve">MTG_PL_PSA_3M </stp>
        <stp>[Copy of 02_cpr_main.xlsx]data!R92C14</stp>
        <tr r="N92" s="2"/>
      </tp>
      <tp>
        <v>1666.7</v>
        <stp/>
        <stp>##V3_BDPV12</stp>
        <stp>3128NFL70 Mtge</stp>
        <stp xml:space="preserve">MTG_PL_PSA_3M </stp>
        <stp>[Copy of 02_cpr_main.xlsx]data!R97C14</stp>
        <tr r="N97" s="2"/>
      </tp>
      <tp>
        <v>1666.7</v>
        <stp/>
        <stp>##V3_BDPV12</stp>
        <stp>3128NFL70 Mtge</stp>
        <stp xml:space="preserve">MTG_PL_PSA_6M </stp>
        <stp>[Copy of 02_cpr_main.xlsx]data!R97C15</stp>
        <tr r="O97" s="2"/>
      </tp>
      <tp>
        <v>1666.7</v>
        <stp/>
        <stp>##V3_BDPV12</stp>
        <stp>3128NFL70 Mtge</stp>
        <stp xml:space="preserve">MTG_PL_PSA_1M </stp>
        <stp>[Copy of 02_cpr_main.xlsx]data!R97C13</stp>
        <tr r="M97" s="2"/>
      </tp>
      <tp>
        <v>0.3</v>
        <stp/>
        <stp>##V3_BDPV12</stp>
        <stp>3128LDPL2 Mtge</stp>
        <stp xml:space="preserve">MTG_PL_PSA_3M </stp>
        <stp>[Copy of 02_cpr_main.xlsx]data!R79C14</stp>
        <tr r="N79" s="2"/>
      </tp>
      <tp>
        <v>0.3</v>
        <stp/>
        <stp>##V3_BDPV12</stp>
        <stp>3128LDPL2 Mtge</stp>
        <stp xml:space="preserve">MTG_PL_PSA_6M </stp>
        <stp>[Copy of 02_cpr_main.xlsx]data!R79C15</stp>
        <tr r="O79" s="2"/>
      </tp>
      <tp>
        <v>0.3</v>
        <stp/>
        <stp>##V3_BDPV12</stp>
        <stp>3128LDPL2 Mtge</stp>
        <stp xml:space="preserve">MTG_PL_PSA_1M </stp>
        <stp>[Copy of 02_cpr_main.xlsx]data!R79C13</stp>
        <tr r="M79" s="2"/>
      </tp>
      <tp>
        <v>5.7</v>
        <stp/>
        <stp>##V3_BDPV12</stp>
        <stp>3128JNBN4 Mtge</stp>
        <stp xml:space="preserve">MTG_PL_PSA_3M </stp>
        <stp>[Copy of 02_cpr_main.xlsx]data!R70C14</stp>
        <tr r="N70" s="2"/>
      </tp>
      <tp>
        <v>5.5</v>
        <stp/>
        <stp>##V3_BDPV12</stp>
        <stp>3128JNBN4 Mtge</stp>
        <stp xml:space="preserve">MTG_PL_PSA_6M </stp>
        <stp>[Copy of 02_cpr_main.xlsx]data!R70C15</stp>
        <tr r="O70" s="2"/>
      </tp>
      <tp>
        <v>5.8</v>
        <stp/>
        <stp>##V3_BDPV12</stp>
        <stp>3128JNBN4 Mtge</stp>
        <stp xml:space="preserve">MTG_PL_PSA_1M </stp>
        <stp>[Copy of 02_cpr_main.xlsx]data!R70C13</stp>
        <tr r="M70" s="2"/>
      </tp>
      <tp>
        <v>1441.9</v>
        <stp/>
        <stp>##V3_BDPV12</stp>
        <stp>3128GLE99 Mtge</stp>
        <stp xml:space="preserve">MTG_PL_PSA_6M </stp>
        <stp>[Copy of 02_cpr_main.xlsx]data!R60C15</stp>
        <tr r="O60" s="2"/>
      </tp>
      <tp>
        <v>0</v>
        <stp/>
        <stp>##V3_BDPV12</stp>
        <stp>3128GLE99 Mtge</stp>
        <stp xml:space="preserve">MTG_PL_PSA_1M </stp>
        <stp>[Copy of 02_cpr_main.xlsx]data!R60C13</stp>
        <tr r="M60" s="2"/>
      </tp>
      <tp>
        <v>1603.9</v>
        <stp/>
        <stp>##V3_BDPV12</stp>
        <stp>3128GLE99 Mtge</stp>
        <stp xml:space="preserve">MTG_PL_PSA_3M </stp>
        <stp>[Copy of 02_cpr_main.xlsx]data!R60C14</stp>
        <tr r="N60" s="2"/>
      </tp>
      <tp>
        <v>0</v>
        <stp/>
        <stp>##V3_BDPV12</stp>
        <stp>3128GWD39 Mtge</stp>
        <stp xml:space="preserve">MTG_PL_PSA_1M </stp>
        <stp>[Copy of 02_cpr_main.xlsx]data!R62C13</stp>
        <tr r="M62" s="2"/>
      </tp>
      <tp>
        <v>-2020.6</v>
        <stp/>
        <stp>##V3_BDPV12</stp>
        <stp>3128GWD39 Mtge</stp>
        <stp xml:space="preserve">MTG_PL_PSA_6M </stp>
        <stp>[Copy of 02_cpr_main.xlsx]data!R62C15</stp>
        <tr r="O62" s="2"/>
      </tp>
      <tp>
        <v>-5836.6</v>
        <stp/>
        <stp>##V3_BDPV12</stp>
        <stp>3128GWD39 Mtge</stp>
        <stp xml:space="preserve">MTG_PL_PSA_3M </stp>
        <stp>[Copy of 02_cpr_main.xlsx]data!R62C14</stp>
        <tr r="N62" s="2"/>
      </tp>
      <tp>
        <v>2.0499999999999998</v>
        <stp/>
        <stp>##V3_BDPV12</stp>
        <stp>31405H4U9 Mtge</stp>
        <stp>MTG_PREPAY_SPEED</stp>
        <stp>[Copy of 02_cpr_main.xlsx]data!R325C12</stp>
        <tr r="L325" s="2"/>
      </tp>
      <tp>
        <v>169</v>
        <stp/>
        <stp>##V3_BDPV12</stp>
        <stp>31409TRU4 Mtge</stp>
        <stp>MTG_PREPAY_SPEED</stp>
        <stp>[Copy of 02_cpr_main.xlsx]data!R354C12</stp>
        <tr r="L354" s="2"/>
      </tp>
      <tp t="s">
        <v>#N/A N/A</v>
        <stp/>
        <stp>##V3_BDPV12</stp>
        <stp>31413NDT9 Mtge</stp>
        <stp>MTG_PREPAY_SPEED</stp>
        <stp>[Copy of 02_cpr_main.xlsx]data!R430C12</stp>
        <tr r="L430" s="2"/>
      </tp>
      <tp>
        <v>161</v>
        <stp/>
        <stp>##V3_BDPV12</stp>
        <stp>31403DWU9 Mtge</stp>
        <stp>MTG_PREPAY_SPEED</stp>
        <stp>[Copy of 02_cpr_main.xlsx]data!R304C12</stp>
        <tr r="L304" s="2"/>
      </tp>
      <tp t="s">
        <v>#N/A N/A</v>
        <stp/>
        <stp>##V3_BDPV12</stp>
        <stp>31402RGU7 Mtge</stp>
        <stp>MTG_PREPAY_SPEED</stp>
        <stp>[Copy of 02_cpr_main.xlsx]data!R283C12</stp>
        <tr r="L283" s="2"/>
      </tp>
      <tp t="s">
        <v>#N/A N/A</v>
        <stp/>
        <stp>##V3_BDPV12</stp>
        <stp>36200R6U1 Mtge</stp>
        <stp>MTG_PREPAY_SPEED</stp>
        <stp>[Copy of 02_cpr_main.xlsx]data!R469C12</stp>
        <tr r="L469" s="2"/>
      </tp>
      <tp t="s">
        <v>#N/A N/A</v>
        <stp/>
        <stp>##V3_BDPV12</stp>
        <stp>31410QPT2 Mtge</stp>
        <stp>MTG_PREPAY_SPEED</stp>
        <stp>[Copy of 02_cpr_main.xlsx]data!R381C12</stp>
        <tr r="L381" s="2"/>
      </tp>
      <tp t="s">
        <v>#N/A Invalid Field</v>
        <stp/>
        <stp>##V3_BDHV12</stp>
        <stp>01N060650 Mtge</stp>
        <stp>MTG_GEN_CPR_3M</stp>
        <stp>20090610</stp>
        <stp>20090610</stp>
        <stp>[Copy of 02_cpr_main.xlsx]data!R17C8</stp>
        <stp>Dts=H</stp>
        <tr r="H17" s="2"/>
      </tp>
      <tp t="s">
        <v>#N/A Invalid Field</v>
        <stp/>
        <stp>##V3_BDHV12</stp>
        <stp>31283KR34 Mtge</stp>
        <stp>MTG_GEN_CPR_6M</stp>
        <stp>20090331</stp>
        <stp>20090331</stp>
        <stp>[Copy of 02_cpr_main.xlsx]data!R36C6</stp>
        <stp>Dts=H</stp>
        <tr r="F36" s="2"/>
      </tp>
      <tp t="s">
        <v>#N/A Invalid Field</v>
        <stp/>
        <stp>##V3_BDHV12</stp>
        <stp>01F062655 Mtge</stp>
        <stp>MTG_GEN_CPR_3M</stp>
        <stp>20090610</stp>
        <stp>20090610</stp>
        <stp>[Copy of 02_cpr_main.xlsx]data!R13C8</stp>
        <stp>Dts=H</stp>
        <tr r="H13" s="2"/>
      </tp>
      <tp t="s">
        <v>#N/A Invalid Field</v>
        <stp/>
        <stp>##V3_BDHV12</stp>
        <stp>21H060655 Mtge</stp>
        <stp>MTG_GEN_CPR_3M</stp>
        <stp>20090610</stp>
        <stp>20090610</stp>
        <stp>[Copy of 02_cpr_main.xlsx]data!R28C8</stp>
        <stp>Dts=H</stp>
        <tr r="H28" s="2"/>
      </tp>
      <tp t="s">
        <v>#N/A Invalid Field</v>
        <stp/>
        <stp>##V3_BDHV12</stp>
        <stp>01N052657 Mtge</stp>
        <stp>MTG_GEN_CPR_3M</stp>
        <stp>20090610</stp>
        <stp>20090610</stp>
        <stp>[Copy of 02_cpr_main.xlsx]data!R15C8</stp>
        <stp>Dts=H</stp>
        <tr r="H15" s="2"/>
      </tp>
      <tp t="s">
        <v>#N/A Invalid Field</v>
        <stp/>
        <stp>##V3_BDHV12</stp>
        <stp>31288MC31 Mtge</stp>
        <stp>MTG_GEN_CPR_6M</stp>
        <stp>20090331</stp>
        <stp>20090331</stp>
        <stp>[Copy of 02_cpr_main.xlsx]data!R40C6</stp>
        <stp>Dts=H</stp>
        <tr r="F40" s="2"/>
      </tp>
      <tp t="s">
        <v>#N/A Invalid Field</v>
        <stp/>
        <stp>##V3_BDHV12</stp>
        <stp>3128M6Q92 Mtge</stp>
        <stp>MTG_GEN_CPR_6M</stp>
        <stp>20090610</stp>
        <stp>20090610</stp>
        <stp>[Copy of 02_cpr_main.xlsx]data!R89C9</stp>
        <stp>Dts=H</stp>
        <tr r="I89" s="2"/>
      </tp>
      <tp t="s">
        <v>#N/A Invalid Field</v>
        <stp/>
        <stp>##V3_BDHV12</stp>
        <stp>3128JLW39 Mtge</stp>
        <stp>MTG_GEN_CPR_6M</stp>
        <stp>20090331</stp>
        <stp>20090331</stp>
        <stp>[Copy of 02_cpr_main.xlsx]data!R67C6</stp>
        <stp>Dts=H</stp>
        <tr r="F67" s="2"/>
      </tp>
      <tp t="s">
        <v>#N/A Invalid Field</v>
        <stp/>
        <stp>##V3_BDHV12</stp>
        <stp>3128GCP55 Mtge</stp>
        <stp>MTG_GEN_CPR_3M</stp>
        <stp>20090331</stp>
        <stp>20090331</stp>
        <stp>[Copy of 02_cpr_main.xlsx]data!R42C5</stp>
        <stp>Dts=H</stp>
        <tr r="E42" s="2"/>
      </tp>
      <tp t="s">
        <v>#N/A Invalid Field</v>
        <stp/>
        <stp>##V3_BDHV12</stp>
        <stp>3128GWF37 Mtge</stp>
        <stp>MTG_GEN_CPR_6M</stp>
        <stp>20090331</stp>
        <stp>20090331</stp>
        <stp>[Copy of 02_cpr_main.xlsx]data!R63C6</stp>
        <stp>Dts=H</stp>
        <tr r="F63" s="2"/>
      </tp>
      <tp t="s">
        <v>#N/A Invalid Field</v>
        <stp/>
        <stp>##V3_BDHV12</stp>
        <stp>3128GWD39 Mtge</stp>
        <stp>MTG_GEN_CPR_6M</stp>
        <stp>20090331</stp>
        <stp>20090331</stp>
        <stp>[Copy of 02_cpr_main.xlsx]data!R62C6</stp>
        <stp>Dts=H</stp>
        <tr r="F62" s="2"/>
      </tp>
      <tp t="s">
        <v>#N/A Invalid Field</v>
        <stp/>
        <stp>##V3_BDHV12</stp>
        <stp>3128GLE99 Mtge</stp>
        <stp>MTG_GEN_CPR_6M</stp>
        <stp>20090610</stp>
        <stp>20090610</stp>
        <stp>[Copy of 02_cpr_main.xlsx]data!R60C9</stp>
        <stp>Dts=H</stp>
        <tr r="I60" s="2"/>
      </tp>
    </main>
    <main first="bloomberg.rtd">
      <tp>
        <v>411.6</v>
        <stp/>
        <stp>##V3_BDPV12</stp>
        <stp>3128K7DW5 Mtge</stp>
        <stp xml:space="preserve">MTG_PL_PSA_6M </stp>
        <stp>[Copy of 02_cpr_main.xlsx]data!R73C15</stp>
        <tr r="O73" s="2"/>
      </tp>
      <tp>
        <v>11.3</v>
        <stp/>
        <stp>##V3_BDPV12</stp>
        <stp>3128K7DW5 Mtge</stp>
        <stp xml:space="preserve">MTG_PL_PSA_1M </stp>
        <stp>[Copy of 02_cpr_main.xlsx]data!R73C13</stp>
        <tr r="M73" s="2"/>
      </tp>
      <tp>
        <v>715.9</v>
        <stp/>
        <stp>##V3_BDPV12</stp>
        <stp>3128K7DW5 Mtge</stp>
        <stp xml:space="preserve">MTG_PL_PSA_3M </stp>
        <stp>[Copy of 02_cpr_main.xlsx]data!R73C14</stp>
        <tr r="N73" s="2"/>
      </tp>
      <tp>
        <v>0.2</v>
        <stp/>
        <stp>##V3_BDPV12</stp>
        <stp>3128GGA78 Mtge</stp>
        <stp xml:space="preserve">MTG_PL_PSA_3M </stp>
        <stp>[Copy of 02_cpr_main.xlsx]data!R54C14</stp>
        <tr r="N54" s="2"/>
      </tp>
      <tp>
        <v>0</v>
        <stp/>
        <stp>##V3_BDPV12</stp>
        <stp>3128GGA78 Mtge</stp>
        <stp xml:space="preserve">MTG_PL_PSA_1M </stp>
        <stp>[Copy of 02_cpr_main.xlsx]data!R54C13</stp>
        <tr r="M54" s="2"/>
      </tp>
      <tp>
        <v>0.2</v>
        <stp/>
        <stp>##V3_BDPV12</stp>
        <stp>3128GGA78 Mtge</stp>
        <stp xml:space="preserve">MTG_PL_PSA_6M </stp>
        <stp>[Copy of 02_cpr_main.xlsx]data!R54C15</stp>
        <tr r="O54" s="2"/>
      </tp>
      <tp>
        <v>1658.3</v>
        <stp/>
        <stp>##V3_BDPV12</stp>
        <stp>3128GDPU8 Mtge</stp>
        <stp xml:space="preserve">MTG_PL_PSA_3M </stp>
        <stp>[Copy of 02_cpr_main.xlsx]data!R45C14</stp>
        <tr r="N45" s="2"/>
      </tp>
      <tp>
        <v>0</v>
        <stp/>
        <stp>##V3_BDPV12</stp>
        <stp>3128GDPU8 Mtge</stp>
        <stp xml:space="preserve">MTG_PL_PSA_1M </stp>
        <stp>[Copy of 02_cpr_main.xlsx]data!R45C13</stp>
        <tr r="M45" s="2"/>
      </tp>
      <tp>
        <v>1578.8</v>
        <stp/>
        <stp>##V3_BDPV12</stp>
        <stp>3128GDPU8 Mtge</stp>
        <stp xml:space="preserve">MTG_PL_PSA_6M </stp>
        <stp>[Copy of 02_cpr_main.xlsx]data!R45C15</stp>
        <tr r="O45" s="2"/>
      </tp>
      <tp>
        <v>253.1</v>
        <stp/>
        <stp>##V3_BDPV12</stp>
        <stp>3128JMHG5 Mtge</stp>
        <stp xml:space="preserve">MTG_PL_PSA_3M </stp>
        <stp>[Copy of 02_cpr_main.xlsx]data!R69C14</stp>
        <tr r="N69" s="2"/>
      </tp>
      <tp>
        <v>267.3</v>
        <stp/>
        <stp>##V3_BDPV12</stp>
        <stp>3128JMHG5 Mtge</stp>
        <stp xml:space="preserve">MTG_PL_PSA_1M </stp>
        <stp>[Copy of 02_cpr_main.xlsx]data!R69C13</stp>
        <tr r="M69" s="2"/>
      </tp>
      <tp>
        <v>257.60000000000002</v>
        <stp/>
        <stp>##V3_BDPV12</stp>
        <stp>3128JMHG5 Mtge</stp>
        <stp xml:space="preserve">MTG_PL_PSA_6M </stp>
        <stp>[Copy of 02_cpr_main.xlsx]data!R69C15</stp>
        <tr r="O69" s="2"/>
      </tp>
      <tp>
        <v>664.5</v>
        <stp/>
        <stp>##V3_BDPV12</stp>
        <stp>3128GWX78 Mtge</stp>
        <stp xml:space="preserve">MTG_PL_PSA_3M </stp>
        <stp>[Copy of 02_cpr_main.xlsx]data!R64C14</stp>
        <tr r="N64" s="2"/>
      </tp>
      <tp>
        <v>0</v>
        <stp/>
        <stp>##V3_BDPV12</stp>
        <stp>3128GWX78 Mtge</stp>
        <stp xml:space="preserve">MTG_PL_PSA_1M </stp>
        <stp>[Copy of 02_cpr_main.xlsx]data!R64C13</stp>
        <tr r="M64" s="2"/>
      </tp>
      <tp>
        <v>510.4</v>
        <stp/>
        <stp>##V3_BDPV12</stp>
        <stp>3128GWX78 Mtge</stp>
        <stp xml:space="preserve">MTG_PL_PSA_6M </stp>
        <stp>[Copy of 02_cpr_main.xlsx]data!R64C15</stp>
        <tr r="O64" s="2"/>
      </tp>
      <tp>
        <v>10.14</v>
        <stp/>
        <stp>##V3_BDPV12</stp>
        <stp>31403DQT9 Mtge</stp>
        <stp>MTG_PREPAY_SPEED</stp>
        <stp>[Copy of 02_cpr_main.xlsx]data!R300C12</stp>
        <tr r="L300" s="2"/>
      </tp>
      <tp>
        <v>169</v>
        <stp/>
        <stp>##V3_BDPV12</stp>
        <stp>31402CTT9 Mtge</stp>
        <stp>MTG_PREPAY_SPEED</stp>
        <stp>[Copy of 02_cpr_main.xlsx]data!R266C12</stp>
        <tr r="L266" s="2"/>
      </tp>
      <tp>
        <v>17.649999999999999</v>
        <stp/>
        <stp>##V3_BDPV12</stp>
        <stp>31403DTT6 Mtge</stp>
        <stp>MTG_PREPAY_SPEED</stp>
        <stp>[Copy of 02_cpr_main.xlsx]data!R302C12</stp>
        <tr r="L302" s="2"/>
      </tp>
      <tp>
        <v>125</v>
        <stp/>
        <stp>##V3_BDPV12</stp>
        <stp>31412T5U3 Mtge</stp>
        <stp>MTG_PREPAY_SPEED</stp>
        <stp>[Copy of 02_cpr_main.xlsx]data!R413C12</stp>
        <tr r="L413" s="2"/>
      </tp>
      <tp>
        <v>3.23</v>
        <stp/>
        <stp>##V3_BDPV12</stp>
        <stp>31403DET2 Mtge</stp>
        <stp>MTG_PREPAY_SPEED</stp>
        <stp>[Copy of 02_cpr_main.xlsx]data!R298C12</stp>
        <tr r="L298" s="2"/>
      </tp>
      <tp>
        <v>182</v>
        <stp/>
        <stp>##V3_BDPV12</stp>
        <stp>31413KBU4 Mtge</stp>
        <stp>MTG_PREPAY_SPEED</stp>
        <stp>[Copy of 02_cpr_main.xlsx]data!R424C12</stp>
        <tr r="L424" s="2"/>
      </tp>
      <tp t="s">
        <v>#N/A N/A</v>
        <stp/>
        <stp>##V3_BDPV12</stp>
        <stp>36213GSU6 Mtge</stp>
        <stp>MTG_PREPAY_SPEED</stp>
        <stp>[Copy of 02_cpr_main.xlsx]data!R488C12</stp>
        <tr r="L488" s="2"/>
      </tp>
      <tp t="s">
        <v>#N/A N/A</v>
        <stp/>
        <stp>##V3_BDPV12</stp>
        <stp>31371HQS0 Mtge</stp>
        <stp>MTG_PREPAY_SPEED</stp>
        <stp>[Copy of 02_cpr_main.xlsx]data!R165C12</stp>
        <tr r="L165" s="2"/>
      </tp>
      <tp t="s">
        <v>#N/A Invalid Field</v>
        <stp/>
        <stp>##V3_BDHV12</stp>
        <stp>01N042641 Mtge</stp>
        <stp>MTG_GEN_CPR_3M</stp>
        <stp>20090610</stp>
        <stp>20090610</stp>
        <stp>[Copy of 02_cpr_main.xlsx]data!R14C8</stp>
        <stp>Dts=H</stp>
        <tr r="H14" s="2"/>
      </tp>
      <tp t="s">
        <v>#N/A Invalid Field</v>
        <stp/>
        <stp>##V3_BDHV12</stp>
        <stp>01N060643 Mtge</stp>
        <stp>MTG_GEN_CPR_3M</stp>
        <stp>20090610</stp>
        <stp>20090610</stp>
        <stp>[Copy of 02_cpr_main.xlsx]data!R16C8</stp>
        <stp>Dts=H</stp>
        <tr r="H16" s="2"/>
      </tp>
      <tp t="s">
        <v>#N/A Invalid Field</v>
        <stp/>
        <stp>##V3_BDHV12</stp>
        <stp>01F060642 Mtge</stp>
        <stp>MTG_GEN_CPR_3M</stp>
        <stp>20090610</stp>
        <stp>20090610</stp>
        <stp>[Copy of 02_cpr_main.xlsx]data!R11C8</stp>
        <stp>Dts=H</stp>
        <tr r="H11" s="2"/>
      </tp>
      <tp t="s">
        <v>#N/A Invalid Field</v>
        <stp/>
        <stp>##V3_BDHV12</stp>
        <stp>02R050440 Mtge</stp>
        <stp>MTG_GEN_CPR_3M</stp>
        <stp>20090610</stp>
        <stp>20090610</stp>
        <stp>[Copy of 02_cpr_main.xlsx]data!R21C8</stp>
        <stp>Dts=H</stp>
        <tr r="H21" s="2"/>
      </tp>
      <tp t="s">
        <v>#N/A Invalid Field</v>
        <stp/>
        <stp>##V3_BDHV12</stp>
        <stp>21H052645 Mtge</stp>
        <stp>MTG_GEN_CPR_3M</stp>
        <stp>20090610</stp>
        <stp>20090610</stp>
        <stp>[Copy of 02_cpr_main.xlsx]data!R26C8</stp>
        <stp>Dts=H</stp>
        <tr r="H26" s="2"/>
      </tp>
      <tp t="s">
        <v>#N/A Invalid Field</v>
        <stp/>
        <stp>##V3_BDHV12</stp>
        <stp>02R052446 Mtge</stp>
        <stp>MTG_GEN_CPR_3M</stp>
        <stp>20090610</stp>
        <stp>20090610</stp>
        <stp>[Copy of 02_cpr_main.xlsx]data!R23C8</stp>
        <stp>Dts=H</stp>
        <tr r="H23" s="2"/>
      </tp>
      <tp t="s">
        <v>#N/A Invalid Field</v>
        <stp/>
        <stp>##V3_BDHV12</stp>
        <stp>02R042447 Mtge</stp>
        <stp>MTG_GEN_CPR_3M</stp>
        <stp>20090610</stp>
        <stp>20090610</stp>
        <stp>[Copy of 02_cpr_main.xlsx]data!R19C8</stp>
        <stp>Dts=H</stp>
        <tr r="H19" s="2"/>
      </tp>
      <tp t="s">
        <v>#N/A Invalid Field</v>
        <stp/>
        <stp>##V3_BDHV12</stp>
        <stp>02R042645 Mtge</stp>
        <stp>MTG_GEN_CPR_3M</stp>
        <stp>20090610</stp>
        <stp>20090610</stp>
        <stp>[Copy of 02_cpr_main.xlsx]data!R20C8</stp>
        <stp>Dts=H</stp>
        <tr r="H20" s="2"/>
      </tp>
      <tp t="s">
        <v>#N/A Invalid Field</v>
        <stp/>
        <stp>##V3_BDHV12</stp>
        <stp>01F060444 Mtge</stp>
        <stp>MTG_GEN_CPR_3M</stp>
        <stp>20090610</stp>
        <stp>20090610</stp>
        <stp>[Copy of 02_cpr_main.xlsx]data!R10C8</stp>
        <stp>Dts=H</stp>
        <tr r="H10" s="2"/>
      </tp>
      <tp t="s">
        <v>#N/A Invalid Field</v>
        <stp/>
        <stp>##V3_BDHV12</stp>
        <stp>02R052644 Mtge</stp>
        <stp>MTG_GEN_CPR_3M</stp>
        <stp>20090610</stp>
        <stp>20090610</stp>
        <stp>[Copy of 02_cpr_main.xlsx]data!R24C8</stp>
        <stp>Dts=H</stp>
        <tr r="H24" s="2"/>
      </tp>
      <tp t="s">
        <v>#N/A Invalid Field</v>
        <stp/>
        <stp>##V3_BDHV12</stp>
        <stp>02R060647 Mtge</stp>
        <stp>MTG_GEN_CPR_3M</stp>
        <stp>20090610</stp>
        <stp>20090610</stp>
        <stp>[Copy of 02_cpr_main.xlsx]data!R25C8</stp>
        <stp>Dts=H</stp>
        <tr r="H25" s="2"/>
      </tp>
      <tp t="s">
        <v>#N/A Invalid Field</v>
        <stp/>
        <stp>##V3_BDHV12</stp>
        <stp>31288MC23 Mtge</stp>
        <stp>MTG_GEN_CPR_6M</stp>
        <stp>20090331</stp>
        <stp>20090331</stp>
        <stp>[Copy of 02_cpr_main.xlsx]data!R39C6</stp>
        <stp>Dts=H</stp>
        <tr r="F39" s="2"/>
      </tp>
      <tp t="s">
        <v>#N/A Invalid Field</v>
        <stp/>
        <stp>##V3_BDHV12</stp>
        <stp>01N062649 Mtge</stp>
        <stp>MTG_GEN_CPR_3M</stp>
        <stp>20090610</stp>
        <stp>20090610</stp>
        <stp>[Copy of 02_cpr_main.xlsx]data!R18C8</stp>
        <stp>Dts=H</stp>
        <tr r="H18" s="2"/>
      </tp>
      <tp t="s">
        <v>#N/A Invalid Field</v>
        <stp/>
        <stp>##V3_BDHV12</stp>
        <stp>21H060648 Mtge</stp>
        <stp>MTG_GEN_CPR_3M</stp>
        <stp>20090610</stp>
        <stp>20090610</stp>
        <stp>[Copy of 02_cpr_main.xlsx]data!R27C8</stp>
        <stp>Dts=H</stp>
        <tr r="H27" s="2"/>
      </tp>
      <tp t="s">
        <v>#N/A Invalid Field</v>
        <stp/>
        <stp>##V3_BDHV12</stp>
        <stp>02R050648 Mtge</stp>
        <stp>MTG_GEN_CPR_3M</stp>
        <stp>20090610</stp>
        <stp>20090610</stp>
        <stp>[Copy of 02_cpr_main.xlsx]data!R22C8</stp>
        <stp>Dts=H</stp>
        <tr r="H22" s="2"/>
      </tp>
      <tp t="s">
        <v>#N/A Invalid Field</v>
        <stp/>
        <stp>##V3_BDHV12</stp>
        <stp>01F062648 Mtge</stp>
        <stp>MTG_GEN_CPR_3M</stp>
        <stp>20090610</stp>
        <stp>20090610</stp>
        <stp>[Copy of 02_cpr_main.xlsx]data!R12C8</stp>
        <stp>Dts=H</stp>
        <tr r="H12" s="2"/>
      </tp>
      <tp t="s">
        <v>#N/A Invalid Field</v>
        <stp/>
        <stp>##V3_BDHV12</stp>
        <stp>3128MBH26 Mtge</stp>
        <stp>MTG_GEN_CPR_6M</stp>
        <stp>20090331</stp>
        <stp>20090331</stp>
        <stp>[Copy of 02_cpr_main.xlsx]data!R94C6</stp>
        <stp>Dts=H</stp>
        <tr r="F94" s="2"/>
      </tp>
      <tp t="s">
        <v>#N/A Invalid Field</v>
        <stp/>
        <stp>##V3_BDHV12</stp>
        <stp>3128M1L80 Mtge</stp>
        <stp>MTG_GEN_CPR_6M</stp>
        <stp>20090610</stp>
        <stp>20090610</stp>
        <stp>[Copy of 02_cpr_main.xlsx]data!R83C9</stp>
        <stp>Dts=H</stp>
        <tr r="I83" s="2"/>
      </tp>
      <tp t="s">
        <v>#N/A Invalid Field</v>
        <stp/>
        <stp>##V3_BDHV12</stp>
        <stp>3128M1B81 Mtge</stp>
        <stp>MTG_GEN_CPR_6M</stp>
        <stp>20090610</stp>
        <stp>20090610</stp>
        <stp>[Copy of 02_cpr_main.xlsx]data!R82C9</stp>
        <stp>Dts=H</stp>
        <tr r="I82" s="2"/>
      </tp>
      <tp t="s">
        <v>#N/A Invalid Field</v>
        <stp/>
        <stp>##V3_BDHV12</stp>
        <stp>3128GDX47 Mtge</stp>
        <stp>MTG_GEN_CPR_3M</stp>
        <stp>20090331</stp>
        <stp>20090331</stp>
        <stp>[Copy of 02_cpr_main.xlsx]data!R49C5</stp>
        <stp>Dts=H</stp>
        <tr r="E49" s="2"/>
      </tp>
    </main>
    <main first="bloomberg.rtd">
      <tp>
        <v>67.5</v>
        <stp/>
        <stp>##V3_BDPV12</stp>
        <stp>3128K3ZC4 Mtge</stp>
        <stp xml:space="preserve">MTG_PL_PSA_3M </stp>
        <stp>[Copy of 02_cpr_main.xlsx]data!R72C14</stp>
        <tr r="N72" s="2"/>
      </tp>
      <tp>
        <v>65.7</v>
        <stp/>
        <stp>##V3_BDPV12</stp>
        <stp>3128K3ZC4 Mtge</stp>
        <stp xml:space="preserve">MTG_PL_PSA_6M </stp>
        <stp>[Copy of 02_cpr_main.xlsx]data!R72C15</stp>
        <tr r="O72" s="2"/>
      </tp>
      <tp>
        <v>68.3</v>
        <stp/>
        <stp>##V3_BDPV12</stp>
        <stp>3128K3ZC4 Mtge</stp>
        <stp xml:space="preserve">MTG_PL_PSA_1M </stp>
        <stp>[Copy of 02_cpr_main.xlsx]data!R72C13</stp>
        <tr r="M72" s="2"/>
      </tp>
      <tp>
        <v>166.1</v>
        <stp/>
        <stp>##V3_BDPV12</stp>
        <stp>3128M6Q92 Mtge</stp>
        <stp xml:space="preserve">MTG_PL_PSA_6M </stp>
        <stp>[Copy of 02_cpr_main.xlsx]data!R89C15</stp>
        <tr r="O89" s="2"/>
      </tp>
      <tp>
        <v>107.8</v>
        <stp/>
        <stp>##V3_BDPV12</stp>
        <stp>3128M6Q92 Mtge</stp>
        <stp xml:space="preserve">MTG_PL_PSA_1M </stp>
        <stp>[Copy of 02_cpr_main.xlsx]data!R89C13</stp>
        <tr r="M89" s="2"/>
      </tp>
      <tp>
        <v>227.7</v>
        <stp/>
        <stp>##V3_BDPV12</stp>
        <stp>3128M6Q92 Mtge</stp>
        <stp xml:space="preserve">MTG_PL_PSA_3M </stp>
        <stp>[Copy of 02_cpr_main.xlsx]data!R89C14</stp>
        <tr r="N89" s="2"/>
      </tp>
      <tp>
        <v>149.6</v>
        <stp/>
        <stp>##V3_BDPV12</stp>
        <stp>31402RCV9 Mtge</stp>
        <stp xml:space="preserve">MTG_PL_PSA_6M </stp>
        <stp>[Copy of 02_cpr_main.xlsx]data!R280C15</stp>
        <tr r="O280" s="2"/>
      </tp>
      <tp>
        <v>0</v>
        <stp/>
        <stp>##V3_BDPV12</stp>
        <stp>31402RD30 Mtge</stp>
        <stp xml:space="preserve">MTG_PL_PSA_1M </stp>
        <stp>[Copy of 02_cpr_main.xlsx]data!R281C13</stp>
        <tr r="M281" s="2"/>
      </tp>
      <tp>
        <v>0.1</v>
        <stp/>
        <stp>##V3_BDPV12</stp>
        <stp>31391REW8 Mtge</stp>
        <stp xml:space="preserve">MTG_PL_PSA_6M </stp>
        <stp>[Copy of 02_cpr_main.xlsx]data!R241C15</stp>
        <tr r="O241" s="2"/>
      </tp>
      <tp>
        <v>1666.7</v>
        <stp/>
        <stp>##V3_BDPV12</stp>
        <stp>31411RCQ9 Mtge</stp>
        <stp xml:space="preserve">MTG_PL_PSA_6M </stp>
        <stp>[Copy of 02_cpr_main.xlsx]data!R393C15</stp>
        <tr r="O393" s="2"/>
      </tp>
      <tp>
        <v>-311.8</v>
        <stp/>
        <stp>##V3_BDPV12</stp>
        <stp>31402RBX6 Mtge</stp>
        <stp xml:space="preserve">MTG_PL_PSA_6M </stp>
        <stp>[Copy of 02_cpr_main.xlsx]data!R279C15</stp>
        <tr r="O279" s="2"/>
      </tp>
      <tp>
        <v>609.20000000000005</v>
        <stp/>
        <stp>##V3_BDPV12</stp>
        <stp>31402RGU7 Mtge</stp>
        <stp xml:space="preserve">MTG_PL_PSA_3M </stp>
        <stp>[Copy of 02_cpr_main.xlsx]data!R283C14</stp>
        <tr r="N283" s="2"/>
      </tp>
      <tp>
        <v>14.7</v>
        <stp/>
        <stp>##V3_BDPV12</stp>
        <stp>31402REL9 Mtge</stp>
        <stp xml:space="preserve">MTG_PL_PSA_1M </stp>
        <stp>[Copy of 02_cpr_main.xlsx]data!R282C13</stp>
        <tr r="M282" s="2"/>
      </tp>
      <tp>
        <v>1629.5</v>
        <stp/>
        <stp>##V3_BDPV12</stp>
        <stp>31402RD30 Mtge</stp>
        <stp xml:space="preserve">MTG_PL_PSA_3M </stp>
        <stp>[Copy of 02_cpr_main.xlsx]data!R281C14</stp>
        <tr r="N281" s="2"/>
      </tp>
      <tp>
        <v>0</v>
        <stp/>
        <stp>##V3_BDPV12</stp>
        <stp>31402RGU7 Mtge</stp>
        <stp xml:space="preserve">MTG_PL_PSA_1M </stp>
        <stp>[Copy of 02_cpr_main.xlsx]data!R283C13</stp>
        <tr r="M283" s="2"/>
      </tp>
      <tp>
        <v>6.5</v>
        <stp/>
        <stp>##V3_BDPV12</stp>
        <stp>31415RFH2 Mtge</stp>
        <stp xml:space="preserve">MTG_PL_PSA_6M </stp>
        <stp>[Copy of 02_cpr_main.xlsx]data!R452C15</stp>
        <tr r="O452" s="2"/>
      </tp>
      <tp>
        <v>24.2</v>
        <stp/>
        <stp>##V3_BDPV12</stp>
        <stp>31402REL9 Mtge</stp>
        <stp xml:space="preserve">MTG_PL_PSA_3M </stp>
        <stp>[Copy of 02_cpr_main.xlsx]data!R282C14</stp>
        <tr r="N282" s="2"/>
      </tp>
      <tp>
        <v>0.1</v>
        <stp/>
        <stp>##V3_BDPV12</stp>
        <stp>31391REW8 Mtge</stp>
        <stp xml:space="preserve">MTG_PL_PSA_3M </stp>
        <stp>[Copy of 02_cpr_main.xlsx]data!R241C14</stp>
        <tr r="N241" s="2"/>
      </tp>
      <tp>
        <v>1666.7</v>
        <stp/>
        <stp>##V3_BDPV12</stp>
        <stp>31411RCQ9 Mtge</stp>
        <stp xml:space="preserve">MTG_PL_PSA_3M </stp>
        <stp>[Copy of 02_cpr_main.xlsx]data!R393C14</stp>
        <tr r="N393" s="2"/>
      </tp>
      <tp>
        <v>-951.2</v>
        <stp/>
        <stp>##V3_BDPV12</stp>
        <stp>31402RBX6 Mtge</stp>
        <stp xml:space="preserve">MTG_PL_PSA_3M </stp>
        <stp>[Copy of 02_cpr_main.xlsx]data!R279C14</stp>
        <tr r="N279" s="2"/>
      </tp>
      <tp>
        <v>1362.6</v>
        <stp/>
        <stp>##V3_BDPV12</stp>
        <stp>31402RGU7 Mtge</stp>
        <stp xml:space="preserve">MTG_PL_PSA_6M </stp>
        <stp>[Copy of 02_cpr_main.xlsx]data!R283C15</stp>
        <tr r="O283" s="2"/>
      </tp>
      <tp>
        <v>7.6</v>
        <stp/>
        <stp>##V3_BDPV12</stp>
        <stp>31415RFH2 Mtge</stp>
        <stp xml:space="preserve">MTG_PL_PSA_1M </stp>
        <stp>[Copy of 02_cpr_main.xlsx]data!R452C13</stp>
        <tr r="M452" s="2"/>
      </tp>
      <tp>
        <v>156.9</v>
        <stp/>
        <stp>##V3_BDPV12</stp>
        <stp>31402RCV9 Mtge</stp>
        <stp xml:space="preserve">MTG_PL_PSA_3M </stp>
        <stp>[Copy of 02_cpr_main.xlsx]data!R280C14</stp>
        <tr r="N280" s="2"/>
      </tp>
      <tp>
        <v>0</v>
        <stp/>
        <stp>##V3_BDPV12</stp>
        <stp>31402RBX6 Mtge</stp>
        <stp xml:space="preserve">MTG_PL_PSA_1M </stp>
        <stp>[Copy of 02_cpr_main.xlsx]data!R279C13</stp>
        <tr r="M279" s="2"/>
      </tp>
      <tp>
        <v>1666.7</v>
        <stp/>
        <stp>##V3_BDPV12</stp>
        <stp>31411RCQ9 Mtge</stp>
        <stp xml:space="preserve">MTG_PL_PSA_1M </stp>
        <stp>[Copy of 02_cpr_main.xlsx]data!R393C13</stp>
        <tr r="M393" s="2"/>
      </tp>
      <tp>
        <v>0.1</v>
        <stp/>
        <stp>##V3_BDPV12</stp>
        <stp>31391REW8 Mtge</stp>
        <stp xml:space="preserve">MTG_PL_PSA_1M </stp>
        <stp>[Copy of 02_cpr_main.xlsx]data!R241C13</stp>
        <tr r="M241" s="2"/>
      </tp>
      <tp>
        <v>7.5</v>
        <stp/>
        <stp>##V3_BDPV12</stp>
        <stp>31415RFH2 Mtge</stp>
        <stp xml:space="preserve">MTG_PL_PSA_3M </stp>
        <stp>[Copy of 02_cpr_main.xlsx]data!R452C14</stp>
        <tr r="N452" s="2"/>
      </tp>
      <tp>
        <v>22.2</v>
        <stp/>
        <stp>##V3_BDPV12</stp>
        <stp>31402REL9 Mtge</stp>
        <stp xml:space="preserve">MTG_PL_PSA_6M </stp>
        <stp>[Copy of 02_cpr_main.xlsx]data!R282C15</stp>
        <tr r="O282" s="2"/>
      </tp>
      <tp>
        <v>131.5</v>
        <stp/>
        <stp>##V3_BDPV12</stp>
        <stp>31402RCV9 Mtge</stp>
        <stp xml:space="preserve">MTG_PL_PSA_1M </stp>
        <stp>[Copy of 02_cpr_main.xlsx]data!R280C13</stp>
        <tr r="M280" s="2"/>
      </tp>
      <tp>
        <v>1603.4</v>
        <stp/>
        <stp>##V3_BDPV12</stp>
        <stp>31402RD30 Mtge</stp>
        <stp xml:space="preserve">MTG_PL_PSA_6M </stp>
        <stp>[Copy of 02_cpr_main.xlsx]data!R281C15</stp>
        <tr r="O281" s="2"/>
      </tp>
      <tp>
        <v>193.2</v>
        <stp/>
        <stp>##V3_BDPV12</stp>
        <stp>31402RLV9 Mtge</stp>
        <stp xml:space="preserve">MTG_PL_PSA_1M </stp>
        <stp>[Copy of 02_cpr_main.xlsx]data!R286C13</stp>
        <tr r="M286" s="2"/>
      </tp>
      <tp>
        <v>0.7</v>
        <stp/>
        <stp>##V3_BDPV12</stp>
        <stp>31400RNS6 Mtge</stp>
        <stp xml:space="preserve">MTG_PL_PSA_3M </stp>
        <stp>[Copy of 02_cpr_main.xlsx]data!R249C14</stp>
        <tr r="N249" s="2"/>
      </tp>
      <tp>
        <v>151.4</v>
        <stp/>
        <stp>##V3_BDPV12</stp>
        <stp>31402RJL4 Mtge</stp>
        <stp xml:space="preserve">MTG_PL_PSA_6M </stp>
        <stp>[Copy of 02_cpr_main.xlsx]data!R285C15</stp>
        <tr r="O285" s="2"/>
      </tp>
      <tp>
        <v>167.6</v>
        <stp/>
        <stp>##V3_BDPV12</stp>
        <stp>31402RLV9 Mtge</stp>
        <stp xml:space="preserve">MTG_PL_PSA_3M </stp>
        <stp>[Copy of 02_cpr_main.xlsx]data!R286C14</stp>
        <tr r="N286" s="2"/>
      </tp>
      <tp>
        <v>73.599999999999994</v>
        <stp/>
        <stp>##V3_BDPV12</stp>
        <stp>31380RMS1 Mtge</stp>
        <stp xml:space="preserve">MTG_PL_PSA_6M </stp>
        <stp>[Copy of 02_cpr_main.xlsx]data!R192C15</stp>
        <tr r="O192" s="2"/>
      </tp>
      <tp>
        <v>0.8</v>
        <stp/>
        <stp>##V3_BDPV12</stp>
        <stp>31400RNS6 Mtge</stp>
        <stp xml:space="preserve">MTG_PL_PSA_1M </stp>
        <stp>[Copy of 02_cpr_main.xlsx]data!R249C13</stp>
        <tr r="M249" s="2"/>
      </tp>
      <tp>
        <v>192.3</v>
        <stp/>
        <stp>##V3_BDPV12</stp>
        <stp>31402RH28 Mtge</stp>
        <stp xml:space="preserve">MTG_PL_PSA_6M </stp>
        <stp>[Copy of 02_cpr_main.xlsx]data!R284C15</stp>
        <tr r="O284" s="2"/>
      </tp>
      <tp>
        <v>154.9</v>
        <stp/>
        <stp>##V3_BDPV12</stp>
        <stp>31402RJL4 Mtge</stp>
        <stp xml:space="preserve">MTG_PL_PSA_3M </stp>
        <stp>[Copy of 02_cpr_main.xlsx]data!R285C14</stp>
        <tr r="N285" s="2"/>
      </tp>
      <tp>
        <v>388.5</v>
        <stp/>
        <stp>##V3_BDPV12</stp>
        <stp>31402RH28 Mtge</stp>
        <stp xml:space="preserve">MTG_PL_PSA_1M </stp>
        <stp>[Copy of 02_cpr_main.xlsx]data!R284C13</stp>
        <tr r="M284" s="2"/>
      </tp>
      <tp>
        <v>0.7</v>
        <stp/>
        <stp>##V3_BDPV12</stp>
        <stp>31400RNS6 Mtge</stp>
        <stp xml:space="preserve">MTG_PL_PSA_6M </stp>
        <stp>[Copy of 02_cpr_main.xlsx]data!R249C15</stp>
        <tr r="O249" s="2"/>
      </tp>
      <tp>
        <v>87.6</v>
        <stp/>
        <stp>##V3_BDPV12</stp>
        <stp>31380RMS1 Mtge</stp>
        <stp xml:space="preserve">MTG_PL_PSA_1M </stp>
        <stp>[Copy of 02_cpr_main.xlsx]data!R192C13</stp>
        <tr r="M192" s="2"/>
      </tp>
      <tp>
        <v>151.5</v>
        <stp/>
        <stp>##V3_BDPV12</stp>
        <stp>31402RJL4 Mtge</stp>
        <stp xml:space="preserve">MTG_PL_PSA_1M </stp>
        <stp>[Copy of 02_cpr_main.xlsx]data!R285C13</stp>
        <tr r="M285" s="2"/>
      </tp>
      <tp>
        <v>217.3</v>
        <stp/>
        <stp>##V3_BDPV12</stp>
        <stp>31402RH28 Mtge</stp>
        <stp xml:space="preserve">MTG_PL_PSA_3M </stp>
        <stp>[Copy of 02_cpr_main.xlsx]data!R284C14</stp>
        <tr r="N284" s="2"/>
      </tp>
      <tp>
        <v>124</v>
        <stp/>
        <stp>##V3_BDPV12</stp>
        <stp>31402RLV9 Mtge</stp>
        <stp xml:space="preserve">MTG_PL_PSA_6M </stp>
        <stp>[Copy of 02_cpr_main.xlsx]data!R286C15</stp>
        <tr r="O286" s="2"/>
      </tp>
      <tp>
        <v>81.3</v>
        <stp/>
        <stp>##V3_BDPV12</stp>
        <stp>31380RMS1 Mtge</stp>
        <stp xml:space="preserve">MTG_PL_PSA_3M </stp>
        <stp>[Copy of 02_cpr_main.xlsx]data!R192C14</stp>
        <tr r="N192" s="2"/>
      </tp>
      <tp t="s">
        <v>PSA</v>
        <stp/>
        <stp>##V3_BDPV12</stp>
        <stp>31283H4W2 Mtge</stp>
        <stp>MTG_PREPAY_TYP</stp>
        <stp>[Copy of 02_cpr_main.xlsx]data!R174C11</stp>
        <tr r="K174" s="2"/>
      </tp>
      <tp t="s">
        <v>PSA</v>
        <stp/>
        <stp>##V3_BDPV12</stp>
        <stp>31283H4W2 Mtge</stp>
        <stp>MTG_PREPAY_TYP</stp>
        <stp>[Copy of 02_cpr_main.xlsx]data!R175C11</stp>
        <tr r="K175" s="2"/>
      </tp>
      <tp t="s">
        <v>PSA</v>
        <stp/>
        <stp>##V3_BDPV12</stp>
        <stp>31283H4W2 Mtge</stp>
        <stp>MTG_PREPAY_TYP</stp>
        <stp>[Copy of 02_cpr_main.xlsx]data!R176C11</stp>
        <tr r="K176" s="2"/>
      </tp>
      <tp t="s">
        <v>PSA</v>
        <stp/>
        <stp>##V3_BDPV12</stp>
        <stp>31283H4W2 Mtge</stp>
        <stp>MTG_PREPAY_TYP</stp>
        <stp>[Copy of 02_cpr_main.xlsx]data!R177C11</stp>
        <tr r="K177" s="2"/>
      </tp>
      <tp t="s">
        <v>PSA</v>
        <stp/>
        <stp>##V3_BDPV12</stp>
        <stp>31283H4W2 Mtge</stp>
        <stp>MTG_PREPAY_TYP</stp>
        <stp>[Copy of 02_cpr_main.xlsx]data!R170C11</stp>
        <tr r="K170" s="2"/>
      </tp>
      <tp t="s">
        <v>PSA</v>
        <stp/>
        <stp>##V3_BDPV12</stp>
        <stp>31283H4W2 Mtge</stp>
        <stp>MTG_PREPAY_TYP</stp>
        <stp>[Copy of 02_cpr_main.xlsx]data!R171C11</stp>
        <tr r="K171" s="2"/>
      </tp>
      <tp t="s">
        <v>PSA</v>
        <stp/>
        <stp>##V3_BDPV12</stp>
        <stp>31283H4W2 Mtge</stp>
        <stp>MTG_PREPAY_TYP</stp>
        <stp>[Copy of 02_cpr_main.xlsx]data!R172C11</stp>
        <tr r="K172" s="2"/>
      </tp>
      <tp t="s">
        <v>PSA</v>
        <stp/>
        <stp>##V3_BDPV12</stp>
        <stp>31283H4W2 Mtge</stp>
        <stp>MTG_PREPAY_TYP</stp>
        <stp>[Copy of 02_cpr_main.xlsx]data!R173C11</stp>
        <tr r="K173" s="2"/>
      </tp>
      <tp t="s">
        <v>PSA</v>
        <stp/>
        <stp>##V3_BDPV12</stp>
        <stp>31283H4W2 Mtge</stp>
        <stp>MTG_PREPAY_TYP</stp>
        <stp>[Copy of 02_cpr_main.xlsx]data!R178C11</stp>
        <tr r="K178" s="2"/>
      </tp>
      <tp t="s">
        <v>PSA</v>
        <stp/>
        <stp>##V3_BDPV12</stp>
        <stp>31283H4W2 Mtge</stp>
        <stp>MTG_PREPAY_TYP</stp>
        <stp>[Copy of 02_cpr_main.xlsx]data!R179C11</stp>
        <tr r="K179" s="2"/>
      </tp>
      <tp t="s">
        <v>PSA</v>
        <stp/>
        <stp>##V3_BDPV12</stp>
        <stp>31283H4W2 Mtge</stp>
        <stp>MTG_PREPAY_TYP</stp>
        <stp>[Copy of 02_cpr_main.xlsx]data!R164C11</stp>
        <tr r="K164" s="2"/>
      </tp>
      <tp t="s">
        <v>PSA</v>
        <stp/>
        <stp>##V3_BDPV12</stp>
        <stp>31283H4W2 Mtge</stp>
        <stp>MTG_PREPAY_TYP</stp>
        <stp>[Copy of 02_cpr_main.xlsx]data!R165C11</stp>
        <tr r="K165" s="2"/>
      </tp>
      <tp t="s">
        <v>PSA</v>
        <stp/>
        <stp>##V3_BDPV12</stp>
        <stp>31283H4W2 Mtge</stp>
        <stp>MTG_PREPAY_TYP</stp>
        <stp>[Copy of 02_cpr_main.xlsx]data!R166C11</stp>
        <tr r="K166" s="2"/>
      </tp>
      <tp t="s">
        <v>PSA</v>
        <stp/>
        <stp>##V3_BDPV12</stp>
        <stp>31283H4W2 Mtge</stp>
        <stp>MTG_PREPAY_TYP</stp>
        <stp>[Copy of 02_cpr_main.xlsx]data!R167C11</stp>
        <tr r="K167" s="2"/>
      </tp>
      <tp t="s">
        <v>PSA</v>
        <stp/>
        <stp>##V3_BDPV12</stp>
        <stp>31283H4W2 Mtge</stp>
        <stp>MTG_PREPAY_TYP</stp>
        <stp>[Copy of 02_cpr_main.xlsx]data!R160C11</stp>
        <tr r="K160" s="2"/>
      </tp>
      <tp t="s">
        <v>PSA</v>
        <stp/>
        <stp>##V3_BDPV12</stp>
        <stp>31283H4W2 Mtge</stp>
        <stp>MTG_PREPAY_TYP</stp>
        <stp>[Copy of 02_cpr_main.xlsx]data!R161C11</stp>
        <tr r="K161" s="2"/>
      </tp>
      <tp t="s">
        <v>PSA</v>
        <stp/>
        <stp>##V3_BDPV12</stp>
        <stp>31283H4W2 Mtge</stp>
        <stp>MTG_PREPAY_TYP</stp>
        <stp>[Copy of 02_cpr_main.xlsx]data!R162C11</stp>
        <tr r="K162" s="2"/>
      </tp>
      <tp t="s">
        <v>PSA</v>
        <stp/>
        <stp>##V3_BDPV12</stp>
        <stp>31283H4W2 Mtge</stp>
        <stp>MTG_PREPAY_TYP</stp>
        <stp>[Copy of 02_cpr_main.xlsx]data!R163C11</stp>
        <tr r="K163" s="2"/>
      </tp>
      <tp t="s">
        <v>PSA</v>
        <stp/>
        <stp>##V3_BDPV12</stp>
        <stp>31283H4W2 Mtge</stp>
        <stp>MTG_PREPAY_TYP</stp>
        <stp>[Copy of 02_cpr_main.xlsx]data!R168C11</stp>
        <tr r="K168" s="2"/>
      </tp>
      <tp t="s">
        <v>PSA</v>
        <stp/>
        <stp>##V3_BDPV12</stp>
        <stp>31283H4W2 Mtge</stp>
        <stp>MTG_PREPAY_TYP</stp>
        <stp>[Copy of 02_cpr_main.xlsx]data!R169C11</stp>
        <tr r="K169" s="2"/>
      </tp>
      <tp t="s">
        <v>PSA</v>
        <stp/>
        <stp>##V3_BDPV12</stp>
        <stp>31283H4W2 Mtge</stp>
        <stp>MTG_PREPAY_TYP</stp>
        <stp>[Copy of 02_cpr_main.xlsx]data!R154C11</stp>
        <tr r="K154" s="2"/>
      </tp>
      <tp t="s">
        <v>PSA</v>
        <stp/>
        <stp>##V3_BDPV12</stp>
        <stp>31283H4W2 Mtge</stp>
        <stp>MTG_PREPAY_TYP</stp>
        <stp>[Copy of 02_cpr_main.xlsx]data!R155C11</stp>
        <tr r="K155" s="2"/>
      </tp>
      <tp t="s">
        <v>PSA</v>
        <stp/>
        <stp>##V3_BDPV12</stp>
        <stp>31283H4W2 Mtge</stp>
        <stp>MTG_PREPAY_TYP</stp>
        <stp>[Copy of 02_cpr_main.xlsx]data!R156C11</stp>
        <tr r="K156" s="2"/>
      </tp>
      <tp t="s">
        <v>PSA</v>
        <stp/>
        <stp>##V3_BDPV12</stp>
        <stp>31283H4W2 Mtge</stp>
        <stp>MTG_PREPAY_TYP</stp>
        <stp>[Copy of 02_cpr_main.xlsx]data!R157C11</stp>
        <tr r="K157" s="2"/>
      </tp>
      <tp t="s">
        <v>PSA</v>
        <stp/>
        <stp>##V3_BDPV12</stp>
        <stp>31283H4W2 Mtge</stp>
        <stp>MTG_PREPAY_TYP</stp>
        <stp>[Copy of 02_cpr_main.xlsx]data!R150C11</stp>
        <tr r="K150" s="2"/>
      </tp>
      <tp t="s">
        <v>PSA</v>
        <stp/>
        <stp>##V3_BDPV12</stp>
        <stp>31283H4W2 Mtge</stp>
        <stp>MTG_PREPAY_TYP</stp>
        <stp>[Copy of 02_cpr_main.xlsx]data!R151C11</stp>
        <tr r="K151" s="2"/>
      </tp>
      <tp t="s">
        <v>PSA</v>
        <stp/>
        <stp>##V3_BDPV12</stp>
        <stp>31283H4W2 Mtge</stp>
        <stp>MTG_PREPAY_TYP</stp>
        <stp>[Copy of 02_cpr_main.xlsx]data!R152C11</stp>
        <tr r="K152" s="2"/>
      </tp>
      <tp t="s">
        <v>PSA</v>
        <stp/>
        <stp>##V3_BDPV12</stp>
        <stp>31283H4W2 Mtge</stp>
        <stp>MTG_PREPAY_TYP</stp>
        <stp>[Copy of 02_cpr_main.xlsx]data!R153C11</stp>
        <tr r="K153" s="2"/>
      </tp>
      <tp t="s">
        <v>PSA</v>
        <stp/>
        <stp>##V3_BDPV12</stp>
        <stp>31283H4W2 Mtge</stp>
        <stp>MTG_PREPAY_TYP</stp>
        <stp>[Copy of 02_cpr_main.xlsx]data!R158C11</stp>
        <tr r="K158" s="2"/>
      </tp>
      <tp t="s">
        <v>PSA</v>
        <stp/>
        <stp>##V3_BDPV12</stp>
        <stp>31283H4W2 Mtge</stp>
        <stp>MTG_PREPAY_TYP</stp>
        <stp>[Copy of 02_cpr_main.xlsx]data!R159C11</stp>
        <tr r="K159" s="2"/>
      </tp>
      <tp t="s">
        <v>PSA</v>
        <stp/>
        <stp>##V3_BDPV12</stp>
        <stp>31283H4W2 Mtge</stp>
        <stp>MTG_PREPAY_TYP</stp>
        <stp>[Copy of 02_cpr_main.xlsx]data!R144C11</stp>
        <tr r="K144" s="2"/>
      </tp>
      <tp t="s">
        <v>PSA</v>
        <stp/>
        <stp>##V3_BDPV12</stp>
        <stp>31283H4W2 Mtge</stp>
        <stp>MTG_PREPAY_TYP</stp>
        <stp>[Copy of 02_cpr_main.xlsx]data!R145C11</stp>
        <tr r="K145" s="2"/>
      </tp>
      <tp t="s">
        <v>PSA</v>
        <stp/>
        <stp>##V3_BDPV12</stp>
        <stp>31283H4W2 Mtge</stp>
        <stp>MTG_PREPAY_TYP</stp>
        <stp>[Copy of 02_cpr_main.xlsx]data!R146C11</stp>
        <tr r="K146" s="2"/>
      </tp>
      <tp t="s">
        <v>PSA</v>
        <stp/>
        <stp>##V3_BDPV12</stp>
        <stp>31283H4W2 Mtge</stp>
        <stp>MTG_PREPAY_TYP</stp>
        <stp>[Copy of 02_cpr_main.xlsx]data!R147C11</stp>
        <tr r="K147" s="2"/>
      </tp>
      <tp t="s">
        <v>PSA</v>
        <stp/>
        <stp>##V3_BDPV12</stp>
        <stp>31283H4W2 Mtge</stp>
        <stp>MTG_PREPAY_TYP</stp>
        <stp>[Copy of 02_cpr_main.xlsx]data!R140C11</stp>
        <tr r="K140" s="2"/>
      </tp>
      <tp t="s">
        <v>PSA</v>
        <stp/>
        <stp>##V3_BDPV12</stp>
        <stp>31283H4W2 Mtge</stp>
        <stp>MTG_PREPAY_TYP</stp>
        <stp>[Copy of 02_cpr_main.xlsx]data!R141C11</stp>
        <tr r="K141" s="2"/>
      </tp>
      <tp t="s">
        <v>PSA</v>
        <stp/>
        <stp>##V3_BDPV12</stp>
        <stp>31283H4W2 Mtge</stp>
        <stp>MTG_PREPAY_TYP</stp>
        <stp>[Copy of 02_cpr_main.xlsx]data!R142C11</stp>
        <tr r="K142" s="2"/>
      </tp>
      <tp t="s">
        <v>PSA</v>
        <stp/>
        <stp>##V3_BDPV12</stp>
        <stp>31283H4W2 Mtge</stp>
        <stp>MTG_PREPAY_TYP</stp>
        <stp>[Copy of 02_cpr_main.xlsx]data!R143C11</stp>
        <tr r="K143" s="2"/>
      </tp>
      <tp t="s">
        <v>PSA</v>
        <stp/>
        <stp>##V3_BDPV12</stp>
        <stp>31283H4W2 Mtge</stp>
        <stp>MTG_PREPAY_TYP</stp>
        <stp>[Copy of 02_cpr_main.xlsx]data!R148C11</stp>
        <tr r="K148" s="2"/>
      </tp>
      <tp t="s">
        <v>PSA</v>
        <stp/>
        <stp>##V3_BDPV12</stp>
        <stp>31283H4W2 Mtge</stp>
        <stp>MTG_PREPAY_TYP</stp>
        <stp>[Copy of 02_cpr_main.xlsx]data!R149C11</stp>
        <tr r="K149" s="2"/>
      </tp>
      <tp t="s">
        <v>PSA</v>
        <stp/>
        <stp>##V3_BDPV12</stp>
        <stp>31283H4W2 Mtge</stp>
        <stp>MTG_PREPAY_TYP</stp>
        <stp>[Copy of 02_cpr_main.xlsx]data!R134C11</stp>
        <tr r="K134" s="2"/>
      </tp>
      <tp t="s">
        <v>PSA</v>
        <stp/>
        <stp>##V3_BDPV12</stp>
        <stp>31283H4W2 Mtge</stp>
        <stp>MTG_PREPAY_TYP</stp>
        <stp>[Copy of 02_cpr_main.xlsx]data!R135C11</stp>
        <tr r="K135" s="2"/>
      </tp>
      <tp t="s">
        <v>PSA</v>
        <stp/>
        <stp>##V3_BDPV12</stp>
        <stp>31283H4W2 Mtge</stp>
        <stp>MTG_PREPAY_TYP</stp>
        <stp>[Copy of 02_cpr_main.xlsx]data!R136C11</stp>
        <tr r="K136" s="2"/>
      </tp>
      <tp t="s">
        <v>PSA</v>
        <stp/>
        <stp>##V3_BDPV12</stp>
        <stp>31283H4W2 Mtge</stp>
        <stp>MTG_PREPAY_TYP</stp>
        <stp>[Copy of 02_cpr_main.xlsx]data!R137C11</stp>
        <tr r="K137" s="2"/>
      </tp>
      <tp t="s">
        <v>PSA</v>
        <stp/>
        <stp>##V3_BDPV12</stp>
        <stp>31283H4W2 Mtge</stp>
        <stp>MTG_PREPAY_TYP</stp>
        <stp>[Copy of 02_cpr_main.xlsx]data!R130C11</stp>
        <tr r="K130" s="2"/>
      </tp>
      <tp t="s">
        <v>PSA</v>
        <stp/>
        <stp>##V3_BDPV12</stp>
        <stp>31283H4W2 Mtge</stp>
        <stp>MTG_PREPAY_TYP</stp>
        <stp>[Copy of 02_cpr_main.xlsx]data!R131C11</stp>
        <tr r="K131" s="2"/>
      </tp>
      <tp t="s">
        <v>PSA</v>
        <stp/>
        <stp>##V3_BDPV12</stp>
        <stp>31283H4W2 Mtge</stp>
        <stp>MTG_PREPAY_TYP</stp>
        <stp>[Copy of 02_cpr_main.xlsx]data!R132C11</stp>
        <tr r="K132" s="2"/>
      </tp>
      <tp t="s">
        <v>PSA</v>
        <stp/>
        <stp>##V3_BDPV12</stp>
        <stp>31283H4W2 Mtge</stp>
        <stp>MTG_PREPAY_TYP</stp>
        <stp>[Copy of 02_cpr_main.xlsx]data!R133C11</stp>
        <tr r="K133" s="2"/>
      </tp>
      <tp t="s">
        <v>PSA</v>
        <stp/>
        <stp>##V3_BDPV12</stp>
        <stp>31283H4W2 Mtge</stp>
        <stp>MTG_PREPAY_TYP</stp>
        <stp>[Copy of 02_cpr_main.xlsx]data!R138C11</stp>
        <tr r="K138" s="2"/>
      </tp>
      <tp t="s">
        <v>PSA</v>
        <stp/>
        <stp>##V3_BDPV12</stp>
        <stp>31283H4W2 Mtge</stp>
        <stp>MTG_PREPAY_TYP</stp>
        <stp>[Copy of 02_cpr_main.xlsx]data!R139C11</stp>
        <tr r="K139" s="2"/>
      </tp>
      <tp t="s">
        <v>PSA</v>
        <stp/>
        <stp>##V3_BDPV12</stp>
        <stp>31283H4W2 Mtge</stp>
        <stp>MTG_PREPAY_TYP</stp>
        <stp>[Copy of 02_cpr_main.xlsx]data!R124C11</stp>
        <tr r="K124" s="2"/>
      </tp>
      <tp t="s">
        <v>PSA</v>
        <stp/>
        <stp>##V3_BDPV12</stp>
        <stp>31283H4W2 Mtge</stp>
        <stp>MTG_PREPAY_TYP</stp>
        <stp>[Copy of 02_cpr_main.xlsx]data!R125C11</stp>
        <tr r="K125" s="2"/>
      </tp>
      <tp t="s">
        <v>PSA</v>
        <stp/>
        <stp>##V3_BDPV12</stp>
        <stp>31283H4W2 Mtge</stp>
        <stp>MTG_PREPAY_TYP</stp>
        <stp>[Copy of 02_cpr_main.xlsx]data!R126C11</stp>
        <tr r="K126" s="2"/>
      </tp>
      <tp t="s">
        <v>PSA</v>
        <stp/>
        <stp>##V3_BDPV12</stp>
        <stp>31283H4W2 Mtge</stp>
        <stp>MTG_PREPAY_TYP</stp>
        <stp>[Copy of 02_cpr_main.xlsx]data!R127C11</stp>
        <tr r="K127" s="2"/>
      </tp>
      <tp t="s">
        <v>PSA</v>
        <stp/>
        <stp>##V3_BDPV12</stp>
        <stp>31283H4W2 Mtge</stp>
        <stp>MTG_PREPAY_TYP</stp>
        <stp>[Copy of 02_cpr_main.xlsx]data!R120C11</stp>
        <tr r="K120" s="2"/>
      </tp>
      <tp t="s">
        <v>PSA</v>
        <stp/>
        <stp>##V3_BDPV12</stp>
        <stp>31283H4W2 Mtge</stp>
        <stp>MTG_PREPAY_TYP</stp>
        <stp>[Copy of 02_cpr_main.xlsx]data!R121C11</stp>
        <tr r="K121" s="2"/>
      </tp>
      <tp t="s">
        <v>PSA</v>
        <stp/>
        <stp>##V3_BDPV12</stp>
        <stp>31283H4W2 Mtge</stp>
        <stp>MTG_PREPAY_TYP</stp>
        <stp>[Copy of 02_cpr_main.xlsx]data!R122C11</stp>
        <tr r="K122" s="2"/>
      </tp>
      <tp t="s">
        <v>PSA</v>
        <stp/>
        <stp>##V3_BDPV12</stp>
        <stp>31283H4W2 Mtge</stp>
        <stp>MTG_PREPAY_TYP</stp>
        <stp>[Copy of 02_cpr_main.xlsx]data!R123C11</stp>
        <tr r="K123" s="2"/>
      </tp>
      <tp t="s">
        <v>PSA</v>
        <stp/>
        <stp>##V3_BDPV12</stp>
        <stp>31283H4W2 Mtge</stp>
        <stp>MTG_PREPAY_TYP</stp>
        <stp>[Copy of 02_cpr_main.xlsx]data!R128C11</stp>
        <tr r="K128" s="2"/>
      </tp>
      <tp t="s">
        <v>PSA</v>
        <stp/>
        <stp>##V3_BDPV12</stp>
        <stp>31283H4W2 Mtge</stp>
        <stp>MTG_PREPAY_TYP</stp>
        <stp>[Copy of 02_cpr_main.xlsx]data!R129C11</stp>
        <tr r="K129" s="2"/>
      </tp>
      <tp t="s">
        <v>PSA</v>
        <stp/>
        <stp>##V3_BDPV12</stp>
        <stp>31283H4W2 Mtge</stp>
        <stp>MTG_PREPAY_TYP</stp>
        <stp>[Copy of 02_cpr_main.xlsx]data!R114C11</stp>
        <tr r="K114" s="2"/>
      </tp>
      <tp t="s">
        <v>PSA</v>
        <stp/>
        <stp>##V3_BDPV12</stp>
        <stp>31283H4W2 Mtge</stp>
        <stp>MTG_PREPAY_TYP</stp>
        <stp>[Copy of 02_cpr_main.xlsx]data!R115C11</stp>
        <tr r="K115" s="2"/>
      </tp>
      <tp t="s">
        <v>PSA</v>
        <stp/>
        <stp>##V3_BDPV12</stp>
        <stp>31283H4W2 Mtge</stp>
        <stp>MTG_PREPAY_TYP</stp>
        <stp>[Copy of 02_cpr_main.xlsx]data!R116C11</stp>
        <tr r="K116" s="2"/>
      </tp>
      <tp t="s">
        <v>PSA</v>
        <stp/>
        <stp>##V3_BDPV12</stp>
        <stp>31283H4W2 Mtge</stp>
        <stp>MTG_PREPAY_TYP</stp>
        <stp>[Copy of 02_cpr_main.xlsx]data!R117C11</stp>
        <tr r="K117" s="2"/>
      </tp>
      <tp t="s">
        <v>PSA</v>
        <stp/>
        <stp>##V3_BDPV12</stp>
        <stp>31283H4W2 Mtge</stp>
        <stp>MTG_PREPAY_TYP</stp>
        <stp>[Copy of 02_cpr_main.xlsx]data!R110C11</stp>
        <tr r="K110" s="2"/>
      </tp>
      <tp t="s">
        <v>PSA</v>
        <stp/>
        <stp>##V3_BDPV12</stp>
        <stp>31283H4W2 Mtge</stp>
        <stp>MTG_PREPAY_TYP</stp>
        <stp>[Copy of 02_cpr_main.xlsx]data!R111C11</stp>
        <tr r="K111" s="2"/>
      </tp>
      <tp t="s">
        <v>PSA</v>
        <stp/>
        <stp>##V3_BDPV12</stp>
        <stp>31283H4W2 Mtge</stp>
        <stp>MTG_PREPAY_TYP</stp>
        <stp>[Copy of 02_cpr_main.xlsx]data!R112C11</stp>
        <tr r="K112" s="2"/>
      </tp>
      <tp t="s">
        <v>PSA</v>
        <stp/>
        <stp>##V3_BDPV12</stp>
        <stp>31283H4W2 Mtge</stp>
        <stp>MTG_PREPAY_TYP</stp>
        <stp>[Copy of 02_cpr_main.xlsx]data!R113C11</stp>
        <tr r="K113" s="2"/>
      </tp>
      <tp t="s">
        <v>PSA</v>
        <stp/>
        <stp>##V3_BDPV12</stp>
        <stp>31283H4W2 Mtge</stp>
        <stp>MTG_PREPAY_TYP</stp>
        <stp>[Copy of 02_cpr_main.xlsx]data!R118C11</stp>
        <tr r="K118" s="2"/>
      </tp>
      <tp t="s">
        <v>PSA</v>
        <stp/>
        <stp>##V3_BDPV12</stp>
        <stp>31283H4W2 Mtge</stp>
        <stp>MTG_PREPAY_TYP</stp>
        <stp>[Copy of 02_cpr_main.xlsx]data!R119C11</stp>
        <tr r="K119" s="2"/>
      </tp>
      <tp t="s">
        <v>PSA</v>
        <stp/>
        <stp>##V3_BDPV12</stp>
        <stp>31283H4W2 Mtge</stp>
        <stp>MTG_PREPAY_TYP</stp>
        <stp>[Copy of 02_cpr_main.xlsx]data!R104C11</stp>
        <tr r="K104" s="2"/>
      </tp>
      <tp t="s">
        <v>PSA</v>
        <stp/>
        <stp>##V3_BDPV12</stp>
        <stp>31283H4W2 Mtge</stp>
        <stp>MTG_PREPAY_TYP</stp>
        <stp>[Copy of 02_cpr_main.xlsx]data!R105C11</stp>
        <tr r="K105" s="2"/>
      </tp>
      <tp t="s">
        <v>PSA</v>
        <stp/>
        <stp>##V3_BDPV12</stp>
        <stp>31283H4W2 Mtge</stp>
        <stp>MTG_PREPAY_TYP</stp>
        <stp>[Copy of 02_cpr_main.xlsx]data!R106C11</stp>
        <tr r="K106" s="2"/>
      </tp>
      <tp t="s">
        <v>PSA</v>
        <stp/>
        <stp>##V3_BDPV12</stp>
        <stp>31283H4W2 Mtge</stp>
        <stp>MTG_PREPAY_TYP</stp>
        <stp>[Copy of 02_cpr_main.xlsx]data!R107C11</stp>
        <tr r="K107" s="2"/>
      </tp>
      <tp t="s">
        <v>PSA</v>
        <stp/>
        <stp>##V3_BDPV12</stp>
        <stp>31283H4W2 Mtge</stp>
        <stp>MTG_PREPAY_TYP</stp>
        <stp>[Copy of 02_cpr_main.xlsx]data!R100C11</stp>
        <tr r="K100" s="2"/>
      </tp>
      <tp t="s">
        <v>PSA</v>
        <stp/>
        <stp>##V3_BDPV12</stp>
        <stp>31283H4W2 Mtge</stp>
        <stp>MTG_PREPAY_TYP</stp>
        <stp>[Copy of 02_cpr_main.xlsx]data!R101C11</stp>
        <tr r="K101" s="2"/>
      </tp>
      <tp t="s">
        <v>PSA</v>
        <stp/>
        <stp>##V3_BDPV12</stp>
        <stp>31283H4W2 Mtge</stp>
        <stp>MTG_PREPAY_TYP</stp>
        <stp>[Copy of 02_cpr_main.xlsx]data!R102C11</stp>
        <tr r="K102" s="2"/>
      </tp>
      <tp t="s">
        <v>PSA</v>
        <stp/>
        <stp>##V3_BDPV12</stp>
        <stp>31283H4W2 Mtge</stp>
        <stp>MTG_PREPAY_TYP</stp>
        <stp>[Copy of 02_cpr_main.xlsx]data!R103C11</stp>
        <tr r="K103" s="2"/>
      </tp>
      <tp t="s">
        <v>PSA</v>
        <stp/>
        <stp>##V3_BDPV12</stp>
        <stp>31283H4W2 Mtge</stp>
        <stp>MTG_PREPAY_TYP</stp>
        <stp>[Copy of 02_cpr_main.xlsx]data!R108C11</stp>
        <tr r="K108" s="2"/>
      </tp>
      <tp t="s">
        <v>PSA</v>
        <stp/>
        <stp>##V3_BDPV12</stp>
        <stp>31283H4W2 Mtge</stp>
        <stp>MTG_PREPAY_TYP</stp>
        <stp>[Copy of 02_cpr_main.xlsx]data!R109C11</stp>
        <tr r="K109" s="2"/>
      </tp>
      <tp t="s">
        <v>PSA</v>
        <stp/>
        <stp>##V3_BDPV12</stp>
        <stp>31283H4W2 Mtge</stp>
        <stp>MTG_PREPAY_TYP</stp>
        <stp>[Copy of 02_cpr_main.xlsx]data!R194C11</stp>
        <tr r="K194" s="2"/>
      </tp>
      <tp t="s">
        <v>PSA</v>
        <stp/>
        <stp>##V3_BDPV12</stp>
        <stp>31283H4W2 Mtge</stp>
        <stp>MTG_PREPAY_TYP</stp>
        <stp>[Copy of 02_cpr_main.xlsx]data!R195C11</stp>
        <tr r="K195" s="2"/>
      </tp>
      <tp t="s">
        <v>PSA</v>
        <stp/>
        <stp>##V3_BDPV12</stp>
        <stp>31283H4W2 Mtge</stp>
        <stp>MTG_PREPAY_TYP</stp>
        <stp>[Copy of 02_cpr_main.xlsx]data!R196C11</stp>
        <tr r="K196" s="2"/>
      </tp>
      <tp t="s">
        <v>PSA</v>
        <stp/>
        <stp>##V3_BDPV12</stp>
        <stp>31283H4W2 Mtge</stp>
        <stp>MTG_PREPAY_TYP</stp>
        <stp>[Copy of 02_cpr_main.xlsx]data!R197C11</stp>
        <tr r="K197" s="2"/>
      </tp>
      <tp t="s">
        <v>PSA</v>
        <stp/>
        <stp>##V3_BDPV12</stp>
        <stp>31283H4W2 Mtge</stp>
        <stp>MTG_PREPAY_TYP</stp>
        <stp>[Copy of 02_cpr_main.xlsx]data!R190C11</stp>
        <tr r="K190" s="2"/>
      </tp>
      <tp t="s">
        <v>PSA</v>
        <stp/>
        <stp>##V3_BDPV12</stp>
        <stp>31283H4W2 Mtge</stp>
        <stp>MTG_PREPAY_TYP</stp>
        <stp>[Copy of 02_cpr_main.xlsx]data!R191C11</stp>
        <tr r="K191" s="2"/>
      </tp>
      <tp t="s">
        <v>PSA</v>
        <stp/>
        <stp>##V3_BDPV12</stp>
        <stp>31283H4W2 Mtge</stp>
        <stp>MTG_PREPAY_TYP</stp>
        <stp>[Copy of 02_cpr_main.xlsx]data!R192C11</stp>
        <tr r="K192" s="2"/>
      </tp>
      <tp t="s">
        <v>PSA</v>
        <stp/>
        <stp>##V3_BDPV12</stp>
        <stp>31283H4W2 Mtge</stp>
        <stp>MTG_PREPAY_TYP</stp>
        <stp>[Copy of 02_cpr_main.xlsx]data!R193C11</stp>
        <tr r="K193" s="2"/>
      </tp>
      <tp t="s">
        <v>PSA</v>
        <stp/>
        <stp>##V3_BDPV12</stp>
        <stp>31283H4W2 Mtge</stp>
        <stp>MTG_PREPAY_TYP</stp>
        <stp>[Copy of 02_cpr_main.xlsx]data!R198C11</stp>
        <tr r="K198" s="2"/>
      </tp>
      <tp t="s">
        <v>PSA</v>
        <stp/>
        <stp>##V3_BDPV12</stp>
        <stp>31283H4W2 Mtge</stp>
        <stp>MTG_PREPAY_TYP</stp>
        <stp>[Copy of 02_cpr_main.xlsx]data!R199C11</stp>
        <tr r="K199" s="2"/>
      </tp>
      <tp t="s">
        <v>PSA</v>
        <stp/>
        <stp>##V3_BDPV12</stp>
        <stp>31283H4W2 Mtge</stp>
        <stp>MTG_PREPAY_TYP</stp>
        <stp>[Copy of 02_cpr_main.xlsx]data!R184C11</stp>
        <tr r="K184" s="2"/>
      </tp>
      <tp t="s">
        <v>PSA</v>
        <stp/>
        <stp>##V3_BDPV12</stp>
        <stp>31283H4W2 Mtge</stp>
        <stp>MTG_PREPAY_TYP</stp>
        <stp>[Copy of 02_cpr_main.xlsx]data!R185C11</stp>
        <tr r="K185" s="2"/>
      </tp>
      <tp t="s">
        <v>PSA</v>
        <stp/>
        <stp>##V3_BDPV12</stp>
        <stp>31283H4W2 Mtge</stp>
        <stp>MTG_PREPAY_TYP</stp>
        <stp>[Copy of 02_cpr_main.xlsx]data!R186C11</stp>
        <tr r="K186" s="2"/>
      </tp>
      <tp t="s">
        <v>PSA</v>
        <stp/>
        <stp>##V3_BDPV12</stp>
        <stp>31283H4W2 Mtge</stp>
        <stp>MTG_PREPAY_TYP</stp>
        <stp>[Copy of 02_cpr_main.xlsx]data!R187C11</stp>
        <tr r="K187" s="2"/>
      </tp>
      <tp t="s">
        <v>PSA</v>
        <stp/>
        <stp>##V3_BDPV12</stp>
        <stp>31283H4W2 Mtge</stp>
        <stp>MTG_PREPAY_TYP</stp>
        <stp>[Copy of 02_cpr_main.xlsx]data!R180C11</stp>
        <tr r="K180" s="2"/>
      </tp>
      <tp t="s">
        <v>PSA</v>
        <stp/>
        <stp>##V3_BDPV12</stp>
        <stp>31283H4W2 Mtge</stp>
        <stp>MTG_PREPAY_TYP</stp>
        <stp>[Copy of 02_cpr_main.xlsx]data!R181C11</stp>
        <tr r="K181" s="2"/>
      </tp>
      <tp t="s">
        <v>PSA</v>
        <stp/>
        <stp>##V3_BDPV12</stp>
        <stp>31283H4W2 Mtge</stp>
        <stp>MTG_PREPAY_TYP</stp>
        <stp>[Copy of 02_cpr_main.xlsx]data!R182C11</stp>
        <tr r="K182" s="2"/>
      </tp>
      <tp t="s">
        <v>PSA</v>
        <stp/>
        <stp>##V3_BDPV12</stp>
        <stp>31283H4W2 Mtge</stp>
        <stp>MTG_PREPAY_TYP</stp>
        <stp>[Copy of 02_cpr_main.xlsx]data!R183C11</stp>
        <tr r="K183" s="2"/>
      </tp>
      <tp t="s">
        <v>PSA</v>
        <stp/>
        <stp>##V3_BDPV12</stp>
        <stp>31283H4W2 Mtge</stp>
        <stp>MTG_PREPAY_TYP</stp>
        <stp>[Copy of 02_cpr_main.xlsx]data!R188C11</stp>
        <tr r="K188" s="2"/>
      </tp>
      <tp t="s">
        <v>PSA</v>
        <stp/>
        <stp>##V3_BDPV12</stp>
        <stp>31283H4W2 Mtge</stp>
        <stp>MTG_PREPAY_TYP</stp>
        <stp>[Copy of 02_cpr_main.xlsx]data!R189C11</stp>
        <tr r="K189" s="2"/>
      </tp>
      <tp>
        <v>2</v>
        <stp/>
        <stp>##V3_BDPV12</stp>
        <stp>31296RSK5 Mtge</stp>
        <stp xml:space="preserve">MTG_PL_PSA_3M </stp>
        <stp>[Copy of 02_cpr_main.xlsx]data!R145C14</stp>
        <tr r="N145" s="2"/>
      </tp>
      <tp>
        <v>106.5</v>
        <stp/>
        <stp>##V3_BDPV12</stp>
        <stp>31415RR30 Mtge</stp>
        <stp xml:space="preserve">MTG_PL_PSA_1M </stp>
        <stp>[Copy of 02_cpr_main.xlsx]data!R453C13</stp>
        <tr r="M453" s="2"/>
      </tp>
      <tp>
        <v>599.5</v>
        <stp/>
        <stp>##V3_BDPV12</stp>
        <stp>31400RV24 Mtge</stp>
        <stp xml:space="preserve">MTG_PL_PSA_3M </stp>
        <stp>[Copy of 02_cpr_main.xlsx]data!R250C14</stp>
        <tr r="N250" s="2"/>
      </tp>
      <tp>
        <v>0</v>
        <stp/>
        <stp>##V3_BDPV12</stp>
        <stp>31382RRH8 Mtge</stp>
        <stp xml:space="preserve">MTG_PL_PSA_1M </stp>
        <stp>[Copy of 02_cpr_main.xlsx]data!R202C13</stp>
        <tr r="M202" s="2"/>
      </tp>
      <tp>
        <v>72.400000000000006</v>
        <stp/>
        <stp>##V3_BDPV12</stp>
        <stp>31407RVA9 Mtge</stp>
        <stp xml:space="preserve">MTG_PL_PSA_3M </stp>
        <stp>[Copy of 02_cpr_main.xlsx]data!R346C14</stp>
        <tr r="N346" s="2"/>
      </tp>
      <tp>
        <v>1414.5</v>
        <stp/>
        <stp>##V3_BDPV12</stp>
        <stp>31402RR84 Mtge</stp>
        <stp xml:space="preserve">MTG_PL_PSA_6M </stp>
        <stp>[Copy of 02_cpr_main.xlsx]data!R287C15</stp>
        <tr r="O287" s="2"/>
      </tp>
      <tp t="s">
        <v>PSA</v>
        <stp/>
        <stp>##V3_BDPV12</stp>
        <stp>31283H4W2 Mtge</stp>
        <stp>MTG_PREPAY_TYP</stp>
        <stp>[Copy of 02_cpr_main.xlsx]data!R304C11</stp>
        <tr r="K304" s="2"/>
      </tp>
      <tp t="s">
        <v>PSA</v>
        <stp/>
        <stp>##V3_BDPV12</stp>
        <stp>31283H4W2 Mtge</stp>
        <stp>MTG_PREPAY_TYP</stp>
        <stp>[Copy of 02_cpr_main.xlsx]data!R305C11</stp>
        <tr r="K305" s="2"/>
      </tp>
      <tp t="s">
        <v>PSA</v>
        <stp/>
        <stp>##V3_BDPV12</stp>
        <stp>31283H4W2 Mtge</stp>
        <stp>MTG_PREPAY_TYP</stp>
        <stp>[Copy of 02_cpr_main.xlsx]data!R306C11</stp>
        <tr r="K306" s="2"/>
      </tp>
      <tp t="s">
        <v>PSA</v>
        <stp/>
        <stp>##V3_BDPV12</stp>
        <stp>31283H4W2 Mtge</stp>
        <stp>MTG_PREPAY_TYP</stp>
        <stp>[Copy of 02_cpr_main.xlsx]data!R307C11</stp>
        <tr r="K307" s="2"/>
      </tp>
      <tp t="s">
        <v>PSA</v>
        <stp/>
        <stp>##V3_BDPV12</stp>
        <stp>31283H4W2 Mtge</stp>
        <stp>MTG_PREPAY_TYP</stp>
        <stp>[Copy of 02_cpr_main.xlsx]data!R300C11</stp>
        <tr r="K300" s="2"/>
      </tp>
      <tp t="s">
        <v>PSA</v>
        <stp/>
        <stp>##V3_BDPV12</stp>
        <stp>31283H4W2 Mtge</stp>
        <stp>MTG_PREPAY_TYP</stp>
        <stp>[Copy of 02_cpr_main.xlsx]data!R301C11</stp>
        <tr r="K301" s="2"/>
      </tp>
      <tp t="s">
        <v>PSA</v>
        <stp/>
        <stp>##V3_BDPV12</stp>
        <stp>31283H4W2 Mtge</stp>
        <stp>MTG_PREPAY_TYP</stp>
        <stp>[Copy of 02_cpr_main.xlsx]data!R302C11</stp>
        <tr r="K302" s="2"/>
      </tp>
      <tp t="s">
        <v>PSA</v>
        <stp/>
        <stp>##V3_BDPV12</stp>
        <stp>31283H4W2 Mtge</stp>
        <stp>MTG_PREPAY_TYP</stp>
        <stp>[Copy of 02_cpr_main.xlsx]data!R303C11</stp>
        <tr r="K303" s="2"/>
      </tp>
      <tp>
        <v>2</v>
        <stp/>
        <stp>##V3_BDPV12</stp>
        <stp>31296RSK5 Mtge</stp>
        <stp xml:space="preserve">MTG_PL_PSA_1M </stp>
        <stp>[Copy of 02_cpr_main.xlsx]data!R145C13</stp>
        <tr r="M145" s="2"/>
      </tp>
      <tp>
        <v>0.3</v>
        <stp/>
        <stp>##V3_BDPV12</stp>
        <stp>31410RP29 Mtge</stp>
        <stp xml:space="preserve">MTG_PL_PSA_6M </stp>
        <stp>[Copy of 02_cpr_main.xlsx]data!R382C15</stp>
        <tr r="O382" s="2"/>
      </tp>
      <tp>
        <v>729.4</v>
        <stp/>
        <stp>##V3_BDPV12</stp>
        <stp>31400RV24 Mtge</stp>
        <stp xml:space="preserve">MTG_PL_PSA_1M </stp>
        <stp>[Copy of 02_cpr_main.xlsx]data!R250C13</stp>
        <tr r="M250" s="2"/>
      </tp>
      <tp>
        <v>103.7</v>
        <stp/>
        <stp>##V3_BDPV12</stp>
        <stp>31415RR30 Mtge</stp>
        <stp xml:space="preserve">MTG_PL_PSA_3M </stp>
        <stp>[Copy of 02_cpr_main.xlsx]data!R453C14</stp>
        <tr r="N453" s="2"/>
      </tp>
      <tp t="s">
        <v>PSA</v>
        <stp/>
        <stp>##V3_BDPV12</stp>
        <stp>31283H4W2 Mtge</stp>
        <stp>MTG_PREPAY_TYP</stp>
        <stp>[Copy of 02_cpr_main.xlsx]data!R274C11</stp>
        <tr r="K274" s="2"/>
      </tp>
      <tp t="s">
        <v>PSA</v>
        <stp/>
        <stp>##V3_BDPV12</stp>
        <stp>31283H4W2 Mtge</stp>
        <stp>MTG_PREPAY_TYP</stp>
        <stp>[Copy of 02_cpr_main.xlsx]data!R275C11</stp>
        <tr r="K275" s="2"/>
      </tp>
      <tp t="s">
        <v>PSA</v>
        <stp/>
        <stp>##V3_BDPV12</stp>
        <stp>31283H4W2 Mtge</stp>
        <stp>MTG_PREPAY_TYP</stp>
        <stp>[Copy of 02_cpr_main.xlsx]data!R276C11</stp>
        <tr r="K276" s="2"/>
      </tp>
      <tp t="s">
        <v>PSA</v>
        <stp/>
        <stp>##V3_BDPV12</stp>
        <stp>31283H4W2 Mtge</stp>
        <stp>MTG_PREPAY_TYP</stp>
        <stp>[Copy of 02_cpr_main.xlsx]data!R277C11</stp>
        <tr r="K277" s="2"/>
      </tp>
      <tp t="s">
        <v>PSA</v>
        <stp/>
        <stp>##V3_BDPV12</stp>
        <stp>31283H4W2 Mtge</stp>
        <stp>MTG_PREPAY_TYP</stp>
        <stp>[Copy of 02_cpr_main.xlsx]data!R270C11</stp>
        <tr r="K270" s="2"/>
      </tp>
      <tp t="s">
        <v>PSA</v>
        <stp/>
        <stp>##V3_BDPV12</stp>
        <stp>31283H4W2 Mtge</stp>
        <stp>MTG_PREPAY_TYP</stp>
        <stp>[Copy of 02_cpr_main.xlsx]data!R271C11</stp>
        <tr r="K271" s="2"/>
      </tp>
      <tp t="s">
        <v>PSA</v>
        <stp/>
        <stp>##V3_BDPV12</stp>
        <stp>31283H4W2 Mtge</stp>
        <stp>MTG_PREPAY_TYP</stp>
        <stp>[Copy of 02_cpr_main.xlsx]data!R272C11</stp>
        <tr r="K272" s="2"/>
      </tp>
      <tp t="s">
        <v>PSA</v>
        <stp/>
        <stp>##V3_BDPV12</stp>
        <stp>31283H4W2 Mtge</stp>
        <stp>MTG_PREPAY_TYP</stp>
        <stp>[Copy of 02_cpr_main.xlsx]data!R273C11</stp>
        <tr r="K273" s="2"/>
      </tp>
      <tp t="s">
        <v>PSA</v>
        <stp/>
        <stp>##V3_BDPV12</stp>
        <stp>31283H4W2 Mtge</stp>
        <stp>MTG_PREPAY_TYP</stp>
        <stp>[Copy of 02_cpr_main.xlsx]data!R278C11</stp>
        <tr r="K278" s="2"/>
      </tp>
      <tp t="s">
        <v>PSA</v>
        <stp/>
        <stp>##V3_BDPV12</stp>
        <stp>31283H4W2 Mtge</stp>
        <stp>MTG_PREPAY_TYP</stp>
        <stp>[Copy of 02_cpr_main.xlsx]data!R279C11</stp>
        <tr r="K279" s="2"/>
      </tp>
      <tp t="s">
        <v>PSA</v>
        <stp/>
        <stp>##V3_BDPV12</stp>
        <stp>31283H4W2 Mtge</stp>
        <stp>MTG_PREPAY_TYP</stp>
        <stp>[Copy of 02_cpr_main.xlsx]data!R264C11</stp>
        <tr r="K264" s="2"/>
      </tp>
      <tp t="s">
        <v>PSA</v>
        <stp/>
        <stp>##V3_BDPV12</stp>
        <stp>31283H4W2 Mtge</stp>
        <stp>MTG_PREPAY_TYP</stp>
        <stp>[Copy of 02_cpr_main.xlsx]data!R265C11</stp>
        <tr r="K265" s="2"/>
      </tp>
      <tp t="s">
        <v>PSA</v>
        <stp/>
        <stp>##V3_BDPV12</stp>
        <stp>31283H4W2 Mtge</stp>
        <stp>MTG_PREPAY_TYP</stp>
        <stp>[Copy of 02_cpr_main.xlsx]data!R266C11</stp>
        <tr r="K266" s="2"/>
      </tp>
      <tp t="s">
        <v>PSA</v>
        <stp/>
        <stp>##V3_BDPV12</stp>
        <stp>31283H4W2 Mtge</stp>
        <stp>MTG_PREPAY_TYP</stp>
        <stp>[Copy of 02_cpr_main.xlsx]data!R267C11</stp>
        <tr r="K267" s="2"/>
      </tp>
      <tp t="s">
        <v>PSA</v>
        <stp/>
        <stp>##V3_BDPV12</stp>
        <stp>31283H4W2 Mtge</stp>
        <stp>MTG_PREPAY_TYP</stp>
        <stp>[Copy of 02_cpr_main.xlsx]data!R260C11</stp>
        <tr r="K260" s="2"/>
      </tp>
      <tp t="s">
        <v>PSA</v>
        <stp/>
        <stp>##V3_BDPV12</stp>
        <stp>31283H4W2 Mtge</stp>
        <stp>MTG_PREPAY_TYP</stp>
        <stp>[Copy of 02_cpr_main.xlsx]data!R261C11</stp>
        <tr r="K261" s="2"/>
      </tp>
      <tp t="s">
        <v>PSA</v>
        <stp/>
        <stp>##V3_BDPV12</stp>
        <stp>31283H4W2 Mtge</stp>
        <stp>MTG_PREPAY_TYP</stp>
        <stp>[Copy of 02_cpr_main.xlsx]data!R262C11</stp>
        <tr r="K262" s="2"/>
      </tp>
      <tp t="s">
        <v>PSA</v>
        <stp/>
        <stp>##V3_BDPV12</stp>
        <stp>31283H4W2 Mtge</stp>
        <stp>MTG_PREPAY_TYP</stp>
        <stp>[Copy of 02_cpr_main.xlsx]data!R263C11</stp>
        <tr r="K263" s="2"/>
      </tp>
      <tp t="s">
        <v>PSA</v>
        <stp/>
        <stp>##V3_BDPV12</stp>
        <stp>31283H4W2 Mtge</stp>
        <stp>MTG_PREPAY_TYP</stp>
        <stp>[Copy of 02_cpr_main.xlsx]data!R268C11</stp>
        <tr r="K268" s="2"/>
      </tp>
      <tp t="s">
        <v>PSA</v>
        <stp/>
        <stp>##V3_BDPV12</stp>
        <stp>31283H4W2 Mtge</stp>
        <stp>MTG_PREPAY_TYP</stp>
        <stp>[Copy of 02_cpr_main.xlsx]data!R269C11</stp>
        <tr r="K269" s="2"/>
      </tp>
      <tp t="s">
        <v>PSA</v>
        <stp/>
        <stp>##V3_BDPV12</stp>
        <stp>31283H4W2 Mtge</stp>
        <stp>MTG_PREPAY_TYP</stp>
        <stp>[Copy of 02_cpr_main.xlsx]data!R254C11</stp>
        <tr r="K254" s="2"/>
      </tp>
      <tp t="s">
        <v>PSA</v>
        <stp/>
        <stp>##V3_BDPV12</stp>
        <stp>31283H4W2 Mtge</stp>
        <stp>MTG_PREPAY_TYP</stp>
        <stp>[Copy of 02_cpr_main.xlsx]data!R255C11</stp>
        <tr r="K255" s="2"/>
      </tp>
      <tp t="s">
        <v>PSA</v>
        <stp/>
        <stp>##V3_BDPV12</stp>
        <stp>31283H4W2 Mtge</stp>
        <stp>MTG_PREPAY_TYP</stp>
        <stp>[Copy of 02_cpr_main.xlsx]data!R256C11</stp>
        <tr r="K256" s="2"/>
      </tp>
      <tp t="s">
        <v>PSA</v>
        <stp/>
        <stp>##V3_BDPV12</stp>
        <stp>31283H4W2 Mtge</stp>
        <stp>MTG_PREPAY_TYP</stp>
        <stp>[Copy of 02_cpr_main.xlsx]data!R257C11</stp>
        <tr r="K257" s="2"/>
      </tp>
      <tp t="s">
        <v>PSA</v>
        <stp/>
        <stp>##V3_BDPV12</stp>
        <stp>31283H4W2 Mtge</stp>
        <stp>MTG_PREPAY_TYP</stp>
        <stp>[Copy of 02_cpr_main.xlsx]data!R250C11</stp>
        <tr r="K250" s="2"/>
      </tp>
      <tp t="s">
        <v>PSA</v>
        <stp/>
        <stp>##V3_BDPV12</stp>
        <stp>31283H4W2 Mtge</stp>
        <stp>MTG_PREPAY_TYP</stp>
        <stp>[Copy of 02_cpr_main.xlsx]data!R251C11</stp>
        <tr r="K251" s="2"/>
      </tp>
      <tp t="s">
        <v>PSA</v>
        <stp/>
        <stp>##V3_BDPV12</stp>
        <stp>31283H4W2 Mtge</stp>
        <stp>MTG_PREPAY_TYP</stp>
        <stp>[Copy of 02_cpr_main.xlsx]data!R252C11</stp>
        <tr r="K252" s="2"/>
      </tp>
      <tp t="s">
        <v>PSA</v>
        <stp/>
        <stp>##V3_BDPV12</stp>
        <stp>31283H4W2 Mtge</stp>
        <stp>MTG_PREPAY_TYP</stp>
        <stp>[Copy of 02_cpr_main.xlsx]data!R253C11</stp>
        <tr r="K253" s="2"/>
      </tp>
      <tp t="s">
        <v>PSA</v>
        <stp/>
        <stp>##V3_BDPV12</stp>
        <stp>31283H4W2 Mtge</stp>
        <stp>MTG_PREPAY_TYP</stp>
        <stp>[Copy of 02_cpr_main.xlsx]data!R258C11</stp>
        <tr r="K258" s="2"/>
      </tp>
      <tp t="s">
        <v>PSA</v>
        <stp/>
        <stp>##V3_BDPV12</stp>
        <stp>31283H4W2 Mtge</stp>
        <stp>MTG_PREPAY_TYP</stp>
        <stp>[Copy of 02_cpr_main.xlsx]data!R259C11</stp>
        <tr r="K259" s="2"/>
      </tp>
      <tp t="s">
        <v>PSA</v>
        <stp/>
        <stp>##V3_BDPV12</stp>
        <stp>31283H4W2 Mtge</stp>
        <stp>MTG_PREPAY_TYP</stp>
        <stp>[Copy of 02_cpr_main.xlsx]data!R244C11</stp>
        <tr r="K244" s="2"/>
      </tp>
      <tp t="s">
        <v>PSA</v>
        <stp/>
        <stp>##V3_BDPV12</stp>
        <stp>31283H4W2 Mtge</stp>
        <stp>MTG_PREPAY_TYP</stp>
        <stp>[Copy of 02_cpr_main.xlsx]data!R245C11</stp>
        <tr r="K245" s="2"/>
      </tp>
      <tp t="s">
        <v>PSA</v>
        <stp/>
        <stp>##V3_BDPV12</stp>
        <stp>31283H4W2 Mtge</stp>
        <stp>MTG_PREPAY_TYP</stp>
        <stp>[Copy of 02_cpr_main.xlsx]data!R246C11</stp>
        <tr r="K246" s="2"/>
      </tp>
      <tp t="s">
        <v>PSA</v>
        <stp/>
        <stp>##V3_BDPV12</stp>
        <stp>31283H4W2 Mtge</stp>
        <stp>MTG_PREPAY_TYP</stp>
        <stp>[Copy of 02_cpr_main.xlsx]data!R247C11</stp>
        <tr r="K247" s="2"/>
      </tp>
      <tp t="s">
        <v>PSA</v>
        <stp/>
        <stp>##V3_BDPV12</stp>
        <stp>31283H4W2 Mtge</stp>
        <stp>MTG_PREPAY_TYP</stp>
        <stp>[Copy of 02_cpr_main.xlsx]data!R240C11</stp>
        <tr r="K240" s="2"/>
      </tp>
      <tp t="s">
        <v>PSA</v>
        <stp/>
        <stp>##V3_BDPV12</stp>
        <stp>31283H4W2 Mtge</stp>
        <stp>MTG_PREPAY_TYP</stp>
        <stp>[Copy of 02_cpr_main.xlsx]data!R241C11</stp>
        <tr r="K241" s="2"/>
      </tp>
      <tp t="s">
        <v>PSA</v>
        <stp/>
        <stp>##V3_BDPV12</stp>
        <stp>31283H4W2 Mtge</stp>
        <stp>MTG_PREPAY_TYP</stp>
        <stp>[Copy of 02_cpr_main.xlsx]data!R242C11</stp>
        <tr r="K242" s="2"/>
      </tp>
      <tp t="s">
        <v>PSA</v>
        <stp/>
        <stp>##V3_BDPV12</stp>
        <stp>31283H4W2 Mtge</stp>
        <stp>MTG_PREPAY_TYP</stp>
        <stp>[Copy of 02_cpr_main.xlsx]data!R243C11</stp>
        <tr r="K243" s="2"/>
      </tp>
      <tp t="s">
        <v>PSA</v>
        <stp/>
        <stp>##V3_BDPV12</stp>
        <stp>31283H4W2 Mtge</stp>
        <stp>MTG_PREPAY_TYP</stp>
        <stp>[Copy of 02_cpr_main.xlsx]data!R248C11</stp>
        <tr r="K248" s="2"/>
      </tp>
      <tp t="s">
        <v>PSA</v>
        <stp/>
        <stp>##V3_BDPV12</stp>
        <stp>31283H4W2 Mtge</stp>
        <stp>MTG_PREPAY_TYP</stp>
        <stp>[Copy of 02_cpr_main.xlsx]data!R249C11</stp>
        <tr r="K249" s="2"/>
      </tp>
      <tp t="s">
        <v>PSA</v>
        <stp/>
        <stp>##V3_BDPV12</stp>
        <stp>31283H4W2 Mtge</stp>
        <stp>MTG_PREPAY_TYP</stp>
        <stp>[Copy of 02_cpr_main.xlsx]data!R234C11</stp>
        <tr r="K234" s="2"/>
      </tp>
      <tp t="s">
        <v>PSA</v>
        <stp/>
        <stp>##V3_BDPV12</stp>
        <stp>31283H4W2 Mtge</stp>
        <stp>MTG_PREPAY_TYP</stp>
        <stp>[Copy of 02_cpr_main.xlsx]data!R235C11</stp>
        <tr r="K235" s="2"/>
      </tp>
      <tp t="s">
        <v>PSA</v>
        <stp/>
        <stp>##V3_BDPV12</stp>
        <stp>31283H4W2 Mtge</stp>
        <stp>MTG_PREPAY_TYP</stp>
        <stp>[Copy of 02_cpr_main.xlsx]data!R236C11</stp>
        <tr r="K236" s="2"/>
      </tp>
      <tp t="s">
        <v>PSA</v>
        <stp/>
        <stp>##V3_BDPV12</stp>
        <stp>31283H4W2 Mtge</stp>
        <stp>MTG_PREPAY_TYP</stp>
        <stp>[Copy of 02_cpr_main.xlsx]data!R237C11</stp>
        <tr r="K237" s="2"/>
      </tp>
      <tp t="s">
        <v>PSA</v>
        <stp/>
        <stp>##V3_BDPV12</stp>
        <stp>31283H4W2 Mtge</stp>
        <stp>MTG_PREPAY_TYP</stp>
        <stp>[Copy of 02_cpr_main.xlsx]data!R230C11</stp>
        <tr r="K230" s="2"/>
      </tp>
      <tp t="s">
        <v>PSA</v>
        <stp/>
        <stp>##V3_BDPV12</stp>
        <stp>31283H4W2 Mtge</stp>
        <stp>MTG_PREPAY_TYP</stp>
        <stp>[Copy of 02_cpr_main.xlsx]data!R231C11</stp>
        <tr r="K231" s="2"/>
      </tp>
      <tp t="s">
        <v>PSA</v>
        <stp/>
        <stp>##V3_BDPV12</stp>
        <stp>31283H4W2 Mtge</stp>
        <stp>MTG_PREPAY_TYP</stp>
        <stp>[Copy of 02_cpr_main.xlsx]data!R232C11</stp>
        <tr r="K232" s="2"/>
      </tp>
      <tp t="s">
        <v>PSA</v>
        <stp/>
        <stp>##V3_BDPV12</stp>
        <stp>31283H4W2 Mtge</stp>
        <stp>MTG_PREPAY_TYP</stp>
        <stp>[Copy of 02_cpr_main.xlsx]data!R233C11</stp>
        <tr r="K233" s="2"/>
      </tp>
      <tp t="s">
        <v>PSA</v>
        <stp/>
        <stp>##V3_BDPV12</stp>
        <stp>31283H4W2 Mtge</stp>
        <stp>MTG_PREPAY_TYP</stp>
        <stp>[Copy of 02_cpr_main.xlsx]data!R238C11</stp>
        <tr r="K238" s="2"/>
      </tp>
      <tp t="s">
        <v>PSA</v>
        <stp/>
        <stp>##V3_BDPV12</stp>
        <stp>31283H4W2 Mtge</stp>
        <stp>MTG_PREPAY_TYP</stp>
        <stp>[Copy of 02_cpr_main.xlsx]data!R239C11</stp>
        <tr r="K239" s="2"/>
      </tp>
      <tp t="s">
        <v>PSA</v>
        <stp/>
        <stp>##V3_BDPV12</stp>
        <stp>31283H4W2 Mtge</stp>
        <stp>MTG_PREPAY_TYP</stp>
        <stp>[Copy of 02_cpr_main.xlsx]data!R224C11</stp>
        <tr r="K224" s="2"/>
      </tp>
      <tp t="s">
        <v>PSA</v>
        <stp/>
        <stp>##V3_BDPV12</stp>
        <stp>31283H4W2 Mtge</stp>
        <stp>MTG_PREPAY_TYP</stp>
        <stp>[Copy of 02_cpr_main.xlsx]data!R225C11</stp>
        <tr r="K225" s="2"/>
      </tp>
      <tp t="s">
        <v>PSA</v>
        <stp/>
        <stp>##V3_BDPV12</stp>
        <stp>31283H4W2 Mtge</stp>
        <stp>MTG_PREPAY_TYP</stp>
        <stp>[Copy of 02_cpr_main.xlsx]data!R226C11</stp>
        <tr r="K226" s="2"/>
      </tp>
      <tp t="s">
        <v>PSA</v>
        <stp/>
        <stp>##V3_BDPV12</stp>
        <stp>31283H4W2 Mtge</stp>
        <stp>MTG_PREPAY_TYP</stp>
        <stp>[Copy of 02_cpr_main.xlsx]data!R227C11</stp>
        <tr r="K227" s="2"/>
      </tp>
      <tp t="s">
        <v>PSA</v>
        <stp/>
        <stp>##V3_BDPV12</stp>
        <stp>31283H4W2 Mtge</stp>
        <stp>MTG_PREPAY_TYP</stp>
        <stp>[Copy of 02_cpr_main.xlsx]data!R220C11</stp>
        <tr r="K220" s="2"/>
      </tp>
      <tp t="s">
        <v>PSA</v>
        <stp/>
        <stp>##V3_BDPV12</stp>
        <stp>31283H4W2 Mtge</stp>
        <stp>MTG_PREPAY_TYP</stp>
        <stp>[Copy of 02_cpr_main.xlsx]data!R221C11</stp>
        <tr r="K221" s="2"/>
      </tp>
      <tp t="s">
        <v>PSA</v>
        <stp/>
        <stp>##V3_BDPV12</stp>
        <stp>31283H4W2 Mtge</stp>
        <stp>MTG_PREPAY_TYP</stp>
        <stp>[Copy of 02_cpr_main.xlsx]data!R222C11</stp>
        <tr r="K222" s="2"/>
      </tp>
      <tp t="s">
        <v>PSA</v>
        <stp/>
        <stp>##V3_BDPV12</stp>
        <stp>31283H4W2 Mtge</stp>
        <stp>MTG_PREPAY_TYP</stp>
        <stp>[Copy of 02_cpr_main.xlsx]data!R223C11</stp>
        <tr r="K223" s="2"/>
      </tp>
      <tp t="s">
        <v>PSA</v>
        <stp/>
        <stp>##V3_BDPV12</stp>
        <stp>31283H4W2 Mtge</stp>
        <stp>MTG_PREPAY_TYP</stp>
        <stp>[Copy of 02_cpr_main.xlsx]data!R228C11</stp>
        <tr r="K228" s="2"/>
      </tp>
      <tp t="s">
        <v>PSA</v>
        <stp/>
        <stp>##V3_BDPV12</stp>
        <stp>31283H4W2 Mtge</stp>
        <stp>MTG_PREPAY_TYP</stp>
        <stp>[Copy of 02_cpr_main.xlsx]data!R229C11</stp>
        <tr r="K229" s="2"/>
      </tp>
      <tp t="s">
        <v>PSA</v>
        <stp/>
        <stp>##V3_BDPV12</stp>
        <stp>31283H4W2 Mtge</stp>
        <stp>MTG_PREPAY_TYP</stp>
        <stp>[Copy of 02_cpr_main.xlsx]data!R214C11</stp>
        <tr r="K214" s="2"/>
      </tp>
      <tp t="s">
        <v>PSA</v>
        <stp/>
        <stp>##V3_BDPV12</stp>
        <stp>31283H4W2 Mtge</stp>
        <stp>MTG_PREPAY_TYP</stp>
        <stp>[Copy of 02_cpr_main.xlsx]data!R215C11</stp>
        <tr r="K215" s="2"/>
      </tp>
      <tp t="s">
        <v>PSA</v>
        <stp/>
        <stp>##V3_BDPV12</stp>
        <stp>31283H4W2 Mtge</stp>
        <stp>MTG_PREPAY_TYP</stp>
        <stp>[Copy of 02_cpr_main.xlsx]data!R216C11</stp>
        <tr r="K216" s="2"/>
      </tp>
      <tp t="s">
        <v>PSA</v>
        <stp/>
        <stp>##V3_BDPV12</stp>
        <stp>31283H4W2 Mtge</stp>
        <stp>MTG_PREPAY_TYP</stp>
        <stp>[Copy of 02_cpr_main.xlsx]data!R217C11</stp>
        <tr r="K217" s="2"/>
      </tp>
      <tp t="s">
        <v>PSA</v>
        <stp/>
        <stp>##V3_BDPV12</stp>
        <stp>31283H4W2 Mtge</stp>
        <stp>MTG_PREPAY_TYP</stp>
        <stp>[Copy of 02_cpr_main.xlsx]data!R210C11</stp>
        <tr r="K210" s="2"/>
      </tp>
      <tp t="s">
        <v>PSA</v>
        <stp/>
        <stp>##V3_BDPV12</stp>
        <stp>31283H4W2 Mtge</stp>
        <stp>MTG_PREPAY_TYP</stp>
        <stp>[Copy of 02_cpr_main.xlsx]data!R211C11</stp>
        <tr r="K211" s="2"/>
      </tp>
      <tp t="s">
        <v>PSA</v>
        <stp/>
        <stp>##V3_BDPV12</stp>
        <stp>31283H4W2 Mtge</stp>
        <stp>MTG_PREPAY_TYP</stp>
        <stp>[Copy of 02_cpr_main.xlsx]data!R212C11</stp>
        <tr r="K212" s="2"/>
      </tp>
      <tp t="s">
        <v>PSA</v>
        <stp/>
        <stp>##V3_BDPV12</stp>
        <stp>31283H4W2 Mtge</stp>
        <stp>MTG_PREPAY_TYP</stp>
        <stp>[Copy of 02_cpr_main.xlsx]data!R213C11</stp>
        <tr r="K213" s="2"/>
      </tp>
      <tp t="s">
        <v>PSA</v>
        <stp/>
        <stp>##V3_BDPV12</stp>
        <stp>31283H4W2 Mtge</stp>
        <stp>MTG_PREPAY_TYP</stp>
        <stp>[Copy of 02_cpr_main.xlsx]data!R218C11</stp>
        <tr r="K218" s="2"/>
      </tp>
      <tp t="s">
        <v>PSA</v>
        <stp/>
        <stp>##V3_BDPV12</stp>
        <stp>31283H4W2 Mtge</stp>
        <stp>MTG_PREPAY_TYP</stp>
        <stp>[Copy of 02_cpr_main.xlsx]data!R219C11</stp>
        <tr r="K219" s="2"/>
      </tp>
      <tp t="s">
        <v>PSA</v>
        <stp/>
        <stp>##V3_BDPV12</stp>
        <stp>31283H4W2 Mtge</stp>
        <stp>MTG_PREPAY_TYP</stp>
        <stp>[Copy of 02_cpr_main.xlsx]data!R204C11</stp>
        <tr r="K204" s="2"/>
      </tp>
      <tp t="s">
        <v>PSA</v>
        <stp/>
        <stp>##V3_BDPV12</stp>
        <stp>31283H4W2 Mtge</stp>
        <stp>MTG_PREPAY_TYP</stp>
        <stp>[Copy of 02_cpr_main.xlsx]data!R205C11</stp>
        <tr r="K205" s="2"/>
      </tp>
      <tp t="s">
        <v>PSA</v>
        <stp/>
        <stp>##V3_BDPV12</stp>
        <stp>31283H4W2 Mtge</stp>
        <stp>MTG_PREPAY_TYP</stp>
        <stp>[Copy of 02_cpr_main.xlsx]data!R206C11</stp>
        <tr r="K206" s="2"/>
      </tp>
      <tp t="s">
        <v>PSA</v>
        <stp/>
        <stp>##V3_BDPV12</stp>
        <stp>31283H4W2 Mtge</stp>
        <stp>MTG_PREPAY_TYP</stp>
        <stp>[Copy of 02_cpr_main.xlsx]data!R207C11</stp>
        <tr r="K207" s="2"/>
      </tp>
      <tp t="s">
        <v>PSA</v>
        <stp/>
        <stp>##V3_BDPV12</stp>
        <stp>31283H4W2 Mtge</stp>
        <stp>MTG_PREPAY_TYP</stp>
        <stp>[Copy of 02_cpr_main.xlsx]data!R200C11</stp>
        <tr r="K200" s="2"/>
      </tp>
      <tp t="s">
        <v>PSA</v>
        <stp/>
        <stp>##V3_BDPV12</stp>
        <stp>31283H4W2 Mtge</stp>
        <stp>MTG_PREPAY_TYP</stp>
        <stp>[Copy of 02_cpr_main.xlsx]data!R201C11</stp>
        <tr r="K201" s="2"/>
      </tp>
      <tp t="s">
        <v>PSA</v>
        <stp/>
        <stp>##V3_BDPV12</stp>
        <stp>31283H4W2 Mtge</stp>
        <stp>MTG_PREPAY_TYP</stp>
        <stp>[Copy of 02_cpr_main.xlsx]data!R202C11</stp>
        <tr r="K202" s="2"/>
      </tp>
      <tp t="s">
        <v>PSA</v>
        <stp/>
        <stp>##V3_BDPV12</stp>
        <stp>31283H4W2 Mtge</stp>
        <stp>MTG_PREPAY_TYP</stp>
        <stp>[Copy of 02_cpr_main.xlsx]data!R203C11</stp>
        <tr r="K203" s="2"/>
      </tp>
      <tp t="s">
        <v>PSA</v>
        <stp/>
        <stp>##V3_BDPV12</stp>
        <stp>31283H4W2 Mtge</stp>
        <stp>MTG_PREPAY_TYP</stp>
        <stp>[Copy of 02_cpr_main.xlsx]data!R208C11</stp>
        <tr r="K208" s="2"/>
      </tp>
      <tp t="s">
        <v>PSA</v>
        <stp/>
        <stp>##V3_BDPV12</stp>
        <stp>31283H4W2 Mtge</stp>
        <stp>MTG_PREPAY_TYP</stp>
        <stp>[Copy of 02_cpr_main.xlsx]data!R209C11</stp>
        <tr r="K209" s="2"/>
      </tp>
      <tp t="s">
        <v>PSA</v>
        <stp/>
        <stp>##V3_BDPV12</stp>
        <stp>31283H4W2 Mtge</stp>
        <stp>MTG_PREPAY_TYP</stp>
        <stp>[Copy of 02_cpr_main.xlsx]data!R294C11</stp>
        <tr r="K294" s="2"/>
      </tp>
      <tp t="s">
        <v>PSA</v>
        <stp/>
        <stp>##V3_BDPV12</stp>
        <stp>31283H4W2 Mtge</stp>
        <stp>MTG_PREPAY_TYP</stp>
        <stp>[Copy of 02_cpr_main.xlsx]data!R295C11</stp>
        <tr r="K295" s="2"/>
      </tp>
      <tp t="s">
        <v>PSA</v>
        <stp/>
        <stp>##V3_BDPV12</stp>
        <stp>31283H4W2 Mtge</stp>
        <stp>MTG_PREPAY_TYP</stp>
        <stp>[Copy of 02_cpr_main.xlsx]data!R296C11</stp>
        <tr r="K296" s="2"/>
      </tp>
      <tp t="s">
        <v>PSA</v>
        <stp/>
        <stp>##V3_BDPV12</stp>
        <stp>31283H4W2 Mtge</stp>
        <stp>MTG_PREPAY_TYP</stp>
        <stp>[Copy of 02_cpr_main.xlsx]data!R297C11</stp>
        <tr r="K297" s="2"/>
      </tp>
      <tp t="s">
        <v>PSA</v>
        <stp/>
        <stp>##V3_BDPV12</stp>
        <stp>31283H4W2 Mtge</stp>
        <stp>MTG_PREPAY_TYP</stp>
        <stp>[Copy of 02_cpr_main.xlsx]data!R290C11</stp>
        <tr r="K290" s="2"/>
      </tp>
      <tp t="s">
        <v>PSA</v>
        <stp/>
        <stp>##V3_BDPV12</stp>
        <stp>31283H4W2 Mtge</stp>
        <stp>MTG_PREPAY_TYP</stp>
        <stp>[Copy of 02_cpr_main.xlsx]data!R291C11</stp>
        <tr r="K291" s="2"/>
      </tp>
      <tp t="s">
        <v>PSA</v>
        <stp/>
        <stp>##V3_BDPV12</stp>
        <stp>31283H4W2 Mtge</stp>
        <stp>MTG_PREPAY_TYP</stp>
        <stp>[Copy of 02_cpr_main.xlsx]data!R292C11</stp>
        <tr r="K292" s="2"/>
      </tp>
      <tp t="s">
        <v>PSA</v>
        <stp/>
        <stp>##V3_BDPV12</stp>
        <stp>31283H4W2 Mtge</stp>
        <stp>MTG_PREPAY_TYP</stp>
        <stp>[Copy of 02_cpr_main.xlsx]data!R293C11</stp>
        <tr r="K293" s="2"/>
      </tp>
      <tp t="s">
        <v>PSA</v>
        <stp/>
        <stp>##V3_BDPV12</stp>
        <stp>31283H4W2 Mtge</stp>
        <stp>MTG_PREPAY_TYP</stp>
        <stp>[Copy of 02_cpr_main.xlsx]data!R298C11</stp>
        <tr r="K298" s="2"/>
      </tp>
      <tp t="s">
        <v>PSA</v>
        <stp/>
        <stp>##V3_BDPV12</stp>
        <stp>31283H4W2 Mtge</stp>
        <stp>MTG_PREPAY_TYP</stp>
        <stp>[Copy of 02_cpr_main.xlsx]data!R299C11</stp>
        <tr r="K299" s="2"/>
      </tp>
      <tp t="s">
        <v>PSA</v>
        <stp/>
        <stp>##V3_BDPV12</stp>
        <stp>31283H4W2 Mtge</stp>
        <stp>MTG_PREPAY_TYP</stp>
        <stp>[Copy of 02_cpr_main.xlsx]data!R284C11</stp>
        <tr r="K284" s="2"/>
      </tp>
      <tp t="s">
        <v>PSA</v>
        <stp/>
        <stp>##V3_BDPV12</stp>
        <stp>31283H4W2 Mtge</stp>
        <stp>MTG_PREPAY_TYP</stp>
        <stp>[Copy of 02_cpr_main.xlsx]data!R285C11</stp>
        <tr r="K285" s="2"/>
      </tp>
      <tp t="s">
        <v>PSA</v>
        <stp/>
        <stp>##V3_BDPV12</stp>
        <stp>31283H4W2 Mtge</stp>
        <stp>MTG_PREPAY_TYP</stp>
        <stp>[Copy of 02_cpr_main.xlsx]data!R286C11</stp>
        <tr r="K286" s="2"/>
      </tp>
      <tp t="s">
        <v>PSA</v>
        <stp/>
        <stp>##V3_BDPV12</stp>
        <stp>31283H4W2 Mtge</stp>
        <stp>MTG_PREPAY_TYP</stp>
        <stp>[Copy of 02_cpr_main.xlsx]data!R287C11</stp>
        <tr r="K287" s="2"/>
      </tp>
      <tp t="s">
        <v>PSA</v>
        <stp/>
        <stp>##V3_BDPV12</stp>
        <stp>31283H4W2 Mtge</stp>
        <stp>MTG_PREPAY_TYP</stp>
        <stp>[Copy of 02_cpr_main.xlsx]data!R280C11</stp>
        <tr r="K280" s="2"/>
      </tp>
      <tp t="s">
        <v>PSA</v>
        <stp/>
        <stp>##V3_BDPV12</stp>
        <stp>31283H4W2 Mtge</stp>
        <stp>MTG_PREPAY_TYP</stp>
        <stp>[Copy of 02_cpr_main.xlsx]data!R281C11</stp>
        <tr r="K281" s="2"/>
      </tp>
      <tp t="s">
        <v>PSA</v>
        <stp/>
        <stp>##V3_BDPV12</stp>
        <stp>31283H4W2 Mtge</stp>
        <stp>MTG_PREPAY_TYP</stp>
        <stp>[Copy of 02_cpr_main.xlsx]data!R282C11</stp>
        <tr r="K282" s="2"/>
      </tp>
      <tp t="s">
        <v>PSA</v>
        <stp/>
        <stp>##V3_BDPV12</stp>
        <stp>31283H4W2 Mtge</stp>
        <stp>MTG_PREPAY_TYP</stp>
        <stp>[Copy of 02_cpr_main.xlsx]data!R283C11</stp>
        <tr r="K283" s="2"/>
      </tp>
      <tp t="s">
        <v>PSA</v>
        <stp/>
        <stp>##V3_BDPV12</stp>
        <stp>31283H4W2 Mtge</stp>
        <stp>MTG_PREPAY_TYP</stp>
        <stp>[Copy of 02_cpr_main.xlsx]data!R288C11</stp>
        <tr r="K288" s="2"/>
      </tp>
      <tp t="s">
        <v>PSA</v>
        <stp/>
        <stp>##V3_BDPV12</stp>
        <stp>31283H4W2 Mtge</stp>
        <stp>MTG_PREPAY_TYP</stp>
        <stp>[Copy of 02_cpr_main.xlsx]data!R289C11</stp>
        <tr r="K289" s="2"/>
      </tp>
      <tp>
        <v>57.8</v>
        <stp/>
        <stp>##V3_BDPV12</stp>
        <stp>31407RVA9 Mtge</stp>
        <stp xml:space="preserve">MTG_PL_PSA_1M </stp>
        <stp>[Copy of 02_cpr_main.xlsx]data!R346C13</stp>
        <tr r="M346" s="2"/>
      </tp>
      <tp>
        <v>-0.1</v>
        <stp/>
        <stp>##V3_BDPV12</stp>
        <stp>31382RRH8 Mtge</stp>
        <stp xml:space="preserve">MTG_PL_PSA_3M </stp>
        <stp>[Copy of 02_cpr_main.xlsx]data!R202C14</stp>
        <tr r="N202" s="2"/>
      </tp>
      <tp t="s">
        <v>CPR</v>
        <stp/>
        <stp>##V3_BDPV12</stp>
        <stp>31406H3D7 Mtge</stp>
        <stp>MTG_PREPAY_TYP</stp>
        <stp>[Copy of 02_cpr_main.xlsx]data!R337C11</stp>
        <tr r="K337" s="2"/>
      </tp>
      <tp t="s">
        <v>CPR</v>
        <stp/>
        <stp>##V3_BDPV12</stp>
        <stp>31405H4U9 Mtge</stp>
        <stp>MTG_PREPAY_TYP</stp>
        <stp>[Copy of 02_cpr_main.xlsx]data!R325C11</stp>
        <tr r="K325" s="2"/>
      </tp>
      <tp>
        <v>58.9</v>
        <stp/>
        <stp>##V3_BDPV12</stp>
        <stp>31407RVA9 Mtge</stp>
        <stp xml:space="preserve">MTG_PL_PSA_6M </stp>
        <stp>[Copy of 02_cpr_main.xlsx]data!R346C15</stp>
        <tr r="O346" s="2"/>
      </tp>
      <tp>
        <v>1614.8</v>
        <stp/>
        <stp>##V3_BDPV12</stp>
        <stp>31402RR84 Mtge</stp>
        <stp xml:space="preserve">MTG_PL_PSA_3M </stp>
        <stp>[Copy of 02_cpr_main.xlsx]data!R287C14</stp>
        <tr r="N287" s="2"/>
      </tp>
      <tp>
        <v>1.9</v>
        <stp/>
        <stp>##V3_BDPV12</stp>
        <stp>31296RSK5 Mtge</stp>
        <stp xml:space="preserve">MTG_PL_PSA_6M </stp>
        <stp>[Copy of 02_cpr_main.xlsx]data!R145C15</stp>
        <tr r="O145" s="2"/>
      </tp>
      <tp>
        <v>0.4</v>
        <stp/>
        <stp>##V3_BDPV12</stp>
        <stp>31410RP29 Mtge</stp>
        <stp xml:space="preserve">MTG_PL_PSA_1M </stp>
        <stp>[Copy of 02_cpr_main.xlsx]data!R382C13</stp>
        <tr r="M382" s="2"/>
      </tp>
      <tp>
        <v>410.4</v>
        <stp/>
        <stp>##V3_BDPV12</stp>
        <stp>31400RV24 Mtge</stp>
        <stp xml:space="preserve">MTG_PL_PSA_6M </stp>
        <stp>[Copy of 02_cpr_main.xlsx]data!R250C15</stp>
        <tr r="O250" s="2"/>
      </tp>
      <tp>
        <v>0</v>
        <stp/>
        <stp>##V3_BDPV12</stp>
        <stp>31382RRH8 Mtge</stp>
        <stp xml:space="preserve">MTG_PL_PSA_6M </stp>
        <stp>[Copy of 02_cpr_main.xlsx]data!R202C15</stp>
        <tr r="O202" s="2"/>
      </tp>
      <tp>
        <v>0</v>
        <stp/>
        <stp>##V3_BDPV12</stp>
        <stp>31402RR84 Mtge</stp>
        <stp xml:space="preserve">MTG_PL_PSA_1M </stp>
        <stp>[Copy of 02_cpr_main.xlsx]data!R287C13</stp>
        <tr r="M287" s="2"/>
      </tp>
      <tp>
        <v>0.5</v>
        <stp/>
        <stp>##V3_BDPV12</stp>
        <stp>31410RP29 Mtge</stp>
        <stp xml:space="preserve">MTG_PL_PSA_3M </stp>
        <stp>[Copy of 02_cpr_main.xlsx]data!R382C14</stp>
        <tr r="N382" s="2"/>
      </tp>
      <tp>
        <v>98.8</v>
        <stp/>
        <stp>##V3_BDPV12</stp>
        <stp>31415RR30 Mtge</stp>
        <stp xml:space="preserve">MTG_PL_PSA_6M </stp>
        <stp>[Copy of 02_cpr_main.xlsx]data!R453C15</stp>
        <tr r="O453" s="2"/>
      </tp>
      <tp>
        <v>3.8</v>
        <stp/>
        <stp>##V3_BDPV12</stp>
        <stp>31400RXM8 Mtge</stp>
        <stp xml:space="preserve">MTG_PL_PSA_6M </stp>
        <stp>[Copy of 02_cpr_main.xlsx]data!R251C15</stp>
        <tr r="O251" s="2"/>
      </tp>
      <tp>
        <v>3.3</v>
        <stp/>
        <stp>##V3_BDPV12</stp>
        <stp>31400RXM8 Mtge</stp>
        <stp xml:space="preserve">MTG_PL_PSA_1M </stp>
        <stp>[Copy of 02_cpr_main.xlsx]data!R251C13</stp>
        <tr r="M251" s="2"/>
      </tp>
      <tp>
        <v>3.2</v>
        <stp/>
        <stp>##V3_BDPV12</stp>
        <stp>31400RXM8 Mtge</stp>
        <stp xml:space="preserve">MTG_PL_PSA_3M </stp>
        <stp>[Copy of 02_cpr_main.xlsx]data!R251C14</stp>
        <tr r="N251" s="2"/>
      </tp>
    </main>
    <main first="bloomberg.rtd">
      <tp t="s">
        <v>CPR</v>
        <stp/>
        <stp>##V3_BDPV12</stp>
        <stp>31414HDB0 Mtge</stp>
        <stp>MTG_PREPAY_TYP</stp>
        <stp>[Copy of 02_cpr_main.xlsx]data!R439C11</stp>
        <tr r="K439" s="2"/>
      </tp>
    </main>
    <main first="bloomberg.rtd">
      <tp t="s">
        <v>PSA</v>
        <stp/>
        <stp>##V3_BDPV12</stp>
        <stp>31408HJ55 Mtge</stp>
        <stp>MTG_PREPAY_TYP</stp>
        <stp>[Copy of 02_cpr_main.xlsx]data!R350C11</stp>
        <tr r="K350" s="2"/>
      </tp>
    </main>
    <main first="bloomberg.rtd">
      <tp>
        <v>323</v>
        <stp/>
        <stp>##V3_BDPV12</stp>
        <stp>02R050440 Mtge</stp>
        <stp>MTG_PREPAY_SPEED</stp>
        <stp>[Copy of 02_cpr_main.xlsx]data!R21C12</stp>
        <tr r="L21" s="2"/>
      </tp>
      <tp>
        <v>304</v>
        <stp/>
        <stp>##V3_BDPV12</stp>
        <stp>02R042447 Mtge</stp>
        <stp>MTG_PREPAY_SPEED</stp>
        <stp>[Copy of 02_cpr_main.xlsx]data!R19C12</stp>
        <tr r="L19" s="2"/>
      </tp>
      <tp>
        <v>348</v>
        <stp/>
        <stp>##V3_BDPV12</stp>
        <stp>02R052446 Mtge</stp>
        <stp>MTG_PREPAY_SPEED</stp>
        <stp>[Copy of 02_cpr_main.xlsx]data!R23C12</stp>
        <tr r="L23" s="2"/>
      </tp>
      <tp>
        <v>139.30000000000001</v>
        <stp/>
        <stp>##V3_BDPV12</stp>
        <stp>31403R2E7 Mtge</stp>
        <stp xml:space="preserve">MTG_PL_PSA_6M </stp>
        <stp>[Copy of 02_cpr_main.xlsx]data!R309C15</stp>
        <tr r="O309" s="2"/>
      </tp>
      <tp>
        <v>1666.7</v>
        <stp/>
        <stp>##V3_BDPV12</stp>
        <stp>31403R4H8 Mtge</stp>
        <stp xml:space="preserve">MTG_PL_PSA_1M </stp>
        <stp>[Copy of 02_cpr_main.xlsx]data!R311C13</stp>
        <tr r="M311" s="2"/>
      </tp>
      <tp>
        <v>1666.7</v>
        <stp/>
        <stp>##V3_BDPV12</stp>
        <stp>31403R3B2 Mtge</stp>
        <stp xml:space="preserve">MTG_PL_PSA_6M </stp>
        <stp>[Copy of 02_cpr_main.xlsx]data!R310C15</stp>
        <tr r="O310" s="2"/>
      </tp>
      <tp>
        <v>1666.7</v>
        <stp/>
        <stp>##V3_BDPV12</stp>
        <stp>31403R4H8 Mtge</stp>
        <stp xml:space="preserve">MTG_PL_PSA_3M </stp>
        <stp>[Copy of 02_cpr_main.xlsx]data!R311C14</stp>
        <tr r="N311" s="2"/>
      </tp>
      <tp>
        <v>1666.7</v>
        <stp/>
        <stp>##V3_BDPV12</stp>
        <stp>31403R3B2 Mtge</stp>
        <stp xml:space="preserve">MTG_PL_PSA_3M </stp>
        <stp>[Copy of 02_cpr_main.xlsx]data!R310C14</stp>
        <tr r="N310" s="2"/>
      </tp>
      <tp>
        <v>130</v>
        <stp/>
        <stp>##V3_BDPV12</stp>
        <stp>31403R2E7 Mtge</stp>
        <stp xml:space="preserve">MTG_PL_PSA_3M </stp>
        <stp>[Copy of 02_cpr_main.xlsx]data!R309C14</stp>
        <tr r="N309" s="2"/>
      </tp>
      <tp>
        <v>1666.7</v>
        <stp/>
        <stp>##V3_BDPV12</stp>
        <stp>31403R4H8 Mtge</stp>
        <stp xml:space="preserve">MTG_PL_PSA_6M </stp>
        <stp>[Copy of 02_cpr_main.xlsx]data!R311C15</stp>
        <tr r="O311" s="2"/>
      </tp>
      <tp>
        <v>1666.7</v>
        <stp/>
        <stp>##V3_BDPV12</stp>
        <stp>31403R3B2 Mtge</stp>
        <stp xml:space="preserve">MTG_PL_PSA_1M </stp>
        <stp>[Copy of 02_cpr_main.xlsx]data!R310C13</stp>
        <tr r="M310" s="2"/>
      </tp>
      <tp>
        <v>132.19999999999999</v>
        <stp/>
        <stp>##V3_BDPV12</stp>
        <stp>31403R2E7 Mtge</stp>
        <stp xml:space="preserve">MTG_PL_PSA_1M </stp>
        <stp>[Copy of 02_cpr_main.xlsx]data!R309C13</stp>
        <tr r="M309" s="2"/>
      </tp>
      <tp t="s">
        <v>PSA</v>
        <stp/>
        <stp>##V3_BDPV12</stp>
        <stp>31408HXP5 Mtge</stp>
        <stp>MTG_PREPAY_TYP</stp>
        <stp>[Copy of 02_cpr_main.xlsx]data!R351C11</stp>
        <tr r="K351" s="2"/>
      </tp>
      <tp t="s">
        <v>#N/A Invalid Field</v>
        <stp/>
        <stp>##V3_BDHV12</stp>
        <stp>36290W3Y6 Mtge</stp>
        <stp>MTG_GEN_CPR_12M</stp>
        <stp>20090610</stp>
        <stp>20090610</stp>
        <stp>[Copy of 02_cpr_main.xlsx]data!R498C10</stp>
        <stp>Dts=H</stp>
        <tr r="J498" s="2"/>
      </tp>
      <tp>
        <v>3.1</v>
        <stp/>
        <stp>##V3_BDPV12</stp>
        <stp>31413SCS1 Mtge</stp>
        <stp xml:space="preserve">MTG_PL_PSA_1M </stp>
        <stp>[Copy of 02_cpr_main.xlsx]data!R432C13</stp>
        <tr r="M432" s="2"/>
      </tp>
      <tp>
        <v>1666.7</v>
        <stp/>
        <stp>##V3_BDPV12</stp>
        <stp>31415SCE0 Mtge</stp>
        <stp xml:space="preserve">MTG_PL_PSA_1M </stp>
        <stp>[Copy of 02_cpr_main.xlsx]data!R454C13</stp>
        <tr r="M454" s="2"/>
      </tp>
      <tp>
        <v>6.6</v>
        <stp/>
        <stp>##V3_BDPV12</stp>
        <stp>31349SF40 Mtge</stp>
        <stp xml:space="preserve">MTG_PL_PSA_6M </stp>
        <stp>[Copy of 02_cpr_main.xlsx]data!R157C15</stp>
        <tr r="O157" s="2"/>
      </tp>
      <tp>
        <v>383.5</v>
        <stp/>
        <stp>##V3_BDPV12</stp>
        <stp>31413SCS1 Mtge</stp>
        <stp xml:space="preserve">MTG_PL_PSA_3M </stp>
        <stp>[Copy of 02_cpr_main.xlsx]data!R432C14</stp>
        <tr r="N432" s="2"/>
      </tp>
      <tp>
        <v>1666.7</v>
        <stp/>
        <stp>##V3_BDPV12</stp>
        <stp>31415SCE0 Mtge</stp>
        <stp xml:space="preserve">MTG_PL_PSA_3M </stp>
        <stp>[Copy of 02_cpr_main.xlsx]data!R454C14</stp>
        <tr r="N454" s="2"/>
      </tp>
      <tp>
        <v>-11.5</v>
        <stp/>
        <stp>##V3_BDPV12</stp>
        <stp>31349SF40 Mtge</stp>
        <stp xml:space="preserve">MTG_PL_PSA_3M </stp>
        <stp>[Copy of 02_cpr_main.xlsx]data!R157C14</stp>
        <tr r="N157" s="2"/>
      </tp>
      <tp>
        <v>210.9</v>
        <stp/>
        <stp>##V3_BDPV12</stp>
        <stp>31413SCS1 Mtge</stp>
        <stp xml:space="preserve">MTG_PL_PSA_6M </stp>
        <stp>[Copy of 02_cpr_main.xlsx]data!R432C15</stp>
        <tr r="O432" s="2"/>
      </tp>
      <tp>
        <v>1666.7</v>
        <stp/>
        <stp>##V3_BDPV12</stp>
        <stp>31415SCE0 Mtge</stp>
        <stp xml:space="preserve">MTG_PL_PSA_6M </stp>
        <stp>[Copy of 02_cpr_main.xlsx]data!R454C15</stp>
        <tr r="O454" s="2"/>
      </tp>
      <tp>
        <v>-36.6</v>
        <stp/>
        <stp>##V3_BDPV12</stp>
        <stp>31349SF40 Mtge</stp>
        <stp xml:space="preserve">MTG_PL_PSA_1M </stp>
        <stp>[Copy of 02_cpr_main.xlsx]data!R157C13</stp>
        <tr r="M157" s="2"/>
      </tp>
      <tp>
        <v>186</v>
        <stp/>
        <stp>##V3_BDPV12</stp>
        <stp>3128M6UU0 Mtge</stp>
        <stp>MTG_PREPAY_SPEED</stp>
        <stp>[Copy of 02_cpr_main.xlsx]data!R91C12</stp>
        <tr r="L91" s="2"/>
      </tp>
      <tp>
        <v>14.5</v>
        <stp/>
        <stp>##V3_BDPV12</stp>
        <stp>3128QSKM7 Mtge</stp>
        <stp xml:space="preserve">MTG_PL_PSA_3M </stp>
        <stp>[Copy of 02_cpr_main.xlsx]data!R111C14</stp>
        <tr r="N111" s="2"/>
      </tp>
      <tp>
        <v>0.6</v>
        <stp/>
        <stp>##V3_BDPV12</stp>
        <stp>31413SHF4 Mtge</stp>
        <stp xml:space="preserve">MTG_PL_PSA_3M </stp>
        <stp>[Copy of 02_cpr_main.xlsx]data!R433C14</stp>
        <tr r="N433" s="2"/>
      </tp>
      <tp>
        <v>8.6</v>
        <stp/>
        <stp>##V3_BDPV12</stp>
        <stp>31411SNF9 Mtge</stp>
        <stp xml:space="preserve">MTG_PL_PSA_3M </stp>
        <stp>[Copy of 02_cpr_main.xlsx]data!R394C14</stp>
        <tr r="N394" s="2"/>
      </tp>
      <tp>
        <v>3.5</v>
        <stp/>
        <stp>##V3_BDPV12</stp>
        <stp>31390SJ85 Mtge</stp>
        <stp xml:space="preserve">MTG_PL_PSA_1M </stp>
        <stp>[Copy of 02_cpr_main.xlsx]data!R235C13</stp>
        <tr r="M235" s="2"/>
      </tp>
      <tp>
        <v>80.599999999999994</v>
        <stp/>
        <stp>##V3_BDPV12</stp>
        <stp>31296SLS3 Mtge</stp>
        <stp xml:space="preserve">MTG_PL_PSA_6M </stp>
        <stp>[Copy of 02_cpr_main.xlsx]data!R146C15</stp>
        <tr r="O146" s="2"/>
      </tp>
      <tp>
        <v>13.4</v>
        <stp/>
        <stp>##V3_BDPV12</stp>
        <stp>3128QSKM7 Mtge</stp>
        <stp xml:space="preserve">MTG_PL_PSA_1M </stp>
        <stp>[Copy of 02_cpr_main.xlsx]data!R111C13</stp>
        <tr r="M111" s="2"/>
      </tp>
      <tp>
        <v>0.6</v>
        <stp/>
        <stp>##V3_BDPV12</stp>
        <stp>31413SHF4 Mtge</stp>
        <stp xml:space="preserve">MTG_PL_PSA_1M </stp>
        <stp>[Copy of 02_cpr_main.xlsx]data!R433C13</stp>
        <tr r="M433" s="2"/>
      </tp>
      <tp>
        <v>7.6</v>
        <stp/>
        <stp>##V3_BDPV12</stp>
        <stp>31411SNF9 Mtge</stp>
        <stp xml:space="preserve">MTG_PL_PSA_1M </stp>
        <stp>[Copy of 02_cpr_main.xlsx]data!R394C13</stp>
        <tr r="M394" s="2"/>
      </tp>
      <tp>
        <v>140</v>
        <stp/>
        <stp>##V3_BDPV12</stp>
        <stp>3128L7UY1 Mtge</stp>
        <stp>MTG_PREPAY_SPEED</stp>
        <stp>[Copy of 02_cpr_main.xlsx]data!R76C12</stp>
        <tr r="L76" s="2"/>
      </tp>
      <tp>
        <v>3.4</v>
        <stp/>
        <stp>##V3_BDPV12</stp>
        <stp>31390SJ85 Mtge</stp>
        <stp xml:space="preserve">MTG_PL_PSA_3M </stp>
        <stp>[Copy of 02_cpr_main.xlsx]data!R235C14</stp>
        <tr r="N235" s="2"/>
      </tp>
      <tp>
        <v>49.7</v>
        <stp/>
        <stp>##V3_BDPV12</stp>
        <stp>31298SM84 Mtge</stp>
        <stp xml:space="preserve">MTG_PL_PSA_6M </stp>
        <stp>[Copy of 02_cpr_main.xlsx]data!R153C15</stp>
        <tr r="O153" s="2"/>
      </tp>
      <tp>
        <v>7.2</v>
        <stp/>
        <stp>##V3_BDPV12</stp>
        <stp>31411SNF9 Mtge</stp>
        <stp xml:space="preserve">MTG_PL_PSA_6M </stp>
        <stp>[Copy of 02_cpr_main.xlsx]data!R394C15</stp>
        <tr r="O394" s="2"/>
      </tp>
      <tp>
        <v>60.3</v>
        <stp/>
        <stp>##V3_BDPV12</stp>
        <stp>31298SM84 Mtge</stp>
        <stp xml:space="preserve">MTG_PL_PSA_1M </stp>
        <stp>[Copy of 02_cpr_main.xlsx]data!R153C13</stp>
        <tr r="M153" s="2"/>
      </tp>
      <tp>
        <v>42.8</v>
        <stp/>
        <stp>##V3_BDPV12</stp>
        <stp>31296SLS3 Mtge</stp>
        <stp xml:space="preserve">MTG_PL_PSA_1M </stp>
        <stp>[Copy of 02_cpr_main.xlsx]data!R146C13</stp>
        <tr r="M146" s="2"/>
      </tp>
      <tp>
        <v>21.7</v>
        <stp/>
        <stp>##V3_BDPV12</stp>
        <stp>3128QSKM7 Mtge</stp>
        <stp xml:space="preserve">MTG_PL_PSA_6M </stp>
        <stp>[Copy of 02_cpr_main.xlsx]data!R111C15</stp>
        <tr r="O111" s="2"/>
      </tp>
      <tp>
        <v>0.5</v>
        <stp/>
        <stp>##V3_BDPV12</stp>
        <stp>31413SHF4 Mtge</stp>
        <stp xml:space="preserve">MTG_PL_PSA_6M </stp>
        <stp>[Copy of 02_cpr_main.xlsx]data!R433C15</stp>
        <tr r="O433" s="2"/>
      </tp>
      <tp>
        <v>3.3</v>
        <stp/>
        <stp>##V3_BDPV12</stp>
        <stp>31390SJ85 Mtge</stp>
        <stp xml:space="preserve">MTG_PL_PSA_6M </stp>
        <stp>[Copy of 02_cpr_main.xlsx]data!R235C15</stp>
        <tr r="O235" s="2"/>
      </tp>
      <tp>
        <v>55.6</v>
        <stp/>
        <stp>##V3_BDPV12</stp>
        <stp>31298SM84 Mtge</stp>
        <stp xml:space="preserve">MTG_PL_PSA_3M </stp>
        <stp>[Copy of 02_cpr_main.xlsx]data!R153C14</stp>
        <tr r="N153" s="2"/>
      </tp>
      <tp>
        <v>58.4</v>
        <stp/>
        <stp>##V3_BDPV12</stp>
        <stp>31296SLS3 Mtge</stp>
        <stp xml:space="preserve">MTG_PL_PSA_3M </stp>
        <stp>[Copy of 02_cpr_main.xlsx]data!R146C14</stp>
        <tr r="N146" s="2"/>
      </tp>
    </main>
    <main first="bloomberg.rtd">
      <tp t="s">
        <v>PSA</v>
        <stp/>
        <stp>##V3_BDPV12</stp>
        <stp>36291NM40 Mtge</stp>
        <stp>MTG_PREPAY_TYP</stp>
        <stp>[Copy of 02_cpr_main.xlsx]data!R503C11</stp>
        <tr r="K503" s="2"/>
      </tp>
    </main>
    <main first="bloomberg.rtd">
      <tp>
        <v>2.6</v>
        <stp/>
        <stp>##V3_BDPV12</stp>
        <stp>31410S5Y9 Mtge</stp>
        <stp xml:space="preserve">MTG_PL_PSA_1M </stp>
        <stp>[Copy of 02_cpr_main.xlsx]data!R383C13</stp>
        <tr r="M383" s="2"/>
      </tp>
      <tp>
        <v>30.3</v>
        <stp/>
        <stp>##V3_BDPV12</stp>
        <stp>3128QS6G6 Mtge</stp>
        <stp xml:space="preserve">MTG_PL_PSA_6M </stp>
        <stp>[Copy of 02_cpr_main.xlsx]data!R110C15</stp>
        <tr r="O110" s="2"/>
      </tp>
      <tp>
        <v>3.5</v>
        <stp/>
        <stp>##V3_BDPV12</stp>
        <stp>31410S5Y9 Mtge</stp>
        <stp xml:space="preserve">MTG_PL_PSA_3M </stp>
        <stp>[Copy of 02_cpr_main.xlsx]data!R383C14</stp>
        <tr r="N383" s="2"/>
      </tp>
      <tp>
        <v>6.5</v>
        <stp/>
        <stp>##V3_BDPV12</stp>
        <stp>3128QS6G6 Mtge</stp>
        <stp xml:space="preserve">MTG_PL_PSA_3M </stp>
        <stp>[Copy of 02_cpr_main.xlsx]data!R110C14</stp>
        <tr r="N110" s="2"/>
      </tp>
      <tp t="s">
        <v>#N/A N/A</v>
        <stp/>
        <stp>##V3_BDPV12</stp>
        <stp>36294NV54 Mtge</stp>
        <stp>MTG_PREPAY_TYP</stp>
        <stp>[Copy of 02_cpr_main.xlsx]data!R505C11</stp>
        <tr r="K505" s="2"/>
      </tp>
      <tp>
        <v>4.2</v>
        <stp/>
        <stp>##V3_BDPV12</stp>
        <stp>31410S5Y9 Mtge</stp>
        <stp xml:space="preserve">MTG_PL_PSA_6M </stp>
        <stp>[Copy of 02_cpr_main.xlsx]data!R383C15</stp>
        <tr r="O383" s="2"/>
      </tp>
      <tp>
        <v>6.6</v>
        <stp/>
        <stp>##V3_BDPV12</stp>
        <stp>3128QS6G6 Mtge</stp>
        <stp xml:space="preserve">MTG_PL_PSA_1M </stp>
        <stp>[Copy of 02_cpr_main.xlsx]data!R110C13</stp>
        <tr r="M110" s="2"/>
      </tp>
      <tp t="s">
        <v>#N/A Invalid Field</v>
        <stp/>
        <stp>##V3_BDHV12</stp>
        <stp>31374F2P3 Mtge</stp>
        <stp>MTG_GEN_CPR_12M</stp>
        <stp>20090610</stp>
        <stp>20090610</stp>
        <stp>[Copy of 02_cpr_main.xlsx]data!R182C10</stp>
        <stp>Dts=H</stp>
        <tr r="J182" s="2"/>
      </tp>
      <tp t="s">
        <v>#N/A Invalid Field</v>
        <stp/>
        <stp>##V3_BDHV12</stp>
        <stp>31376J2W8 Mtge</stp>
        <stp>MTG_GEN_CPR_12M</stp>
        <stp>20090610</stp>
        <stp>20090610</stp>
        <stp>[Copy of 02_cpr_main.xlsx]data!R186C10</stp>
        <stp>Dts=H</stp>
        <tr r="J186" s="2"/>
      </tp>
      <tp t="s">
        <v>#N/A Invalid Field</v>
        <stp/>
        <stp>##V3_BDHV12</stp>
        <stp>31410S5Y9 Mtge</stp>
        <stp>MTG_GEN_CPR_12M</stp>
        <stp>20090610</stp>
        <stp>20090610</stp>
        <stp>[Copy of 02_cpr_main.xlsx]data!R383C10</stp>
        <stp>Dts=H</stp>
        <tr r="J383" s="2"/>
      </tp>
      <tp t="s">
        <v>#N/A Invalid Field</v>
        <stp/>
        <stp>##V3_BDHV12</stp>
        <stp>36225A3K4 Mtge</stp>
        <stp>MTG_GEN_CPR_12M</stp>
        <stp>20090610</stp>
        <stp>20090610</stp>
        <stp>[Copy of 02_cpr_main.xlsx]data!R489C10</stp>
        <stp>Dts=H</stp>
        <tr r="J489" s="2"/>
      </tp>
      <tp t="s">
        <v>#N/A Invalid Field</v>
        <stp/>
        <stp>##V3_BDHV12</stp>
        <stp>31376J2J7 Mtge</stp>
        <stp>MTG_GEN_CPR_12M</stp>
        <stp>20090610</stp>
        <stp>20090610</stp>
        <stp>[Copy of 02_cpr_main.xlsx]data!R185C10</stp>
        <stp>Dts=H</stp>
        <tr r="J185" s="2"/>
      </tp>
      <tp>
        <v>1666.7</v>
        <stp/>
        <stp>##V3_BDPV12</stp>
        <stp>31388PCR0 Mtge</stp>
        <stp xml:space="preserve">MTG_PL_PSA_1M </stp>
        <stp>[Copy of 02_cpr_main.xlsx]data!R228C13</stp>
        <tr r="M228" s="2"/>
      </tp>
      <tp>
        <v>1666.7</v>
        <stp/>
        <stp>##V3_BDPV12</stp>
        <stp>3128PPAR4 Mtge</stp>
        <stp xml:space="preserve">MTG_PL_PSA_1M </stp>
        <stp>[Copy of 02_cpr_main.xlsx]data!R104C13</stp>
        <tr r="M104" s="2"/>
      </tp>
      <tp>
        <v>0</v>
        <stp/>
        <stp>##V3_BDPV12</stp>
        <stp>3128PPAS2 Mtge</stp>
        <stp xml:space="preserve">MTG_PL_PSA_1M </stp>
        <stp>[Copy of 02_cpr_main.xlsx]data!R105C13</stp>
        <tr r="M105" s="2"/>
      </tp>
      <tp>
        <v>1285.2</v>
        <stp/>
        <stp>##V3_BDPV12</stp>
        <stp>31412PEV9 Mtge</stp>
        <stp xml:space="preserve">MTG_PL_PSA_6M </stp>
        <stp>[Copy of 02_cpr_main.xlsx]data!R412C15</stp>
        <tr r="O412" s="2"/>
      </tp>
      <tp>
        <v>0</v>
        <stp/>
        <stp>##V3_BDPV12</stp>
        <stp>31412PBG5 Mtge</stp>
        <stp xml:space="preserve">MTG_PL_PSA_1M </stp>
        <stp>[Copy of 02_cpr_main.xlsx]data!R411C13</stp>
        <tr r="M411" s="2"/>
      </tp>
      <tp>
        <v>1666.7</v>
        <stp/>
        <stp>##V3_BDPV12</stp>
        <stp>36202WGD5 Mtge</stp>
        <stp xml:space="preserve">MTG_PL_PSA_3M </stp>
        <stp>[Copy of 02_cpr_main.xlsx]data!R476C14</stp>
        <tr r="N476" s="2"/>
      </tp>
      <tp>
        <v>1666.7</v>
        <stp/>
        <stp>##V3_BDPV12</stp>
        <stp>3128PPAS2 Mtge</stp>
        <stp xml:space="preserve">MTG_PL_PSA_3M </stp>
        <stp>[Copy of 02_cpr_main.xlsx]data!R105C14</stp>
        <tr r="N105" s="2"/>
      </tp>
      <tp>
        <v>1666.7</v>
        <stp/>
        <stp>##V3_BDPV12</stp>
        <stp>3128PPAR4 Mtge</stp>
        <stp xml:space="preserve">MTG_PL_PSA_3M </stp>
        <stp>[Copy of 02_cpr_main.xlsx]data!R104C14</stp>
        <tr r="N104" s="2"/>
      </tp>
      <tp>
        <v>1666.7</v>
        <stp/>
        <stp>##V3_BDPV12</stp>
        <stp>31388PCR0 Mtge</stp>
        <stp xml:space="preserve">MTG_PL_PSA_3M </stp>
        <stp>[Copy of 02_cpr_main.xlsx]data!R228C14</stp>
        <tr r="N228" s="2"/>
      </tp>
      <tp>
        <v>1259.3</v>
        <stp/>
        <stp>##V3_BDPV12</stp>
        <stp>31412PBG5 Mtge</stp>
        <stp xml:space="preserve">MTG_PL_PSA_3M </stp>
        <stp>[Copy of 02_cpr_main.xlsx]data!R411C14</stp>
        <tr r="N411" s="2"/>
      </tp>
      <tp>
        <v>0</v>
        <stp/>
        <stp>##V3_BDPV12</stp>
        <stp>31415PGB8 Mtge</stp>
        <stp xml:space="preserve">MTG_PL_PSA_6M </stp>
        <stp>[Copy of 02_cpr_main.xlsx]data!R449C15</stp>
        <tr r="O449" s="2"/>
      </tp>
      <tp>
        <v>1666.7</v>
        <stp/>
        <stp>##V3_BDPV12</stp>
        <stp>36202WGD5 Mtge</stp>
        <stp xml:space="preserve">MTG_PL_PSA_1M </stp>
        <stp>[Copy of 02_cpr_main.xlsx]data!R476C13</stp>
        <tr r="M476" s="2"/>
      </tp>
      <tp>
        <v>1666.7</v>
        <stp/>
        <stp>##V3_BDPV12</stp>
        <stp>36202WGD5 Mtge</stp>
        <stp xml:space="preserve">MTG_PL_PSA_6M </stp>
        <stp>[Copy of 02_cpr_main.xlsx]data!R476C15</stp>
        <tr r="O476" s="2"/>
      </tp>
      <tp>
        <v>1496</v>
        <stp/>
        <stp>##V3_BDPV12</stp>
        <stp>31412PEV9 Mtge</stp>
        <stp xml:space="preserve">MTG_PL_PSA_3M </stp>
        <stp>[Copy of 02_cpr_main.xlsx]data!R412C14</stp>
        <tr r="N412" s="2"/>
      </tp>
      <tp>
        <v>0</v>
        <stp/>
        <stp>##V3_BDPV12</stp>
        <stp>31415PGB8 Mtge</stp>
        <stp xml:space="preserve">MTG_PL_PSA_1M </stp>
        <stp>[Copy of 02_cpr_main.xlsx]data!R449C13</stp>
        <tr r="M449" s="2"/>
      </tp>
      <tp>
        <v>186</v>
        <stp/>
        <stp>##V3_BDPV12</stp>
        <stp>3128M4VW0 Mtge</stp>
        <stp>MTG_PREPAY_SPEED</stp>
        <stp>[Copy of 02_cpr_main.xlsx]data!R85C12</stp>
        <tr r="L85" s="2"/>
      </tp>
      <tp t="s">
        <v>#N/A N/A</v>
        <stp/>
        <stp>##V3_BDPV12</stp>
        <stp>31287YVT8 Mtge</stp>
        <stp>MTG_PREPAY_SPEED</stp>
        <stp>[Copy of 02_cpr_main.xlsx]data!R38C12</stp>
        <tr r="L38" s="2"/>
      </tp>
      <tp t="s">
        <v>#N/A N/A</v>
        <stp/>
        <stp>##V3_BDPV12</stp>
        <stp>3128GCVT6 Mtge</stp>
        <stp>MTG_PREPAY_SPEED</stp>
        <stp>[Copy of 02_cpr_main.xlsx]data!R43C12</stp>
        <tr r="L43" s="2"/>
      </tp>
      <tp>
        <v>1666.7</v>
        <stp/>
        <stp>##V3_BDPV12</stp>
        <stp>3128PPAR4 Mtge</stp>
        <stp xml:space="preserve">MTG_PL_PSA_6M </stp>
        <stp>[Copy of 02_cpr_main.xlsx]data!R104C15</stp>
        <tr r="O104" s="2"/>
      </tp>
      <tp>
        <v>1666.2</v>
        <stp/>
        <stp>##V3_BDPV12</stp>
        <stp>3128PPAS2 Mtge</stp>
        <stp xml:space="preserve">MTG_PL_PSA_6M </stp>
        <stp>[Copy of 02_cpr_main.xlsx]data!R105C15</stp>
        <tr r="O105" s="2"/>
      </tp>
      <tp>
        <v>1666.7</v>
        <stp/>
        <stp>##V3_BDPV12</stp>
        <stp>31388PCR0 Mtge</stp>
        <stp xml:space="preserve">MTG_PL_PSA_6M </stp>
        <stp>[Copy of 02_cpr_main.xlsx]data!R228C15</stp>
        <tr r="O228" s="2"/>
      </tp>
      <tp>
        <v>0</v>
        <stp/>
        <stp>##V3_BDPV12</stp>
        <stp>31412PEV9 Mtge</stp>
        <stp xml:space="preserve">MTG_PL_PSA_1M </stp>
        <stp>[Copy of 02_cpr_main.xlsx]data!R412C13</stp>
        <tr r="M412" s="2"/>
      </tp>
      <tp>
        <v>0</v>
        <stp/>
        <stp>##V3_BDPV12</stp>
        <stp>31415PGB8 Mtge</stp>
        <stp xml:space="preserve">MTG_PL_PSA_3M </stp>
        <stp>[Copy of 02_cpr_main.xlsx]data!R449C14</stp>
        <tr r="N449" s="2"/>
      </tp>
      <tp>
        <v>1076.2</v>
        <stp/>
        <stp>##V3_BDPV12</stp>
        <stp>31412PBG5 Mtge</stp>
        <stp xml:space="preserve">MTG_PL_PSA_6M </stp>
        <stp>[Copy of 02_cpr_main.xlsx]data!R411C15</stp>
        <tr r="O411" s="2"/>
      </tp>
      <tp>
        <v>83.1</v>
        <stp/>
        <stp>##V3_BDPV12</stp>
        <stp>31415PMH8 Mtge</stp>
        <stp xml:space="preserve">MTG_PL_PSA_6M </stp>
        <stp>[Copy of 02_cpr_main.xlsx]data!R450C15</stp>
        <tr r="O450" s="2"/>
      </tp>
      <tp>
        <v>598.6</v>
        <stp/>
        <stp>##V3_BDPV12</stp>
        <stp>36200WJE2 Mtge</stp>
        <stp xml:space="preserve">MTG_PL_PSA_6M </stp>
        <stp>[Copy of 02_cpr_main.xlsx]data!R470C15</stp>
        <tr r="O470" s="2"/>
      </tp>
      <tp>
        <v>4.3</v>
        <stp/>
        <stp>##V3_BDPV12</stp>
        <stp>36202WH69 Mtge</stp>
        <stp xml:space="preserve">MTG_PL_PSA_6M </stp>
        <stp>[Copy of 02_cpr_main.xlsx]data!R477C15</stp>
        <tr r="O477" s="2"/>
      </tp>
      <tp>
        <v>978.4</v>
        <stp/>
        <stp>##V3_BDPV12</stp>
        <stp>36200WJE2 Mtge</stp>
        <stp xml:space="preserve">MTG_PL_PSA_3M </stp>
        <stp>[Copy of 02_cpr_main.xlsx]data!R470C14</stp>
        <tr r="N470" s="2"/>
      </tp>
      <tp>
        <v>0.2</v>
        <stp/>
        <stp>##V3_BDPV12</stp>
        <stp>36202WH69 Mtge</stp>
        <stp xml:space="preserve">MTG_PL_PSA_1M </stp>
        <stp>[Copy of 02_cpr_main.xlsx]data!R477C13</stp>
        <tr r="M477" s="2"/>
      </tp>
      <tp>
        <v>85</v>
        <stp/>
        <stp>##V3_BDPV12</stp>
        <stp>31415PMH8 Mtge</stp>
        <stp xml:space="preserve">MTG_PL_PSA_3M </stp>
        <stp>[Copy of 02_cpr_main.xlsx]data!R450C14</stp>
        <tr r="N450" s="2"/>
      </tp>
      <tp>
        <v>11.9</v>
        <stp/>
        <stp>##V3_BDPV12</stp>
        <stp>36200WJE2 Mtge</stp>
        <stp xml:space="preserve">MTG_PL_PSA_1M </stp>
        <stp>[Copy of 02_cpr_main.xlsx]data!R470C13</stp>
        <tr r="M470" s="2"/>
      </tp>
      <tp>
        <v>9.1</v>
        <stp/>
        <stp>##V3_BDPV12</stp>
        <stp>36202WH69 Mtge</stp>
        <stp xml:space="preserve">MTG_PL_PSA_3M </stp>
        <stp>[Copy of 02_cpr_main.xlsx]data!R477C14</stp>
        <tr r="N477" s="2"/>
      </tp>
      <tp>
        <v>86.4</v>
        <stp/>
        <stp>##V3_BDPV12</stp>
        <stp>31415PMH8 Mtge</stp>
        <stp xml:space="preserve">MTG_PL_PSA_1M </stp>
        <stp>[Copy of 02_cpr_main.xlsx]data!R450C13</stp>
        <tr r="M450" s="2"/>
      </tp>
      <tp>
        <v>1302.5999999999999</v>
        <stp/>
        <stp>##V3_BDPV12</stp>
        <stp>31391PUV6 Mtge</stp>
        <stp xml:space="preserve">MTG_PL_PSA_6M </stp>
        <stp>[Copy of 02_cpr_main.xlsx]data!R239C15</stp>
        <tr r="O239" s="2"/>
      </tp>
      <tp>
        <v>1666.7</v>
        <stp/>
        <stp>##V3_BDPV12</stp>
        <stp>31382PPC5 Mtge</stp>
        <stp xml:space="preserve">MTG_PL_PSA_3M </stp>
        <stp>[Copy of 02_cpr_main.xlsx]data!R201C14</stp>
        <tr r="N201" s="2"/>
      </tp>
      <tp>
        <v>1666.7</v>
        <stp/>
        <stp>##V3_BDPV12</stp>
        <stp>31414PTH2 Mtge</stp>
        <stp xml:space="preserve">MTG_PL_PSA_6M </stp>
        <stp>[Copy of 02_cpr_main.xlsx]data!R442C15</stp>
        <tr r="O442" s="2"/>
      </tp>
      <tp t="s">
        <v>CPR</v>
        <stp/>
        <stp>##V3_BDPV12</stp>
        <stp>31404J2J3 Mtge</stp>
        <stp>MTG_PREPAY_TYP</stp>
        <stp>[Copy of 02_cpr_main.xlsx]data!R314C11</stp>
        <tr r="K314" s="2"/>
      </tp>
      <tp>
        <v>0</v>
        <stp/>
        <stp>##V3_BDPV12</stp>
        <stp>36209WQL9 Mtge</stp>
        <stp xml:space="preserve">MTG_PL_PSA_6M </stp>
        <stp>[Copy of 02_cpr_main.xlsx]data!R482C15</stp>
        <tr r="O482" s="2"/>
      </tp>
      <tp>
        <v>1666.7</v>
        <stp/>
        <stp>##V3_BDPV12</stp>
        <stp>31382PPC5 Mtge</stp>
        <stp xml:space="preserve">MTG_PL_PSA_1M </stp>
        <stp>[Copy of 02_cpr_main.xlsx]data!R201C13</stp>
        <tr r="M201" s="2"/>
      </tp>
      <tp>
        <v>1527.7</v>
        <stp/>
        <stp>##V3_BDPV12</stp>
        <stp>31391PUV6 Mtge</stp>
        <stp xml:space="preserve">MTG_PL_PSA_3M </stp>
        <stp>[Copy of 02_cpr_main.xlsx]data!R239C14</stp>
        <tr r="N239" s="2"/>
      </tp>
      <tp>
        <v>1666.7</v>
        <stp/>
        <stp>##V3_BDPV12</stp>
        <stp>31382PPC5 Mtge</stp>
        <stp xml:space="preserve">MTG_PL_PSA_6M </stp>
        <stp>[Copy of 02_cpr_main.xlsx]data!R201C15</stp>
        <tr r="O201" s="2"/>
      </tp>
      <tp>
        <v>1666.7</v>
        <stp/>
        <stp>##V3_BDPV12</stp>
        <stp>31414PTH2 Mtge</stp>
        <stp xml:space="preserve">MTG_PL_PSA_3M </stp>
        <stp>[Copy of 02_cpr_main.xlsx]data!R442C14</stp>
        <tr r="N442" s="2"/>
      </tp>
      <tp>
        <v>0</v>
        <stp/>
        <stp>##V3_BDPV12</stp>
        <stp>36209WQL9 Mtge</stp>
        <stp xml:space="preserve">MTG_PL_PSA_1M </stp>
        <stp>[Copy of 02_cpr_main.xlsx]data!R482C13</stp>
        <tr r="M482" s="2"/>
      </tp>
      <tp>
        <v>0</v>
        <stp/>
        <stp>##V3_BDPV12</stp>
        <stp>31391PUV6 Mtge</stp>
        <stp xml:space="preserve">MTG_PL_PSA_1M </stp>
        <stp>[Copy of 02_cpr_main.xlsx]data!R239C13</stp>
        <tr r="M239" s="2"/>
      </tp>
      <tp>
        <v>1666.7</v>
        <stp/>
        <stp>##V3_BDPV12</stp>
        <stp>31414PTH2 Mtge</stp>
        <stp xml:space="preserve">MTG_PL_PSA_1M </stp>
        <stp>[Copy of 02_cpr_main.xlsx]data!R442C13</stp>
        <tr r="M442" s="2"/>
      </tp>
      <tp t="s">
        <v>PSA</v>
        <stp/>
        <stp>##V3_BDPV12</stp>
        <stp>36200M6G3 Mtge</stp>
        <stp>MTG_PREPAY_TYP</stp>
        <stp>[Copy of 02_cpr_main.xlsx]data!R465C11</stp>
        <tr r="K465" s="2"/>
      </tp>
      <tp>
        <v>0</v>
        <stp/>
        <stp>##V3_BDPV12</stp>
        <stp>36209WQL9 Mtge</stp>
        <stp xml:space="preserve">MTG_PL_PSA_3M </stp>
        <stp>[Copy of 02_cpr_main.xlsx]data!R482C14</stp>
        <tr r="N482" s="2"/>
      </tp>
      <tp>
        <v>1666.7</v>
        <stp/>
        <stp>##V3_BDPV12</stp>
        <stp>31410PYM9 Mtge</stp>
        <stp xml:space="preserve">MTG_PL_PSA_6M </stp>
        <stp>[Copy of 02_cpr_main.xlsx]data!R380C15</stp>
        <tr r="O380" s="2"/>
      </tp>
      <tp>
        <v>1666.7</v>
        <stp/>
        <stp>##V3_BDPV12</stp>
        <stp>31410PYM9 Mtge</stp>
        <stp xml:space="preserve">MTG_PL_PSA_1M </stp>
        <stp>[Copy of 02_cpr_main.xlsx]data!R380C13</stp>
        <tr r="M380" s="2"/>
      </tp>
      <tp>
        <v>1666.7</v>
        <stp/>
        <stp>##V3_BDPV12</stp>
        <stp>31410PYM9 Mtge</stp>
        <stp xml:space="preserve">MTG_PL_PSA_3M </stp>
        <stp>[Copy of 02_cpr_main.xlsx]data!R380C14</stp>
        <tr r="N380" s="2"/>
      </tp>
    </main>
    <main first="bloomberg.rtd">
      <tp t="s">
        <v>PSA</v>
        <stp/>
        <stp>##V3_BDPV12</stp>
        <stp>31407JBC5 Mtge</stp>
        <stp>MTG_PREPAY_TYP</stp>
        <stp>[Copy of 02_cpr_main.xlsx]data!R342C11</stp>
        <tr r="K342" s="2"/>
      </tp>
    </main>
    <main first="bloomberg.rtd">
      <tp t="s">
        <v>#N/A N/A</v>
        <stp/>
        <stp>##V3_BDPV12</stp>
        <stp>31404JHV0 Mtge</stp>
        <stp>MTG_PREPAY_TYP</stp>
        <stp>[Copy of 02_cpr_main.xlsx]data!R315C11</stp>
        <tr r="K315" s="2"/>
      </tp>
    </main>
    <main first="bloomberg.rtd">
      <tp t="s">
        <v>PSA</v>
        <stp/>
        <stp>##V3_BDPV12</stp>
        <stp>31413JLB8 Mtge</stp>
        <stp>MTG_PREPAY_TYP</stp>
        <stp>[Copy of 02_cpr_main.xlsx]data!R422C11</stp>
        <tr r="K422" s="2"/>
      </tp>
    </main>
    <main first="bloomberg.rtd">
      <tp t="s">
        <v>PSA</v>
        <stp/>
        <stp>##V3_BDPV12</stp>
        <stp>31413JJ96 Mtge</stp>
        <stp>MTG_PREPAY_TYP</stp>
        <stp>[Copy of 02_cpr_main.xlsx]data!R421C11</stp>
        <tr r="K421" s="2"/>
      </tp>
    </main>
    <main first="bloomberg.rtd">
      <tp>
        <v>124</v>
        <stp/>
        <stp>##V3_BDPV12</stp>
        <stp>02R050648 Mtge</stp>
        <stp>MTG_PREPAY_SPEED</stp>
        <stp>[Copy of 02_cpr_main.xlsx]data!R22C12</stp>
        <tr r="L22" s="2"/>
      </tp>
      <tp>
        <v>167</v>
        <stp/>
        <stp>##V3_BDPV12</stp>
        <stp>02R060647 Mtge</stp>
        <stp>MTG_PREPAY_SPEED</stp>
        <stp>[Copy of 02_cpr_main.xlsx]data!R25C12</stp>
        <tr r="L25" s="2"/>
      </tp>
      <tp>
        <v>163</v>
        <stp/>
        <stp>##V3_BDPV12</stp>
        <stp>02R052644 Mtge</stp>
        <stp>MTG_PREPAY_SPEED</stp>
        <stp>[Copy of 02_cpr_main.xlsx]data!R24C12</stp>
        <tr r="L24" s="2"/>
      </tp>
      <tp>
        <v>114</v>
        <stp/>
        <stp>##V3_BDPV12</stp>
        <stp>02R042645 Mtge</stp>
        <stp>MTG_PREPAY_SPEED</stp>
        <stp>[Copy of 02_cpr_main.xlsx]data!R20C12</stp>
        <tr r="L20" s="2"/>
      </tp>
    </main>
    <main first="bloomberg.rtd">
      <tp>
        <v>1666.7</v>
        <stp/>
        <stp>##V3_BDPV12</stp>
        <stp>36290W3Y6 Mtge</stp>
        <stp xml:space="preserve">MTG_PL_PSA_6M </stp>
        <stp>[Copy of 02_cpr_main.xlsx]data!R498C15</stp>
        <tr r="O498" s="2"/>
      </tp>
      <tp>
        <v>1353.8</v>
        <stp/>
        <stp>##V3_BDPV12</stp>
        <stp>31390P7C5 Mtge</stp>
        <stp xml:space="preserve">MTG_PL_PSA_6M </stp>
        <stp>[Copy of 02_cpr_main.xlsx]data!R233C15</stp>
        <tr r="O233" s="2"/>
      </tp>
      <tp>
        <v>0</v>
        <stp/>
        <stp>##V3_BDPV12</stp>
        <stp>31390P7C5 Mtge</stp>
        <stp xml:space="preserve">MTG_PL_PSA_1M </stp>
        <stp>[Copy of 02_cpr_main.xlsx]data!R233C13</stp>
        <tr r="M233" s="2"/>
      </tp>
      <tp>
        <v>1666.7</v>
        <stp/>
        <stp>##V3_BDPV12</stp>
        <stp>36290W3Y6 Mtge</stp>
        <stp xml:space="preserve">MTG_PL_PSA_3M </stp>
        <stp>[Copy of 02_cpr_main.xlsx]data!R498C14</stp>
        <tr r="N498" s="2"/>
      </tp>
      <tp t="s">
        <v>PSA</v>
        <stp/>
        <stp>##V3_BDPV12</stp>
        <stp>36200MTF0 Mtge</stp>
        <stp>MTG_PREPAY_TYP</stp>
        <stp>[Copy of 02_cpr_main.xlsx]data!R466C11</stp>
        <tr r="K466" s="2"/>
      </tp>
      <tp>
        <v>1577.1</v>
        <stp/>
        <stp>##V3_BDPV12</stp>
        <stp>31390P7C5 Mtge</stp>
        <stp xml:space="preserve">MTG_PL_PSA_3M </stp>
        <stp>[Copy of 02_cpr_main.xlsx]data!R233C14</stp>
        <tr r="N233" s="2"/>
      </tp>
      <tp t="s">
        <v>CPR</v>
        <stp/>
        <stp>##V3_BDPV12</stp>
        <stp>31405JWZ3 Mtge</stp>
        <stp>MTG_PREPAY_TYP</stp>
        <stp>[Copy of 02_cpr_main.xlsx]data!R326C11</stp>
        <tr r="K326" s="2"/>
      </tp>
      <tp>
        <v>1666.7</v>
        <stp/>
        <stp>##V3_BDPV12</stp>
        <stp>36290W3Y6 Mtge</stp>
        <stp xml:space="preserve">MTG_PL_PSA_1M </stp>
        <stp>[Copy of 02_cpr_main.xlsx]data!R498C13</stp>
        <tr r="M498" s="2"/>
      </tp>
      <tp>
        <v>155.5</v>
        <stp/>
        <stp>##V3_BDPV12</stp>
        <stp>31406QGE1 Mtge</stp>
        <stp xml:space="preserve">MTG_PL_PSA_3M </stp>
        <stp>[Copy of 02_cpr_main.xlsx]data!R338C14</stp>
        <tr r="N338" s="2"/>
      </tp>
      <tp>
        <v>47.4</v>
        <stp/>
        <stp>##V3_BDPV12</stp>
        <stp>31414QAE7 Mtge</stp>
        <stp xml:space="preserve">MTG_PL_PSA_3M </stp>
        <stp>[Copy of 02_cpr_main.xlsx]data!R443C14</stp>
        <tr r="N443" s="2"/>
      </tp>
      <tp>
        <v>0</v>
        <stp/>
        <stp>##V3_BDPV12</stp>
        <stp>31379QA67 Mtge</stp>
        <stp xml:space="preserve">MTG_PL_PSA_1M </stp>
        <stp>[Copy of 02_cpr_main.xlsx]data!R190C13</stp>
        <tr r="M190" s="2"/>
      </tp>
      <tp>
        <v>0.3</v>
        <stp/>
        <stp>##V3_BDPV12</stp>
        <stp>31415QGG5 Mtge</stp>
        <stp xml:space="preserve">MTG_PL_PSA_6M </stp>
        <stp>[Copy of 02_cpr_main.xlsx]data!R451C15</stp>
        <tr r="O451" s="2"/>
      </tp>
      <tp>
        <v>159.69999999999999</v>
        <stp/>
        <stp>##V3_BDPV12</stp>
        <stp>31406QGE1 Mtge</stp>
        <stp xml:space="preserve">MTG_PL_PSA_1M </stp>
        <stp>[Copy of 02_cpr_main.xlsx]data!R338C13</stp>
        <tr r="M338" s="2"/>
      </tp>
      <tp>
        <v>46.3</v>
        <stp/>
        <stp>##V3_BDPV12</stp>
        <stp>31414QAE7 Mtge</stp>
        <stp xml:space="preserve">MTG_PL_PSA_1M </stp>
        <stp>[Copy of 02_cpr_main.xlsx]data!R443C13</stp>
        <tr r="M443" s="2"/>
      </tp>
      <tp>
        <v>1618.5</v>
        <stp/>
        <stp>##V3_BDPV12</stp>
        <stp>31379QA67 Mtge</stp>
        <stp xml:space="preserve">MTG_PL_PSA_3M </stp>
        <stp>[Copy of 02_cpr_main.xlsx]data!R190C14</stp>
        <tr r="N190" s="2"/>
      </tp>
      <tp>
        <v>43.3</v>
        <stp/>
        <stp>##V3_BDPV12</stp>
        <stp>31404QA74 Mtge</stp>
        <stp xml:space="preserve">MTG_PL_PSA_6M </stp>
        <stp>[Copy of 02_cpr_main.xlsx]data!R318C15</stp>
        <tr r="O318" s="2"/>
      </tp>
      <tp>
        <v>46.5</v>
        <stp/>
        <stp>##V3_BDPV12</stp>
        <stp>31414QAE7 Mtge</stp>
        <stp xml:space="preserve">MTG_PL_PSA_6M </stp>
        <stp>[Copy of 02_cpr_main.xlsx]data!R443C15</stp>
        <tr r="O443" s="2"/>
      </tp>
      <tp>
        <v>2.9</v>
        <stp/>
        <stp>##V3_BDPV12</stp>
        <stp>31404QA74 Mtge</stp>
        <stp xml:space="preserve">MTG_PL_PSA_1M </stp>
        <stp>[Copy of 02_cpr_main.xlsx]data!R318C13</stp>
        <tr r="M318" s="2"/>
      </tp>
      <tp>
        <v>149.69999999999999</v>
        <stp/>
        <stp>##V3_BDPV12</stp>
        <stp>31406QGE1 Mtge</stp>
        <stp xml:space="preserve">MTG_PL_PSA_6M </stp>
        <stp>[Copy of 02_cpr_main.xlsx]data!R338C15</stp>
        <tr r="O338" s="2"/>
      </tp>
      <tp>
        <v>0.3</v>
        <stp/>
        <stp>##V3_BDPV12</stp>
        <stp>31415QGG5 Mtge</stp>
        <stp xml:space="preserve">MTG_PL_PSA_1M </stp>
        <stp>[Copy of 02_cpr_main.xlsx]data!R451C13</stp>
        <tr r="M451" s="2"/>
      </tp>
      <tp>
        <v>1372.2</v>
        <stp/>
        <stp>##V3_BDPV12</stp>
        <stp>31379QA67 Mtge</stp>
        <stp xml:space="preserve">MTG_PL_PSA_6M </stp>
        <stp>[Copy of 02_cpr_main.xlsx]data!R190C15</stp>
        <tr r="O190" s="2"/>
      </tp>
      <tp>
        <v>12.1</v>
        <stp/>
        <stp>##V3_BDPV12</stp>
        <stp>31404QA74 Mtge</stp>
        <stp xml:space="preserve">MTG_PL_PSA_3M </stp>
        <stp>[Copy of 02_cpr_main.xlsx]data!R318C14</stp>
        <tr r="N318" s="2"/>
      </tp>
      <tp>
        <v>0.3</v>
        <stp/>
        <stp>##V3_BDPV12</stp>
        <stp>31415QGG5 Mtge</stp>
        <stp xml:space="preserve">MTG_PL_PSA_3M </stp>
        <stp>[Copy of 02_cpr_main.xlsx]data!R451C14</stp>
        <tr r="N451" s="2"/>
      </tp>
      <tp>
        <v>186</v>
        <stp/>
        <stp>##V3_BDPV12</stp>
        <stp>31283HWZ4 Mtge</stp>
        <stp>MTG_PREPAY_SPEED</stp>
        <stp>[Copy of 02_cpr_main.xlsx]data!R33C12</stp>
        <tr r="L33" s="2"/>
      </tp>
      <tp>
        <v>824.3</v>
        <stp/>
        <stp>##V3_BDPV12</stp>
        <stp>31402QHS3 Mtge</stp>
        <stp xml:space="preserve">MTG_PL_PSA_6M </stp>
        <stp>[Copy of 02_cpr_main.xlsx]data!R275C15</stp>
        <tr r="O275" s="2"/>
      </tp>
      <tp>
        <v>0</v>
        <stp/>
        <stp>##V3_BDPV12</stp>
        <stp>31402QHS3 Mtge</stp>
        <stp xml:space="preserve">MTG_PL_PSA_1M </stp>
        <stp>[Copy of 02_cpr_main.xlsx]data!R275C13</stp>
        <tr r="M275" s="2"/>
      </tp>
      <tp>
        <v>703.3</v>
        <stp/>
        <stp>##V3_BDPV12</stp>
        <stp>31402QHS3 Mtge</stp>
        <stp xml:space="preserve">MTG_PL_PSA_3M </stp>
        <stp>[Copy of 02_cpr_main.xlsx]data!R275C14</stp>
        <tr r="N275" s="2"/>
      </tp>
      <tp>
        <v>1333.8</v>
        <stp/>
        <stp>##V3_BDPV12</stp>
        <stp>31402QSL6 Mtge</stp>
        <stp xml:space="preserve">MTG_PL_PSA_6M </stp>
        <stp>[Copy of 02_cpr_main.xlsx]data!R276C15</stp>
        <tr r="O276" s="2"/>
      </tp>
      <tp>
        <v>841.5</v>
        <stp/>
        <stp>##V3_BDPV12</stp>
        <stp>31390QTD7 Mtge</stp>
        <stp xml:space="preserve">MTG_PL_PSA_6M </stp>
        <stp>[Copy of 02_cpr_main.xlsx]data!R234C15</stp>
        <tr r="O234" s="2"/>
      </tp>
      <tp>
        <v>783.1</v>
        <stp/>
        <stp>##V3_BDPV12</stp>
        <stp>31391QTJ3 Mtge</stp>
        <stp xml:space="preserve">MTG_PL_PSA_6M </stp>
        <stp>[Copy of 02_cpr_main.xlsx]data!R240C15</stp>
        <tr r="O240" s="2"/>
      </tp>
      <tp>
        <v>1665.6</v>
        <stp/>
        <stp>##V3_BDPV12</stp>
        <stp>31400QVB6 Mtge</stp>
        <stp xml:space="preserve">MTG_PL_PSA_3M </stp>
        <stp>[Copy of 02_cpr_main.xlsx]data!R248C14</stp>
        <tr r="N248" s="2"/>
      </tp>
      <tp>
        <v>1666.7</v>
        <stp/>
        <stp>##V3_BDPV12</stp>
        <stp>36210VRS2 Mtge</stp>
        <stp xml:space="preserve">MTG_PL_PSA_6M </stp>
        <stp>[Copy of 02_cpr_main.xlsx]data!R485C15</stp>
        <tr r="O485" s="2"/>
      </tp>
      <tp>
        <v>148.30000000000001</v>
        <stp/>
        <stp>##V3_BDPV12</stp>
        <stp>31402QWA5 Mtge</stp>
        <stp xml:space="preserve">MTG_PL_PSA_3M </stp>
        <stp>[Copy of 02_cpr_main.xlsx]data!R277C14</stp>
        <tr r="N277" s="2"/>
      </tp>
      <tp>
        <v>10.5</v>
        <stp/>
        <stp>##V3_BDPV12</stp>
        <stp>31413QS90 Mtge</stp>
        <stp xml:space="preserve">MTG_PL_PSA_1M </stp>
        <stp>[Copy of 02_cpr_main.xlsx]data!R431C13</stp>
        <tr r="M431" s="2"/>
      </tp>
      <tp>
        <v>1666.7</v>
        <stp/>
        <stp>##V3_BDPV12</stp>
        <stp>31410QPT2 Mtge</stp>
        <stp xml:space="preserve">MTG_PL_PSA_6M </stp>
        <stp>[Copy of 02_cpr_main.xlsx]data!R381C15</stp>
        <tr r="O381" s="2"/>
      </tp>
      <tp t="s">
        <v>PSA</v>
        <stp/>
        <stp>##V3_BDPV12</stp>
        <stp>31413K5A5 Mtge</stp>
        <stp>MTG_PREPAY_TYP</stp>
        <stp>[Copy of 02_cpr_main.xlsx]data!R423C11</stp>
        <tr r="K423" s="2"/>
      </tp>
      <tp>
        <v>0</v>
        <stp/>
        <stp>##V3_BDPV12</stp>
        <stp>31400QVB6 Mtge</stp>
        <stp xml:space="preserve">MTG_PL_PSA_1M </stp>
        <stp>[Copy of 02_cpr_main.xlsx]data!R248C13</stp>
        <tr r="M248" s="2"/>
      </tp>
      <tp>
        <v>124.9</v>
        <stp/>
        <stp>##V3_BDPV12</stp>
        <stp>31402QWA5 Mtge</stp>
        <stp xml:space="preserve">MTG_PL_PSA_1M </stp>
        <stp>[Copy of 02_cpr_main.xlsx]data!R277C13</stp>
        <tr r="M277" s="2"/>
      </tp>
      <tp>
        <v>10.3</v>
        <stp/>
        <stp>##V3_BDPV12</stp>
        <stp>31413QS90 Mtge</stp>
        <stp xml:space="preserve">MTG_PL_PSA_3M </stp>
        <stp>[Copy of 02_cpr_main.xlsx]data!R431C14</stp>
        <tr r="N431" s="2"/>
      </tp>
      <tp>
        <v>1666.7</v>
        <stp/>
        <stp>##V3_BDPV12</stp>
        <stp>36210VRS2 Mtge</stp>
        <stp xml:space="preserve">MTG_PL_PSA_3M </stp>
        <stp>[Copy of 02_cpr_main.xlsx]data!R485C14</stp>
        <tr r="N485" s="2"/>
      </tp>
      <tp>
        <v>153.4</v>
        <stp/>
        <stp>##V3_BDPV12</stp>
        <stp>31402QWA5 Mtge</stp>
        <stp xml:space="preserve">MTG_PL_PSA_6M </stp>
        <stp>[Copy of 02_cpr_main.xlsx]data!R277C15</stp>
        <tr r="O277" s="2"/>
      </tp>
      <tp>
        <v>1666.7</v>
        <stp/>
        <stp>##V3_BDPV12</stp>
        <stp>31410QPT2 Mtge</stp>
        <stp xml:space="preserve">MTG_PL_PSA_1M </stp>
        <stp>[Copy of 02_cpr_main.xlsx]data!R381C13</stp>
        <tr r="M381" s="2"/>
      </tp>
      <tp>
        <v>1318.4</v>
        <stp/>
        <stp>##V3_BDPV12</stp>
        <stp>31402QSL6 Mtge</stp>
        <stp xml:space="preserve">MTG_PL_PSA_3M </stp>
        <stp>[Copy of 02_cpr_main.xlsx]data!R276C14</stp>
        <tr r="N276" s="2"/>
      </tp>
      <tp>
        <v>1145</v>
        <stp/>
        <stp>##V3_BDPV12</stp>
        <stp>31390QTD7 Mtge</stp>
        <stp xml:space="preserve">MTG_PL_PSA_3M </stp>
        <stp>[Copy of 02_cpr_main.xlsx]data!R234C14</stp>
        <tr r="N234" s="2"/>
      </tp>
      <tp>
        <v>14</v>
        <stp/>
        <stp>##V3_BDPV12</stp>
        <stp>31391QTJ3 Mtge</stp>
        <stp xml:space="preserve">MTG_PL_PSA_3M </stp>
        <stp>[Copy of 02_cpr_main.xlsx]data!R240C14</stp>
        <tr r="N240" s="2"/>
      </tp>
      <tp>
        <v>1642.6</v>
        <stp/>
        <stp>##V3_BDPV12</stp>
        <stp>31400QVB6 Mtge</stp>
        <stp xml:space="preserve">MTG_PL_PSA_6M </stp>
        <stp>[Copy of 02_cpr_main.xlsx]data!R248C15</stp>
        <tr r="O248" s="2"/>
      </tp>
      <tp>
        <v>1666.7</v>
        <stp/>
        <stp>##V3_BDPV12</stp>
        <stp>36210VRS2 Mtge</stp>
        <stp xml:space="preserve">MTG_PL_PSA_1M </stp>
        <stp>[Copy of 02_cpr_main.xlsx]data!R485C13</stp>
        <tr r="M485" s="2"/>
      </tp>
      <tp>
        <v>10.1</v>
        <stp/>
        <stp>##V3_BDPV12</stp>
        <stp>31413QS90 Mtge</stp>
        <stp xml:space="preserve">MTG_PL_PSA_6M </stp>
        <stp>[Copy of 02_cpr_main.xlsx]data!R431C15</stp>
        <tr r="O431" s="2"/>
      </tp>
      <tp>
        <v>1666.7</v>
        <stp/>
        <stp>##V3_BDPV12</stp>
        <stp>31410QPT2 Mtge</stp>
        <stp xml:space="preserve">MTG_PL_PSA_3M </stp>
        <stp>[Copy of 02_cpr_main.xlsx]data!R381C14</stp>
        <tr r="N381" s="2"/>
      </tp>
      <tp>
        <v>0</v>
        <stp/>
        <stp>##V3_BDPV12</stp>
        <stp>31390QTD7 Mtge</stp>
        <stp xml:space="preserve">MTG_PL_PSA_1M </stp>
        <stp>[Copy of 02_cpr_main.xlsx]data!R234C13</stp>
        <tr r="M234" s="2"/>
      </tp>
      <tp>
        <v>0</v>
        <stp/>
        <stp>##V3_BDPV12</stp>
        <stp>31402QSL6 Mtge</stp>
        <stp xml:space="preserve">MTG_PL_PSA_1M </stp>
        <stp>[Copy of 02_cpr_main.xlsx]data!R276C13</stp>
        <tr r="M276" s="2"/>
      </tp>
      <tp>
        <v>0</v>
        <stp/>
        <stp>##V3_BDPV12</stp>
        <stp>31391QTJ3 Mtge</stp>
        <stp xml:space="preserve">MTG_PL_PSA_1M </stp>
        <stp>[Copy of 02_cpr_main.xlsx]data!R240C13</stp>
        <tr r="M240" s="2"/>
      </tp>
      <tp>
        <v>142.6</v>
        <stp/>
        <stp>##V3_BDPV12</stp>
        <stp>31402QYZ8 Mtge</stp>
        <stp xml:space="preserve">MTG_PL_PSA_6M </stp>
        <stp>[Copy of 02_cpr_main.xlsx]data!R278C15</stp>
        <tr r="O278" s="2"/>
      </tp>
      <tp>
        <v>213</v>
        <stp/>
        <stp>##V3_BDPV12</stp>
        <stp>31283HWN1 Mtge</stp>
        <stp>MTG_PREPAY_SPEED</stp>
        <stp>[Copy of 02_cpr_main.xlsx]data!R32C12</stp>
        <tr r="L32" s="2"/>
      </tp>
      <tp>
        <v>198.8</v>
        <stp/>
        <stp>##V3_BDPV12</stp>
        <stp>31402QYZ8 Mtge</stp>
        <stp xml:space="preserve">MTG_PL_PSA_1M </stp>
        <stp>[Copy of 02_cpr_main.xlsx]data!R278C13</stp>
        <tr r="M278" s="2"/>
      </tp>
      <tp>
        <v>177.9</v>
        <stp/>
        <stp>##V3_BDPV12</stp>
        <stp>31402QYZ8 Mtge</stp>
        <stp xml:space="preserve">MTG_PL_PSA_3M </stp>
        <stp>[Copy of 02_cpr_main.xlsx]data!R278C14</stp>
        <tr r="N278" s="2"/>
      </tp>
    </main>
    <main first="bloomberg.rtd">
      <tp>
        <v>3.83</v>
        <stp/>
        <stp>##V3_BDPV12</stp>
        <stp>3128JLW39 Mtge</stp>
        <stp>MTG_PREPAY_SPEED</stp>
        <stp>[Copy of 02_cpr_main.xlsx]data!R67C12</stp>
        <tr r="L67" s="2"/>
      </tp>
    </main>
    <main first="bloomberg.rtd">
      <tp t="s">
        <v>PSA</v>
        <stp/>
        <stp>##V3_BDPV12</stp>
        <stp>31413KBU4 Mtge</stp>
        <stp>MTG_PREPAY_TYP</stp>
        <stp>[Copy of 02_cpr_main.xlsx]data!R424C11</stp>
        <tr r="K424" s="2"/>
      </tp>
    </main>
    <main first="bloomberg.rtd">
      <tp t="s">
        <v>PSA</v>
        <stp/>
        <stp>##V3_BDPV12</stp>
        <stp>31414KAV2 Mtge</stp>
        <stp>MTG_PREPAY_TYP</stp>
        <stp>[Copy of 02_cpr_main.xlsx]data!R440C11</stp>
        <tr r="K440" s="2"/>
      </tp>
    </main>
    <main first="bloomberg.rtd">
      <tp t="s">
        <v>CPR</v>
        <stp/>
        <stp>##V3_BDPV12</stp>
        <stp>31407KGJ2 Mtge</stp>
        <stp>MTG_PREPAY_TYP</stp>
        <stp>[Copy of 02_cpr_main.xlsx]data!R343C11</stp>
        <tr r="K343" s="2"/>
      </tp>
    </main>
    <main first="bloomberg.rtd">
      <tp t="s">
        <v>#N/A N/A</v>
        <stp/>
        <stp>##V3_BDPV12</stp>
        <stp>31413KL33 Mtge</stp>
        <stp>MTG_PREPAY_TYP</stp>
        <stp>[Copy of 02_cpr_main.xlsx]data!R426C11</stp>
        <tr r="K426" s="2"/>
      </tp>
    </main>
    <main first="bloomberg.rtd">
      <tp t="s">
        <v>#N/A N/A</v>
        <stp/>
        <stp>##V3_BDPV12</stp>
        <stp>31413KKF7 Mtge</stp>
        <stp>MTG_PREPAY_TYP</stp>
        <stp>[Copy of 02_cpr_main.xlsx]data!R425C11</stp>
        <tr r="K425" s="2"/>
      </tp>
    </main>
    <main first="bloomberg.rtd">
      <tp>
        <v>23.1</v>
        <stp/>
        <stp>##V3_BDPV12</stp>
        <stp>31402Q4R9 Mtge</stp>
        <stp xml:space="preserve">MTG_PL_PSA_1M </stp>
        <stp>[Copy of 02_cpr_main.xlsx]data!R274C13</stp>
        <tr r="M274" s="2"/>
      </tp>
      <tp>
        <v>659.5</v>
        <stp/>
        <stp>##V3_BDPV12</stp>
        <stp>31402Q2X8 Mtge</stp>
        <stp xml:space="preserve">MTG_PL_PSA_6M </stp>
        <stp>[Copy of 02_cpr_main.xlsx]data!R273C15</stp>
        <tr r="O273" s="2"/>
      </tp>
      <tp t="s">
        <v>PSA</v>
        <stp/>
        <stp>##V3_BDPV12</stp>
        <stp>31410KQJ6 Mtge</stp>
        <stp>MTG_PREPAY_TYP</stp>
        <stp>[Copy of 02_cpr_main.xlsx]data!R373C11</stp>
        <tr r="K373" s="2"/>
      </tp>
      <tp t="s">
        <v>#N/A N/A</v>
        <stp/>
        <stp>##V3_BDPV12</stp>
        <stp>36210LPE7 Mtge</stp>
        <stp>MTG_PREPAY_TYP</stp>
        <stp>[Copy of 02_cpr_main.xlsx]data!R484C11</stp>
        <tr r="K484" s="2"/>
      </tp>
      <tp>
        <v>149.5</v>
        <stp/>
        <stp>##V3_BDPV12</stp>
        <stp>36290V5G5 Mtge</stp>
        <stp xml:space="preserve">MTG_PL_PSA_1M </stp>
        <stp>[Copy of 02_cpr_main.xlsx]data!R497C13</stp>
        <tr r="M497" s="2"/>
      </tp>
      <tp>
        <v>1666.7</v>
        <stp/>
        <stp>##V3_BDPV12</stp>
        <stp>31379Q6J4 Mtge</stp>
        <stp xml:space="preserve">MTG_PL_PSA_6M </stp>
        <stp>[Copy of 02_cpr_main.xlsx]data!R189C15</stp>
        <tr r="O189" s="2"/>
      </tp>
      <tp t="s">
        <v>PSA</v>
        <stp/>
        <stp>##V3_BDPV12</stp>
        <stp>31410KRX4 Mtge</stp>
        <stp>MTG_PREPAY_TYP</stp>
        <stp>[Copy of 02_cpr_main.xlsx]data!R375C11</stp>
        <tr r="K375" s="2"/>
      </tp>
      <tp>
        <v>36.5</v>
        <stp/>
        <stp>##V3_BDPV12</stp>
        <stp>31402Q4R9 Mtge</stp>
        <stp xml:space="preserve">MTG_PL_PSA_3M </stp>
        <stp>[Copy of 02_cpr_main.xlsx]data!R274C14</stp>
        <tr r="N274" s="2"/>
      </tp>
      <tp t="s">
        <v>PSA</v>
        <stp/>
        <stp>##V3_BDPV12</stp>
        <stp>31403KRB1 Mtge</stp>
        <stp>MTG_PREPAY_TYP</stp>
        <stp>[Copy of 02_cpr_main.xlsx]data!R308C11</stp>
        <tr r="K308" s="2"/>
      </tp>
      <tp t="s">
        <v>#N/A N/A</v>
        <stp/>
        <stp>##V3_BDPV12</stp>
        <stp>31410KR22 Mtge</stp>
        <stp>MTG_PREPAY_TYP</stp>
        <stp>[Copy of 02_cpr_main.xlsx]data!R374C11</stp>
        <tr r="K374" s="2"/>
      </tp>
      <tp>
        <v>213.7</v>
        <stp/>
        <stp>##V3_BDPV12</stp>
        <stp>36290V5G5 Mtge</stp>
        <stp xml:space="preserve">MTG_PL_PSA_3M </stp>
        <stp>[Copy of 02_cpr_main.xlsx]data!R497C14</stp>
        <tr r="N497" s="2"/>
      </tp>
      <tp>
        <v>415.5</v>
        <stp/>
        <stp>##V3_BDPV12</stp>
        <stp>31402Q2X8 Mtge</stp>
        <stp xml:space="preserve">MTG_PL_PSA_3M </stp>
        <stp>[Copy of 02_cpr_main.xlsx]data!R273C14</stp>
        <tr r="N273" s="2"/>
      </tp>
      <tp t="s">
        <v>PSA</v>
        <stp/>
        <stp>##V3_BDPV12</stp>
        <stp>31410KTH7 Mtge</stp>
        <stp>MTG_PREPAY_TYP</stp>
        <stp>[Copy of 02_cpr_main.xlsx]data!R376C11</stp>
        <tr r="K376" s="2"/>
      </tp>
      <tp>
        <v>1666.7</v>
        <stp/>
        <stp>##V3_BDPV12</stp>
        <stp>31379Q6J4 Mtge</stp>
        <stp xml:space="preserve">MTG_PL_PSA_3M </stp>
        <stp>[Copy of 02_cpr_main.xlsx]data!R189C14</stp>
        <tr r="N189" s="2"/>
      </tp>
      <tp t="s">
        <v>#N/A N/A</v>
        <stp/>
        <stp>##V3_BDPV12</stp>
        <stp>31410KUN2 Mtge</stp>
        <stp>MTG_PREPAY_TYP</stp>
        <stp>[Copy of 02_cpr_main.xlsx]data!R377C11</stp>
        <tr r="K377" s="2"/>
      </tp>
      <tp>
        <v>0</v>
        <stp/>
        <stp>##V3_BDPV12</stp>
        <stp>31402Q2X8 Mtge</stp>
        <stp xml:space="preserve">MTG_PL_PSA_1M </stp>
        <stp>[Copy of 02_cpr_main.xlsx]data!R273C13</stp>
        <tr r="M273" s="2"/>
      </tp>
      <tp>
        <v>1666.7</v>
        <stp/>
        <stp>##V3_BDPV12</stp>
        <stp>31379Q6J4 Mtge</stp>
        <stp xml:space="preserve">MTG_PL_PSA_1M </stp>
        <stp>[Copy of 02_cpr_main.xlsx]data!R189C13</stp>
        <tr r="M189" s="2"/>
      </tp>
      <tp>
        <v>188</v>
        <stp/>
        <stp>##V3_BDPV12</stp>
        <stp>36290V5G5 Mtge</stp>
        <stp xml:space="preserve">MTG_PL_PSA_6M </stp>
        <stp>[Copy of 02_cpr_main.xlsx]data!R497C15</stp>
        <tr r="O497" s="2"/>
      </tp>
      <tp>
        <v>35.9</v>
        <stp/>
        <stp>##V3_BDPV12</stp>
        <stp>31402Q4R9 Mtge</stp>
        <stp xml:space="preserve">MTG_PL_PSA_6M </stp>
        <stp>[Copy of 02_cpr_main.xlsx]data!R274C15</stp>
        <tr r="O274" s="2"/>
      </tp>
      <tp t="s">
        <v>CPR</v>
        <stp/>
        <stp>##V3_BDPV12</stp>
        <stp>31405KZ20 Mtge</stp>
        <stp>MTG_PREPAY_TYP</stp>
        <stp>[Copy of 02_cpr_main.xlsx]data!R327C11</stp>
        <tr r="K327" s="2"/>
      </tp>
      <tp t="s">
        <v>#N/A Invalid Field</v>
        <stp/>
        <stp>##V3_BDHV12</stp>
        <stp>31411X6Z3 Mtge</stp>
        <stp>MTG_GEN_CPR_12M</stp>
        <stp>20090610</stp>
        <stp>20090610</stp>
        <stp>[Copy of 02_cpr_main.xlsx]data!R398C10</stp>
        <stp>Dts=H</stp>
        <tr r="J398" s="2"/>
      </tp>
      <tp t="s">
        <v>#N/A Invalid Field</v>
        <stp/>
        <stp>##V3_BDHV12</stp>
        <stp>31403C6L0 Mtge</stp>
        <stp>MTG_GEN_CPR_12M</stp>
        <stp>20090610</stp>
        <stp>20090610</stp>
        <stp>[Copy of 02_cpr_main.xlsx]data!R293C10</stp>
        <stp>Dts=H</stp>
        <tr r="J293" s="2"/>
      </tp>
      <tp>
        <v>1666.7</v>
        <stp/>
        <stp>##V3_BDPV12</stp>
        <stp>31293VCT7 Mtge</stp>
        <stp xml:space="preserve">MTG_PL_PSA_3M </stp>
        <stp>[Copy of 02_cpr_main.xlsx]data!R124C14</stp>
        <tr r="N124" s="2"/>
      </tp>
      <tp>
        <v>1666.7</v>
        <stp/>
        <stp>##V3_BDPV12</stp>
        <stp>31297VFX1 Mtge</stp>
        <stp xml:space="preserve">MTG_PL_PSA_6M </stp>
        <stp>[Copy of 02_cpr_main.xlsx]data!R149C15</stp>
        <tr r="O149" s="2"/>
      </tp>
      <tp>
        <v>4.3</v>
        <stp/>
        <stp>##V3_BDPV12</stp>
        <stp>31405VG76 Mtge</stp>
        <stp xml:space="preserve">MTG_PL_PSA_3M </stp>
        <stp>[Copy of 02_cpr_main.xlsx]data!R329C14</stp>
        <tr r="N329" s="2"/>
      </tp>
      <tp>
        <v>1666.7</v>
        <stp/>
        <stp>##V3_BDPV12</stp>
        <stp>31293VCT7 Mtge</stp>
        <stp xml:space="preserve">MTG_PL_PSA_1M </stp>
        <stp>[Copy of 02_cpr_main.xlsx]data!R124C13</stp>
        <tr r="M124" s="2"/>
      </tp>
      <tp>
        <v>4.5</v>
        <stp/>
        <stp>##V3_BDPV12</stp>
        <stp>31405VG76 Mtge</stp>
        <stp xml:space="preserve">MTG_PL_PSA_1M </stp>
        <stp>[Copy of 02_cpr_main.xlsx]data!R329C13</stp>
        <tr r="M329" s="2"/>
      </tp>
      <tp>
        <v>1666.7</v>
        <stp/>
        <stp>##V3_BDPV12</stp>
        <stp>31293VCT7 Mtge</stp>
        <stp xml:space="preserve">MTG_PL_PSA_6M </stp>
        <stp>[Copy of 02_cpr_main.xlsx]data!R124C15</stp>
        <tr r="O124" s="2"/>
      </tp>
      <tp>
        <v>1666.7</v>
        <stp/>
        <stp>##V3_BDPV12</stp>
        <stp>31297VFX1 Mtge</stp>
        <stp xml:space="preserve">MTG_PL_PSA_3M </stp>
        <stp>[Copy of 02_cpr_main.xlsx]data!R149C14</stp>
        <tr r="N149" s="2"/>
      </tp>
      <tp>
        <v>4.2</v>
        <stp/>
        <stp>##V3_BDPV12</stp>
        <stp>31405VG76 Mtge</stp>
        <stp xml:space="preserve">MTG_PL_PSA_6M </stp>
        <stp>[Copy of 02_cpr_main.xlsx]data!R329C15</stp>
        <tr r="O329" s="2"/>
      </tp>
      <tp>
        <v>1666.7</v>
        <stp/>
        <stp>##V3_BDPV12</stp>
        <stp>31297VFX1 Mtge</stp>
        <stp xml:space="preserve">MTG_PL_PSA_1M </stp>
        <stp>[Copy of 02_cpr_main.xlsx]data!R149C13</stp>
        <tr r="M149" s="2"/>
      </tp>
      <tp t="s">
        <v>#N/A N/A</v>
        <stp/>
        <stp>##V3_BDPV12</stp>
        <stp>3128GDPU8 Mtge</stp>
        <stp>MTG_PREPAY_SPEED</stp>
        <stp>[Copy of 02_cpr_main.xlsx]data!R45C12</stp>
        <tr r="L45" s="2"/>
      </tp>
      <tp>
        <v>2.5</v>
        <stp/>
        <stp>##V3_BDPV12</stp>
        <stp>31297VKP2 Mtge</stp>
        <stp xml:space="preserve">MTG_PL_PSA_3M </stp>
        <stp>[Copy of 02_cpr_main.xlsx]data!R150C14</stp>
        <tr r="N150" s="2"/>
      </tp>
      <tp>
        <v>12.3</v>
        <stp/>
        <stp>##V3_BDPV12</stp>
        <stp>36200QJD7 Mtge</stp>
        <stp xml:space="preserve">MTG_PL_PSA_6M </stp>
        <stp>[Copy of 02_cpr_main.xlsx]data!R467C15</stp>
        <tr r="O467" s="2"/>
      </tp>
      <tp>
        <v>1666.7</v>
        <stp/>
        <stp>##V3_BDPV12</stp>
        <stp>31382VHM9 Mtge</stp>
        <stp xml:space="preserve">MTG_PL_PSA_3M </stp>
        <stp>[Copy of 02_cpr_main.xlsx]data!R205C14</stp>
        <tr r="N205" s="2"/>
      </tp>
      <tp>
        <v>0.7</v>
        <stp/>
        <stp>##V3_BDPV12</stp>
        <stp>31297VKP2 Mtge</stp>
        <stp xml:space="preserve">MTG_PL_PSA_1M </stp>
        <stp>[Copy of 02_cpr_main.xlsx]data!R150C13</stp>
        <tr r="M150" s="2"/>
      </tp>
      <tp>
        <v>1666.7</v>
        <stp/>
        <stp>##V3_BDPV12</stp>
        <stp>31382VHM9 Mtge</stp>
        <stp xml:space="preserve">MTG_PL_PSA_1M </stp>
        <stp>[Copy of 02_cpr_main.xlsx]data!R205C13</stp>
        <tr r="M205" s="2"/>
      </tp>
      <tp>
        <v>16.399999999999999</v>
        <stp/>
        <stp>##V3_BDPV12</stp>
        <stp>36200QJD7 Mtge</stp>
        <stp xml:space="preserve">MTG_PL_PSA_3M </stp>
        <stp>[Copy of 02_cpr_main.xlsx]data!R467C14</stp>
        <tr r="N467" s="2"/>
      </tp>
      <tp>
        <v>1666.7</v>
        <stp/>
        <stp>##V3_BDPV12</stp>
        <stp>31382VHM9 Mtge</stp>
        <stp xml:space="preserve">MTG_PL_PSA_6M </stp>
        <stp>[Copy of 02_cpr_main.xlsx]data!R205C15</stp>
        <tr r="O205" s="2"/>
      </tp>
      <tp>
        <v>2.8</v>
        <stp/>
        <stp>##V3_BDPV12</stp>
        <stp>31297VKP2 Mtge</stp>
        <stp xml:space="preserve">MTG_PL_PSA_6M </stp>
        <stp>[Copy of 02_cpr_main.xlsx]data!R150C15</stp>
        <tr r="O150" s="2"/>
      </tp>
      <tp>
        <v>5.0999999999999996</v>
        <stp/>
        <stp>##V3_BDPV12</stp>
        <stp>36200QJD7 Mtge</stp>
        <stp xml:space="preserve">MTG_PL_PSA_1M </stp>
        <stp>[Copy of 02_cpr_main.xlsx]data!R467C13</stp>
        <tr r="M467" s="2"/>
      </tp>
      <tp>
        <v>552.79999999999995</v>
        <stp/>
        <stp>##V3_BDPV12</stp>
        <stp>31384VQR6 Mtge</stp>
        <stp xml:space="preserve">MTG_PL_PSA_3M </stp>
        <stp>[Copy of 02_cpr_main.xlsx]data!R209C14</stp>
        <tr r="N209" s="2"/>
      </tp>
      <tp>
        <v>82.6</v>
        <stp/>
        <stp>##V3_BDPV12</stp>
        <stp>36200QSL9 Mtge</stp>
        <stp xml:space="preserve">MTG_PL_PSA_6M </stp>
        <stp>[Copy of 02_cpr_main.xlsx]data!R468C15</stp>
        <tr r="O468" s="2"/>
      </tp>
      <tp>
        <v>2</v>
        <stp/>
        <stp>##V3_BDPV12</stp>
        <stp>31297VQA9 Mtge</stp>
        <stp xml:space="preserve">MTG_PL_PSA_1M </stp>
        <stp>[Copy of 02_cpr_main.xlsx]data!R151C13</stp>
        <tr r="M151" s="2"/>
      </tp>
      <tp>
        <v>0</v>
        <stp/>
        <stp>##V3_BDPV12</stp>
        <stp>31384VRC8 Mtge</stp>
        <stp xml:space="preserve">MTG_PL_PSA_1M </stp>
        <stp>[Copy of 02_cpr_main.xlsx]data!R211C13</stp>
        <tr r="M211" s="2"/>
      </tp>
      <tp>
        <v>0</v>
        <stp/>
        <stp>##V3_BDPV12</stp>
        <stp>31384VR53 Mtge</stp>
        <stp xml:space="preserve">MTG_PL_PSA_1M </stp>
        <stp>[Copy of 02_cpr_main.xlsx]data!R210C13</stp>
        <tr r="M210" s="2"/>
      </tp>
      <tp>
        <v>158.80000000000001</v>
        <stp/>
        <stp>##V3_BDPV12</stp>
        <stp>31384VQR6 Mtge</stp>
        <stp xml:space="preserve">MTG_PL_PSA_1M </stp>
        <stp>[Copy of 02_cpr_main.xlsx]data!R209C13</stp>
        <tr r="M209" s="2"/>
      </tp>
      <tp>
        <v>1.9</v>
        <stp/>
        <stp>##V3_BDPV12</stp>
        <stp>31297VQA9 Mtge</stp>
        <stp xml:space="preserve">MTG_PL_PSA_3M </stp>
        <stp>[Copy of 02_cpr_main.xlsx]data!R151C14</stp>
        <tr r="N151" s="2"/>
      </tp>
      <tp>
        <v>1588.1</v>
        <stp/>
        <stp>##V3_BDPV12</stp>
        <stp>31384VRC8 Mtge</stp>
        <stp xml:space="preserve">MTG_PL_PSA_3M </stp>
        <stp>[Copy of 02_cpr_main.xlsx]data!R211C14</stp>
        <tr r="N211" s="2"/>
      </tp>
      <tp>
        <v>876</v>
        <stp/>
        <stp>##V3_BDPV12</stp>
        <stp>31384VR53 Mtge</stp>
        <stp xml:space="preserve">MTG_PL_PSA_3M </stp>
        <stp>[Copy of 02_cpr_main.xlsx]data!R210C14</stp>
        <tr r="N210" s="2"/>
      </tp>
      <tp>
        <v>1162.9000000000001</v>
        <stp/>
        <stp>##V3_BDPV12</stp>
        <stp>31406VQ74 Mtge</stp>
        <stp xml:space="preserve">MTG_PL_PSA_6M </stp>
        <stp>[Copy of 02_cpr_main.xlsx]data!R340C15</stp>
        <tr r="O340" s="2"/>
      </tp>
      <tp>
        <v>1665.3</v>
        <stp/>
        <stp>##V3_BDPV12</stp>
        <stp>31406VQ74 Mtge</stp>
        <stp xml:space="preserve">MTG_PL_PSA_1M </stp>
        <stp>[Copy of 02_cpr_main.xlsx]data!R340C13</stp>
        <tr r="M340" s="2"/>
      </tp>
      <tp>
        <v>356.9</v>
        <stp/>
        <stp>##V3_BDPV12</stp>
        <stp>31384VQR6 Mtge</stp>
        <stp xml:space="preserve">MTG_PL_PSA_6M </stp>
        <stp>[Copy of 02_cpr_main.xlsx]data!R209C15</stp>
        <tr r="O209" s="2"/>
      </tp>
      <tp>
        <v>106.2</v>
        <stp/>
        <stp>##V3_BDPV12</stp>
        <stp>36200QSL9 Mtge</stp>
        <stp xml:space="preserve">MTG_PL_PSA_3M </stp>
        <stp>[Copy of 02_cpr_main.xlsx]data!R468C14</stp>
        <tr r="N468" s="2"/>
      </tp>
      <tp>
        <v>1385.1</v>
        <stp/>
        <stp>##V3_BDPV12</stp>
        <stp>31384VRC8 Mtge</stp>
        <stp xml:space="preserve">MTG_PL_PSA_6M </stp>
        <stp>[Copy of 02_cpr_main.xlsx]data!R211C15</stp>
        <tr r="O211" s="2"/>
      </tp>
      <tp>
        <v>1456.3</v>
        <stp/>
        <stp>##V3_BDPV12</stp>
        <stp>31384VR53 Mtge</stp>
        <stp xml:space="preserve">MTG_PL_PSA_6M </stp>
        <stp>[Copy of 02_cpr_main.xlsx]data!R210C15</stp>
        <tr r="O210" s="2"/>
      </tp>
      <tp>
        <v>1513.2</v>
        <stp/>
        <stp>##V3_BDPV12</stp>
        <stp>31406VQ74 Mtge</stp>
        <stp xml:space="preserve">MTG_PL_PSA_3M </stp>
        <stp>[Copy of 02_cpr_main.xlsx]data!R340C14</stp>
        <tr r="N340" s="2"/>
      </tp>
      <tp>
        <v>110.9</v>
        <stp/>
        <stp>##V3_BDPV12</stp>
        <stp>36200QSL9 Mtge</stp>
        <stp xml:space="preserve">MTG_PL_PSA_1M </stp>
        <stp>[Copy of 02_cpr_main.xlsx]data!R468C13</stp>
        <tr r="M468" s="2"/>
      </tp>
      <tp>
        <v>2.2999999999999998</v>
        <stp/>
        <stp>##V3_BDPV12</stp>
        <stp>31297VQA9 Mtge</stp>
        <stp xml:space="preserve">MTG_PL_PSA_6M </stp>
        <stp>[Copy of 02_cpr_main.xlsx]data!R151C15</stp>
        <tr r="O151" s="2"/>
      </tp>
      <tp>
        <v>6.02</v>
        <stp/>
        <stp>##V3_BDPV12</stp>
        <stp>3128JRPE0 Mtge</stp>
        <stp>MTG_PREPAY_SPEED</stp>
        <stp>[Copy of 02_cpr_main.xlsx]data!R71C12</stp>
        <tr r="L71" s="2"/>
      </tp>
      <tp>
        <v>186</v>
        <stp/>
        <stp>##V3_BDPV12</stp>
        <stp>3128LDPL2 Mtge</stp>
        <stp>MTG_PREPAY_SPEED</stp>
        <stp>[Copy of 02_cpr_main.xlsx]data!R79C12</stp>
        <tr r="L79" s="2"/>
      </tp>
    </main>
    <main first="bloomberg.rtd">
      <tp t="s">
        <v>PSA</v>
        <stp/>
        <stp>##V3_BDPV12</stp>
        <stp>31407LEA1 Mtge</stp>
        <stp>MTG_PREPAY_TYP</stp>
        <stp>[Copy of 02_cpr_main.xlsx]data!R345C11</stp>
        <tr r="K345" s="2"/>
      </tp>
      <tp t="s">
        <v>PSA</v>
        <stp/>
        <stp>##V3_BDPV12</stp>
        <stp>31407LE60 Mtge</stp>
        <stp>MTG_PREPAY_TYP</stp>
        <stp>[Copy of 02_cpr_main.xlsx]data!R344C11</stp>
        <tr r="K344" s="2"/>
      </tp>
      <tp t="s">
        <v>PSA</v>
        <stp/>
        <stp>##V3_BDPV12</stp>
        <stp>31414LAH1 Mtge</stp>
        <stp>MTG_PREPAY_TYP</stp>
        <stp>[Copy of 02_cpr_main.xlsx]data!R441C11</stp>
        <tr r="K441" s="2"/>
      </tp>
    </main>
    <main first="bloomberg.rtd">
      <tp t="s">
        <v>#N/A N/A</v>
        <stp/>
        <stp>##V3_BDPV12</stp>
        <stp>3128GCP55 Mtge</stp>
        <stp>MTG_PREPAY_SPEED</stp>
        <stp>[Copy of 02_cpr_main.xlsx]data!R42C12</stp>
        <tr r="L42" s="2"/>
      </tp>
    </main>
    <main first="bloomberg.rtd">
      <tp t="s">
        <v>#N/A N/A</v>
        <stp/>
        <stp>##V3_BDPV12</stp>
        <stp>36200KMY0 Mtge</stp>
        <stp>MTG_PREPAY_TYP</stp>
        <stp>[Copy of 02_cpr_main.xlsx]data!R464C11</stp>
        <tr r="K464" s="2"/>
      </tp>
    </main>
    <main first="bloomberg.rtd">
      <tp t="s">
        <v>PSA</v>
        <stp/>
        <stp>##V3_BDPV12</stp>
        <stp>36241KNL8 Mtge</stp>
        <stp>MTG_PREPAY_TYP</stp>
        <stp>[Copy of 02_cpr_main.xlsx]data!R496C11</stp>
        <tr r="K496" s="2"/>
      </tp>
      <tp>
        <v>32.9</v>
        <stp/>
        <stp>##V3_BDPV12</stp>
        <stp>31410V2L3 Mtge</stp>
        <stp xml:space="preserve">MTG_PL_PSA_6M </stp>
        <stp>[Copy of 02_cpr_main.xlsx]data!R386C15</stp>
        <tr r="O386" s="2"/>
      </tp>
      <tp>
        <v>39.299999999999997</v>
        <stp/>
        <stp>##V3_BDPV12</stp>
        <stp>31380V6X9 Mtge</stp>
        <stp xml:space="preserve">MTG_PL_PSA_6M </stp>
        <stp>[Copy of 02_cpr_main.xlsx]data!R193C15</stp>
        <tr r="O193" s="2"/>
      </tp>
      <tp>
        <v>1665.3</v>
        <stp/>
        <stp>##V3_BDPV12</stp>
        <stp>31384V6K3 Mtge</stp>
        <stp xml:space="preserve">MTG_PL_PSA_6M </stp>
        <stp>[Copy of 02_cpr_main.xlsx]data!R208C15</stp>
        <tr r="O208" s="2"/>
      </tp>
      <tp>
        <v>49.7</v>
        <stp/>
        <stp>##V3_BDPV12</stp>
        <stp>31380V6X9 Mtge</stp>
        <stp xml:space="preserve">MTG_PL_PSA_3M </stp>
        <stp>[Copy of 02_cpr_main.xlsx]data!R193C14</stp>
        <tr r="N193" s="2"/>
      </tp>
      <tp>
        <v>18.899999999999999</v>
        <stp/>
        <stp>##V3_BDPV12</stp>
        <stp>31410V2L3 Mtge</stp>
        <stp xml:space="preserve">MTG_PL_PSA_3M </stp>
        <stp>[Copy of 02_cpr_main.xlsx]data!R386C14</stp>
        <tr r="N386" s="2"/>
      </tp>
      <tp>
        <v>0</v>
        <stp/>
        <stp>##V3_BDPV12</stp>
        <stp>31384V6K3 Mtge</stp>
        <stp xml:space="preserve">MTG_PL_PSA_1M </stp>
        <stp>[Copy of 02_cpr_main.xlsx]data!R208C13</stp>
        <tr r="M208" s="2"/>
      </tp>
      <tp>
        <v>60.9</v>
        <stp/>
        <stp>##V3_BDPV12</stp>
        <stp>31380V6X9 Mtge</stp>
        <stp xml:space="preserve">MTG_PL_PSA_1M </stp>
        <stp>[Copy of 02_cpr_main.xlsx]data!R193C13</stp>
        <tr r="M193" s="2"/>
      </tp>
      <tp>
        <v>1666.7</v>
        <stp/>
        <stp>##V3_BDPV12</stp>
        <stp>31384V6K3 Mtge</stp>
        <stp xml:space="preserve">MTG_PL_PSA_3M </stp>
        <stp>[Copy of 02_cpr_main.xlsx]data!R208C14</stp>
        <tr r="N208" s="2"/>
      </tp>
      <tp>
        <v>19.600000000000001</v>
        <stp/>
        <stp>##V3_BDPV12</stp>
        <stp>31410V2L3 Mtge</stp>
        <stp xml:space="preserve">MTG_PL_PSA_1M </stp>
        <stp>[Copy of 02_cpr_main.xlsx]data!R386C13</stp>
        <tr r="M386" s="2"/>
      </tp>
      <tp t="s">
        <v>PSA</v>
        <stp/>
        <stp>##V3_BDPV12</stp>
        <stp>31412LZK9 Mtge</stp>
        <stp>MTG_PREPAY_TYP</stp>
        <stp>[Copy of 02_cpr_main.xlsx]data!R408C11</stp>
        <tr r="K408" s="2"/>
      </tp>
      <tp t="s">
        <v>#N/A Invalid Field</v>
        <stp/>
        <stp>##V3_BDHV12</stp>
        <stp>31380V6X9 Mtge</stp>
        <stp>MTG_GEN_CPR_12M</stp>
        <stp>20090610</stp>
        <stp>20090610</stp>
        <stp>[Copy of 02_cpr_main.xlsx]data!R193C10</stp>
        <stp>Dts=H</stp>
        <tr r="J193" s="2"/>
      </tp>
      <tp>
        <v>1666.7</v>
        <stp/>
        <stp>##V3_BDPV12</stp>
        <stp>31293WAR1 Mtge</stp>
        <stp xml:space="preserve">MTG_PL_PSA_1M </stp>
        <stp>[Copy of 02_cpr_main.xlsx]data!R125C13</stp>
        <tr r="M125" s="2"/>
      </tp>
      <tp>
        <v>140</v>
        <stp/>
        <stp>##V3_BDPV12</stp>
        <stp>3128L8QS7 Mtge</stp>
        <stp>MTG_PREPAY_SPEED</stp>
        <stp>[Copy of 02_cpr_main.xlsx]data!R77C12</stp>
        <tr r="L77" s="2"/>
      </tp>
      <tp>
        <v>1666.7</v>
        <stp/>
        <stp>##V3_BDPV12</stp>
        <stp>31293WAR1 Mtge</stp>
        <stp xml:space="preserve">MTG_PL_PSA_3M </stp>
        <stp>[Copy of 02_cpr_main.xlsx]data!R125C14</stp>
        <tr r="N125" s="2"/>
      </tp>
      <tp>
        <v>1666.7</v>
        <stp/>
        <stp>##V3_BDPV12</stp>
        <stp>31411WA49 Mtge</stp>
        <stp xml:space="preserve">MTG_PL_PSA_6M </stp>
        <stp>[Copy of 02_cpr_main.xlsx]data!R397C15</stp>
        <tr r="O397" s="2"/>
      </tp>
      <tp>
        <v>1666.7</v>
        <stp/>
        <stp>##V3_BDPV12</stp>
        <stp>31411WA49 Mtge</stp>
        <stp xml:space="preserve">MTG_PL_PSA_1M </stp>
        <stp>[Copy of 02_cpr_main.xlsx]data!R397C13</stp>
        <tr r="M397" s="2"/>
      </tp>
      <tp t="s">
        <v>#N/A N/A</v>
        <stp/>
        <stp>##V3_BDPV12</stp>
        <stp>3128GDQW3 Mtge</stp>
        <stp>MTG_PREPAY_SPEED</stp>
        <stp>[Copy of 02_cpr_main.xlsx]data!R47C12</stp>
        <tr r="L47" s="2"/>
      </tp>
      <tp>
        <v>1666.7</v>
        <stp/>
        <stp>##V3_BDPV12</stp>
        <stp>31411WA49 Mtge</stp>
        <stp xml:space="preserve">MTG_PL_PSA_3M </stp>
        <stp>[Copy of 02_cpr_main.xlsx]data!R397C14</stp>
        <tr r="N397" s="2"/>
      </tp>
      <tp>
        <v>1666.7</v>
        <stp/>
        <stp>##V3_BDPV12</stp>
        <stp>31293WAR1 Mtge</stp>
        <stp xml:space="preserve">MTG_PL_PSA_6M </stp>
        <stp>[Copy of 02_cpr_main.xlsx]data!R125C15</stp>
        <tr r="O125" s="2"/>
      </tp>
      <tp>
        <v>1364</v>
        <stp/>
        <stp>##V3_BDPV12</stp>
        <stp>31401WKE8 Mtge</stp>
        <stp xml:space="preserve">MTG_PL_PSA_6M </stp>
        <stp>[Copy of 02_cpr_main.xlsx]data!R259C15</stp>
        <tr r="O259" s="2"/>
      </tp>
      <tp>
        <v>5.9</v>
        <stp/>
        <stp>##V3_BDPV12</stp>
        <stp>31402WMC9 Mtge</stp>
        <stp xml:space="preserve">MTG_PL_PSA_1M </stp>
        <stp>[Copy of 02_cpr_main.xlsx]data!R290C13</stp>
        <tr r="M290" s="2"/>
      </tp>
      <tp>
        <v>21.9</v>
        <stp/>
        <stp>##V3_BDPV12</stp>
        <stp>31402WMC9 Mtge</stp>
        <stp xml:space="preserve">MTG_PL_PSA_3M </stp>
        <stp>[Copy of 02_cpr_main.xlsx]data!R290C14</stp>
        <tr r="N290" s="2"/>
      </tp>
      <tp>
        <v>1589.1</v>
        <stp/>
        <stp>##V3_BDPV12</stp>
        <stp>31401WKE8 Mtge</stp>
        <stp xml:space="preserve">MTG_PL_PSA_3M </stp>
        <stp>[Copy of 02_cpr_main.xlsx]data!R259C14</stp>
        <tr r="N259" s="2"/>
      </tp>
      <tp>
        <v>13.3</v>
        <stp/>
        <stp>##V3_BDPV12</stp>
        <stp>31402WMC9 Mtge</stp>
        <stp xml:space="preserve">MTG_PL_PSA_6M </stp>
        <stp>[Copy of 02_cpr_main.xlsx]data!R290C15</stp>
        <tr r="O290" s="2"/>
      </tp>
      <tp>
        <v>0</v>
        <stp/>
        <stp>##V3_BDPV12</stp>
        <stp>31401WKE8 Mtge</stp>
        <stp xml:space="preserve">MTG_PL_PSA_1M </stp>
        <stp>[Copy of 02_cpr_main.xlsx]data!R259C13</stp>
        <tr r="M259" s="2"/>
      </tp>
      <tp>
        <v>674</v>
        <stp/>
        <stp>##V3_BDPV12</stp>
        <stp>31407WSP9 Mtge</stp>
        <stp xml:space="preserve">MTG_PL_PSA_6M </stp>
        <stp>[Copy of 02_cpr_main.xlsx]data!R347C15</stp>
        <tr r="O347" s="2"/>
      </tp>
      <tp>
        <v>0</v>
        <stp/>
        <stp>##V3_BDPV12</stp>
        <stp>36291PSB3 Mtge</stp>
        <stp xml:space="preserve">MTG_PL_PSA_6M </stp>
        <stp>[Copy of 02_cpr_main.xlsx]data!R504C15</stp>
        <tr r="O504" s="2"/>
      </tp>
      <tp>
        <v>0</v>
        <stp/>
        <stp>##V3_BDPV12</stp>
        <stp>31404WTM8 Mtge</stp>
        <stp xml:space="preserve">MTG_PL_PSA_1M </stp>
        <stp>[Copy of 02_cpr_main.xlsx]data!R320C13</stp>
        <tr r="M320" s="2"/>
      </tp>
      <tp>
        <v>120</v>
        <stp/>
        <stp>##V3_BDPV12</stp>
        <stp>31415WQC0 Mtge</stp>
        <stp xml:space="preserve">MTG_PL_PSA_3M </stp>
        <stp>[Copy of 02_cpr_main.xlsx]data!R457C14</stp>
        <tr r="N457" s="2"/>
      </tp>
      <tp t="s">
        <v>PSA</v>
        <stp/>
        <stp>##V3_BDPV12</stp>
        <stp>31412M4Y1 Mtge</stp>
        <stp>MTG_PREPAY_TYP</stp>
        <stp>[Copy of 02_cpr_main.xlsx]data!R410C11</stp>
        <tr r="K410" s="2"/>
      </tp>
      <tp>
        <v>899.3</v>
        <stp/>
        <stp>##V3_BDPV12</stp>
        <stp>31404WTM8 Mtge</stp>
        <stp xml:space="preserve">MTG_PL_PSA_3M </stp>
        <stp>[Copy of 02_cpr_main.xlsx]data!R320C14</stp>
        <tr r="N320" s="2"/>
      </tp>
      <tp>
        <v>4.3</v>
        <stp/>
        <stp>##V3_BDPV12</stp>
        <stp>31415WQC0 Mtge</stp>
        <stp xml:space="preserve">MTG_PL_PSA_1M </stp>
        <stp>[Copy of 02_cpr_main.xlsx]data!R457C13</stp>
        <tr r="M457" s="2"/>
      </tp>
      <tp>
        <v>34.9</v>
        <stp/>
        <stp>##V3_BDPV12</stp>
        <stp>31407WSP9 Mtge</stp>
        <stp xml:space="preserve">MTG_PL_PSA_3M </stp>
        <stp>[Copy of 02_cpr_main.xlsx]data!R347C14</stp>
        <tr r="N347" s="2"/>
      </tp>
      <tp>
        <v>0</v>
        <stp/>
        <stp>##V3_BDPV12</stp>
        <stp>36291PSB3 Mtge</stp>
        <stp xml:space="preserve">MTG_PL_PSA_3M </stp>
        <stp>[Copy of 02_cpr_main.xlsx]data!R504C14</stp>
        <tr r="N504" s="2"/>
      </tp>
      <tp t="s">
        <v>#N/A N/A</v>
        <stp/>
        <stp>##V3_BDPV12</stp>
        <stp>31410M4L1 Mtge</stp>
        <stp>MTG_PREPAY_TYP</stp>
        <stp>[Copy of 02_cpr_main.xlsx]data!R378C11</stp>
        <tr r="K378" s="2"/>
      </tp>
      <tp t="s">
        <v>#N/A N/A</v>
        <stp/>
        <stp>##V3_BDPV12</stp>
        <stp>31412M3C0 Mtge</stp>
        <stp>MTG_PREPAY_TYP</stp>
        <stp>[Copy of 02_cpr_main.xlsx]data!R409C11</stp>
        <tr r="K409" s="2"/>
      </tp>
      <tp>
        <v>65.099999999999994</v>
        <stp/>
        <stp>##V3_BDPV12</stp>
        <stp>31415WQC0 Mtge</stp>
        <stp xml:space="preserve">MTG_PL_PSA_6M </stp>
        <stp>[Copy of 02_cpr_main.xlsx]data!R457C15</stp>
        <tr r="O457" s="2"/>
      </tp>
      <tp t="s">
        <v>#N/A N/A</v>
        <stp/>
        <stp>##V3_BDPV12</stp>
        <stp>31404M5N4 Mtge</stp>
        <stp>MTG_PREPAY_TYP</stp>
        <stp>[Copy of 02_cpr_main.xlsx]data!R316C11</stp>
        <tr r="K316" s="2"/>
      </tp>
      <tp>
        <v>34.299999999999997</v>
        <stp/>
        <stp>##V3_BDPV12</stp>
        <stp>31407WSP9 Mtge</stp>
        <stp xml:space="preserve">MTG_PL_PSA_1M </stp>
        <stp>[Copy of 02_cpr_main.xlsx]data!R347C13</stp>
        <tr r="M347" s="2"/>
      </tp>
      <tp>
        <v>869.3</v>
        <stp/>
        <stp>##V3_BDPV12</stp>
        <stp>31404WTM8 Mtge</stp>
        <stp xml:space="preserve">MTG_PL_PSA_6M </stp>
        <stp>[Copy of 02_cpr_main.xlsx]data!R320C15</stp>
        <tr r="O320" s="2"/>
      </tp>
      <tp>
        <v>0</v>
        <stp/>
        <stp>##V3_BDPV12</stp>
        <stp>36291PSB3 Mtge</stp>
        <stp xml:space="preserve">MTG_PL_PSA_1M </stp>
        <stp>[Copy of 02_cpr_main.xlsx]data!R504C13</stp>
        <tr r="M504" s="2"/>
      </tp>
      <tp>
        <v>1666.7</v>
        <stp/>
        <stp>##V3_BDPV12</stp>
        <stp>31385WYC7 Mtge</stp>
        <stp xml:space="preserve">MTG_PL_PSA_3M </stp>
        <stp>[Copy of 02_cpr_main.xlsx]data!R218C14</stp>
        <tr r="N218" s="2"/>
      </tp>
      <tp t="s">
        <v>#N/A N/A</v>
        <stp/>
        <stp>##V3_BDPV12</stp>
        <stp>3128GDQJ2 Mtge</stp>
        <stp>MTG_PREPAY_SPEED</stp>
        <stp>[Copy of 02_cpr_main.xlsx]data!R46C12</stp>
        <tr r="L46" s="2"/>
      </tp>
      <tp>
        <v>38</v>
        <stp/>
        <stp>##V3_BDPV12</stp>
        <stp>31385WZX0 Mtge</stp>
        <stp xml:space="preserve">MTG_PL_PSA_1M </stp>
        <stp>[Copy of 02_cpr_main.xlsx]data!R219C13</stp>
        <tr r="M219" s="2"/>
      </tp>
      <tp>
        <v>1666.7</v>
        <stp/>
        <stp>##V3_BDPV12</stp>
        <stp>31385WYC7 Mtge</stp>
        <stp xml:space="preserve">MTG_PL_PSA_1M </stp>
        <stp>[Copy of 02_cpr_main.xlsx]data!R218C13</stp>
        <tr r="M218" s="2"/>
      </tp>
      <tp>
        <v>0</v>
        <stp/>
        <stp>##V3_BDPV12</stp>
        <stp>31410WX37 Mtge</stp>
        <stp xml:space="preserve">MTG_PL_PSA_6M </stp>
        <stp>[Copy of 02_cpr_main.xlsx]data!R387C15</stp>
        <tr r="O387" s="2"/>
      </tp>
      <tp>
        <v>53.6</v>
        <stp/>
        <stp>##V3_BDPV12</stp>
        <stp>31385WZX0 Mtge</stp>
        <stp xml:space="preserve">MTG_PL_PSA_3M </stp>
        <stp>[Copy of 02_cpr_main.xlsx]data!R219C14</stp>
        <tr r="N219" s="2"/>
      </tp>
      <tp>
        <v>1666.7</v>
        <stp/>
        <stp>##V3_BDPV12</stp>
        <stp>31385WYC7 Mtge</stp>
        <stp xml:space="preserve">MTG_PL_PSA_6M </stp>
        <stp>[Copy of 02_cpr_main.xlsx]data!R218C15</stp>
        <tr r="O218" s="2"/>
      </tp>
      <tp>
        <v>0</v>
        <stp/>
        <stp>##V3_BDPV12</stp>
        <stp>31410WX37 Mtge</stp>
        <stp xml:space="preserve">MTG_PL_PSA_1M </stp>
        <stp>[Copy of 02_cpr_main.xlsx]data!R387C13</stp>
        <tr r="M387" s="2"/>
      </tp>
      <tp>
        <v>52.7</v>
        <stp/>
        <stp>##V3_BDPV12</stp>
        <stp>31385WZX0 Mtge</stp>
        <stp xml:space="preserve">MTG_PL_PSA_6M </stp>
        <stp>[Copy of 02_cpr_main.xlsx]data!R219C15</stp>
        <tr r="O219" s="2"/>
      </tp>
      <tp>
        <v>0</v>
        <stp/>
        <stp>##V3_BDPV12</stp>
        <stp>31410WX37 Mtge</stp>
        <stp xml:space="preserve">MTG_PL_PSA_3M </stp>
        <stp>[Copy of 02_cpr_main.xlsx]data!R387C14</stp>
        <tr r="N387" s="2"/>
      </tp>
    </main>
    <main first="bloomberg.rtd">
      <tp t="s">
        <v>PSA</v>
        <stp/>
        <stp>##V3_BDPV12</stp>
        <stp>31413ME78 Mtge</stp>
        <stp>MTG_PREPAY_TYP</stp>
        <stp>[Copy of 02_cpr_main.xlsx]data!R427C11</stp>
        <tr r="K427" s="2"/>
      </tp>
    </main>
    <main first="bloomberg.rtd">
      <tp t="s">
        <v>#N/A N/A</v>
        <stp/>
        <stp>##V3_BDPV12</stp>
        <stp>36201JDG1 Mtge</stp>
        <stp>MTG_PREPAY_TYP</stp>
        <stp>[Copy of 02_cpr_main.xlsx]data!R471C11</stp>
        <tr r="K471" s="2"/>
      </tp>
    </main>
    <main first="bloomberg.rtd">
      <tp t="s">
        <v>#N/A N/A</v>
        <stp/>
        <stp>##V3_BDPV12</stp>
        <stp>36201JFW4 Mtge</stp>
        <stp>MTG_PREPAY_TYP</stp>
        <stp>[Copy of 02_cpr_main.xlsx]data!R472C11</stp>
        <tr r="K472" s="2"/>
      </tp>
    </main>
    <main first="bloomberg.rtd">
      <tp>
        <v>170</v>
        <stp/>
        <stp>##V3_BDPV12</stp>
        <stp>3128M6Q92 Mtge</stp>
        <stp>MTG_PREPAY_SPEED</stp>
        <stp>[Copy of 02_cpr_main.xlsx]data!R89C12</stp>
        <tr r="L89" s="2"/>
      </tp>
      <tp t="s">
        <v>#N/A N/A</v>
        <stp/>
        <stp>##V3_BDPV12</stp>
        <stp>36206JJ96 Mtge</stp>
        <stp>MTG_PREPAY_TYP</stp>
        <stp>[Copy of 02_cpr_main.xlsx]data!R479C11</stp>
        <tr r="K479" s="2"/>
      </tp>
    </main>
    <main first="bloomberg.rtd">
      <tp t="s">
        <v>PSA</v>
        <stp/>
        <stp>##V3_BDPV12</stp>
        <stp>31404ML97 Mtge</stp>
        <stp>MTG_PREPAY_TYP</stp>
        <stp>[Copy of 02_cpr_main.xlsx]data!R317C11</stp>
        <tr r="K317" s="2"/>
      </tp>
      <tp t="s">
        <v>PSA</v>
        <stp/>
        <stp>##V3_BDPV12</stp>
        <stp>36295JMQ6 Mtge</stp>
        <stp>MTG_PREPAY_TYP</stp>
        <stp>[Copy of 02_cpr_main.xlsx]data!R506C11</stp>
        <tr r="K506" s="2"/>
      </tp>
    </main>
    <main first="bloomberg.rtd">
      <tp>
        <v>1545.6</v>
        <stp/>
        <stp>##V3_BDPV12</stp>
        <stp>31385W6V6 Mtge</stp>
        <stp xml:space="preserve">MTG_PL_PSA_6M </stp>
        <stp>[Copy of 02_cpr_main.xlsx]data!R216C15</stp>
        <tr r="O216" s="2"/>
      </tp>
      <tp>
        <v>712.6</v>
        <stp/>
        <stp>##V3_BDPV12</stp>
        <stp>31391W6L0 Mtge</stp>
        <stp xml:space="preserve">MTG_PL_PSA_6M </stp>
        <stp>[Copy of 02_cpr_main.xlsx]data!R242C15</stp>
        <tr r="O242" s="2"/>
      </tp>
      <tp>
        <v>1632.9</v>
        <stp/>
        <stp>##V3_BDPV12</stp>
        <stp>31385W7B9 Mtge</stp>
        <stp xml:space="preserve">MTG_PL_PSA_6M </stp>
        <stp>[Copy of 02_cpr_main.xlsx]data!R217C15</stp>
        <tr r="O217" s="2"/>
      </tp>
      <tp>
        <v>0</v>
        <stp/>
        <stp>##V3_BDPV12</stp>
        <stp>31385W7B9 Mtge</stp>
        <stp xml:space="preserve">MTG_PL_PSA_1M </stp>
        <stp>[Copy of 02_cpr_main.xlsx]data!R217C13</stp>
        <tr r="M217" s="2"/>
      </tp>
      <tp>
        <v>0</v>
        <stp/>
        <stp>##V3_BDPV12</stp>
        <stp>31385W6V6 Mtge</stp>
        <stp xml:space="preserve">MTG_PL_PSA_1M </stp>
        <stp>[Copy of 02_cpr_main.xlsx]data!R216C13</stp>
        <tr r="M216" s="2"/>
      </tp>
      <tp>
        <v>0</v>
        <stp/>
        <stp>##V3_BDPV12</stp>
        <stp>31391W6L0 Mtge</stp>
        <stp xml:space="preserve">MTG_PL_PSA_1M </stp>
        <stp>[Copy of 02_cpr_main.xlsx]data!R242C13</stp>
        <tr r="M242" s="2"/>
      </tp>
      <tp>
        <v>1631</v>
        <stp/>
        <stp>##V3_BDPV12</stp>
        <stp>31385W7B9 Mtge</stp>
        <stp xml:space="preserve">MTG_PL_PSA_3M </stp>
        <stp>[Copy of 02_cpr_main.xlsx]data!R217C14</stp>
        <tr r="N217" s="2"/>
      </tp>
      <tp t="s">
        <v>#N/A N/A</v>
        <stp/>
        <stp>##V3_BDPV12</stp>
        <stp>36291JVC1 Mtge</stp>
        <stp>MTG_PREPAY_TYP</stp>
        <stp>[Copy of 02_cpr_main.xlsx]data!R502C11</stp>
        <tr r="K502" s="2"/>
      </tp>
      <tp>
        <v>1612</v>
        <stp/>
        <stp>##V3_BDPV12</stp>
        <stp>31385W6V6 Mtge</stp>
        <stp xml:space="preserve">MTG_PL_PSA_3M </stp>
        <stp>[Copy of 02_cpr_main.xlsx]data!R216C14</stp>
        <tr r="N216" s="2"/>
      </tp>
      <tp>
        <v>999.8</v>
        <stp/>
        <stp>##V3_BDPV12</stp>
        <stp>31391W6L0 Mtge</stp>
        <stp xml:space="preserve">MTG_PL_PSA_3M </stp>
        <stp>[Copy of 02_cpr_main.xlsx]data!R242C14</stp>
        <tr r="N242" s="2"/>
      </tp>
      <tp t="s">
        <v>PSA</v>
        <stp/>
        <stp>##V3_BDPV12</stp>
        <stp>31410MYP9 Mtge</stp>
        <stp>MTG_PREPAY_TYP</stp>
        <stp>[Copy of 02_cpr_main.xlsx]data!R379C11</stp>
        <tr r="K379" s="2"/>
      </tp>
      <tp t="s">
        <v>#N/A Invalid Field</v>
        <stp/>
        <stp>##V3_BDHV12</stp>
        <stp>31379Q6J4 Mtge</stp>
        <stp>MTG_GEN_CPR_12M</stp>
        <stp>20090610</stp>
        <stp>20090610</stp>
        <stp>[Copy of 02_cpr_main.xlsx]data!R189C10</stp>
        <stp>Dts=H</stp>
        <tr r="J189" s="2"/>
      </tp>
      <tp>
        <v>106.2</v>
        <stp/>
        <stp>##V3_BDPV12</stp>
        <stp>31293TFD4 Mtge</stp>
        <stp xml:space="preserve">MTG_PL_PSA_6M </stp>
        <stp>[Copy of 02_cpr_main.xlsx]data!R122C15</stp>
        <tr r="O122" s="2"/>
      </tp>
      <tp>
        <v>0</v>
        <stp/>
        <stp>##V3_BDPV12</stp>
        <stp>31388TC68 Mtge</stp>
        <stp xml:space="preserve">MTG_PL_PSA_1M </stp>
        <stp>[Copy of 02_cpr_main.xlsx]data!R229C13</stp>
        <tr r="M229" s="2"/>
      </tp>
      <tp>
        <v>0.2</v>
        <stp/>
        <stp>##V3_BDPV12</stp>
        <stp>36202SBN7 Mtge</stp>
        <stp xml:space="preserve">MTG_PL_PSA_6M </stp>
        <stp>[Copy of 02_cpr_main.xlsx]data!R475C15</stp>
        <tr r="O475" s="2"/>
      </tp>
      <tp>
        <v>170</v>
        <stp/>
        <stp>##V3_BDPV12</stp>
        <stp>3128M6RS9 Mtge</stp>
        <stp>MTG_PREPAY_SPEED</stp>
        <stp>[Copy of 02_cpr_main.xlsx]data!R90C12</stp>
        <tr r="L90" s="2"/>
      </tp>
      <tp>
        <v>843.3</v>
        <stp/>
        <stp>##V3_BDPV12</stp>
        <stp>31388TC68 Mtge</stp>
        <stp xml:space="preserve">MTG_PL_PSA_3M </stp>
        <stp>[Copy of 02_cpr_main.xlsx]data!R229C14</stp>
        <tr r="N229" s="2"/>
      </tp>
      <tp>
        <v>1666.7</v>
        <stp/>
        <stp>##V3_BDPV12</stp>
        <stp>31415TF70 Mtge</stp>
        <stp xml:space="preserve">MTG_PL_PSA_6M </stp>
        <stp>[Copy of 02_cpr_main.xlsx]data!R455C15</stp>
        <tr r="O455" s="2"/>
      </tp>
      <tp>
        <v>0.2</v>
        <stp/>
        <stp>##V3_BDPV12</stp>
        <stp>36202SBN7 Mtge</stp>
        <stp xml:space="preserve">MTG_PL_PSA_3M </stp>
        <stp>[Copy of 02_cpr_main.xlsx]data!R475C14</stp>
        <tr r="N475" s="2"/>
      </tp>
      <tp>
        <v>1666.7</v>
        <stp/>
        <stp>##V3_BDPV12</stp>
        <stp>31415TF70 Mtge</stp>
        <stp xml:space="preserve">MTG_PL_PSA_1M </stp>
        <stp>[Copy of 02_cpr_main.xlsx]data!R455C13</stp>
        <tr r="M455" s="2"/>
      </tp>
      <tp>
        <v>118</v>
        <stp/>
        <stp>##V3_BDPV12</stp>
        <stp>31293TFD4 Mtge</stp>
        <stp xml:space="preserve">MTG_PL_PSA_3M </stp>
        <stp>[Copy of 02_cpr_main.xlsx]data!R122C14</stp>
        <tr r="N122" s="2"/>
      </tp>
      <tp>
        <v>0.2</v>
        <stp/>
        <stp>##V3_BDPV12</stp>
        <stp>36202SBN7 Mtge</stp>
        <stp xml:space="preserve">MTG_PL_PSA_1M </stp>
        <stp>[Copy of 02_cpr_main.xlsx]data!R475C13</stp>
        <tr r="M475" s="2"/>
      </tp>
      <tp>
        <v>1666.7</v>
        <stp/>
        <stp>##V3_BDPV12</stp>
        <stp>31415TF70 Mtge</stp>
        <stp xml:space="preserve">MTG_PL_PSA_3M </stp>
        <stp>[Copy of 02_cpr_main.xlsx]data!R455C14</stp>
        <tr r="N455" s="2"/>
      </tp>
      <tp>
        <v>127.3</v>
        <stp/>
        <stp>##V3_BDPV12</stp>
        <stp>31293TFD4 Mtge</stp>
        <stp xml:space="preserve">MTG_PL_PSA_1M </stp>
        <stp>[Copy of 02_cpr_main.xlsx]data!R122C13</stp>
        <tr r="M122" s="2"/>
      </tp>
      <tp>
        <v>593.79999999999995</v>
        <stp/>
        <stp>##V3_BDPV12</stp>
        <stp>31388TC68 Mtge</stp>
        <stp xml:space="preserve">MTG_PL_PSA_6M </stp>
        <stp>[Copy of 02_cpr_main.xlsx]data!R229C15</stp>
        <tr r="O229" s="2"/>
      </tp>
      <tp>
        <v>5.8</v>
        <stp/>
        <stp>##V3_BDPV12</stp>
        <stp>31415TLM0 Mtge</stp>
        <stp xml:space="preserve">MTG_PL_PSA_6M </stp>
        <stp>[Copy of 02_cpr_main.xlsx]data!R456C15</stp>
        <tr r="O456" s="2"/>
      </tp>
      <tp>
        <v>237.2</v>
        <stp/>
        <stp>##V3_BDPV12</stp>
        <stp>31414TNR8 Mtge</stp>
        <stp xml:space="preserve">MTG_PL_PSA_6M </stp>
        <stp>[Copy of 02_cpr_main.xlsx]data!R444C15</stp>
        <tr r="O444" s="2"/>
      </tp>
      <tp>
        <v>42.6</v>
        <stp/>
        <stp>##V3_BDPV12</stp>
        <stp>31414TNR8 Mtge</stp>
        <stp xml:space="preserve">MTG_PL_PSA_1M </stp>
        <stp>[Copy of 02_cpr_main.xlsx]data!R444C13</stp>
        <tr r="M444" s="2"/>
      </tp>
      <tp>
        <v>6.2</v>
        <stp/>
        <stp>##V3_BDPV12</stp>
        <stp>31415TLM0 Mtge</stp>
        <stp xml:space="preserve">MTG_PL_PSA_3M </stp>
        <stp>[Copy of 02_cpr_main.xlsx]data!R456C14</stp>
        <tr r="N456" s="2"/>
      </tp>
      <tp>
        <v>352.2</v>
        <stp/>
        <stp>##V3_BDPV12</stp>
        <stp>31414TNR8 Mtge</stp>
        <stp xml:space="preserve">MTG_PL_PSA_3M </stp>
        <stp>[Copy of 02_cpr_main.xlsx]data!R444C14</stp>
        <tr r="N444" s="2"/>
      </tp>
      <tp>
        <v>5.9</v>
        <stp/>
        <stp>##V3_BDPV12</stp>
        <stp>31415TLM0 Mtge</stp>
        <stp xml:space="preserve">MTG_PL_PSA_1M </stp>
        <stp>[Copy of 02_cpr_main.xlsx]data!R456C13</stp>
        <tr r="M456" s="2"/>
      </tp>
      <tp>
        <v>43.3</v>
        <stp/>
        <stp>##V3_BDPV12</stp>
        <stp>31402TVS1 Mtge</stp>
        <stp xml:space="preserve">MTG_PL_PSA_3M </stp>
        <stp>[Copy of 02_cpr_main.xlsx]data!R288C14</stp>
        <tr r="N288" s="2"/>
      </tp>
      <tp>
        <v>49.8</v>
        <stp/>
        <stp>##V3_BDPV12</stp>
        <stp>31409TRU4 Mtge</stp>
        <stp xml:space="preserve">MTG_PL_PSA_6M </stp>
        <stp>[Copy of 02_cpr_main.xlsx]data!R354C15</stp>
        <tr r="O354" s="2"/>
      </tp>
      <tp>
        <v>764.9</v>
        <stp/>
        <stp>##V3_BDPV12</stp>
        <stp>31382TTG4 Mtge</stp>
        <stp xml:space="preserve">MTG_PL_PSA_6M </stp>
        <stp>[Copy of 02_cpr_main.xlsx]data!R203C15</stp>
        <tr r="O203" s="2"/>
      </tp>
      <tp>
        <v>1666.7</v>
        <stp/>
        <stp>##V3_BDPV12</stp>
        <stp>31409TUG1 Mtge</stp>
        <stp xml:space="preserve">MTG_PL_PSA_1M </stp>
        <stp>[Copy of 02_cpr_main.xlsx]data!R355C13</stp>
        <tr r="M355" s="2"/>
      </tp>
      <tp>
        <v>1666.7</v>
        <stp/>
        <stp>##V3_BDPV12</stp>
        <stp>31410TVY8 Mtge</stp>
        <stp xml:space="preserve">MTG_PL_PSA_3M </stp>
        <stp>[Copy of 02_cpr_main.xlsx]data!R384C14</stp>
        <tr r="N384" s="2"/>
      </tp>
      <tp>
        <v>1666.7</v>
        <stp/>
        <stp>##V3_BDPV12</stp>
        <stp>31382TUC1 Mtge</stp>
        <stp xml:space="preserve">MTG_PL_PSA_6M </stp>
        <stp>[Copy of 02_cpr_main.xlsx]data!R204C15</stp>
        <tr r="O204" s="2"/>
      </tp>
      <tp>
        <v>125.8</v>
        <stp/>
        <stp>##V3_BDPV12</stp>
        <stp>31414TSB8 Mtge</stp>
        <stp xml:space="preserve">MTG_PL_PSA_1M </stp>
        <stp>[Copy of 02_cpr_main.xlsx]data!R445C13</stp>
        <tr r="M445" s="2"/>
      </tp>
      <tp>
        <v>101.3</v>
        <stp/>
        <stp>##V3_BDPV12</stp>
        <stp>36201SRB7 Mtge</stp>
        <stp xml:space="preserve">MTG_PL_PSA_6M </stp>
        <stp>[Copy of 02_cpr_main.xlsx]data!R473C15</stp>
        <tr r="O473" s="2"/>
      </tp>
      <tp t="s">
        <v>#N/A N/A</v>
        <stp/>
        <stp>##V3_BDPV12</stp>
        <stp>3128GDRC6 Mtge</stp>
        <stp>MTG_PREPAY_SPEED</stp>
        <stp>[Copy of 02_cpr_main.xlsx]data!R48C12</stp>
        <tr r="L48" s="2"/>
      </tp>
      <tp>
        <v>26.3</v>
        <stp/>
        <stp>##V3_BDPV12</stp>
        <stp>31402TVS1 Mtge</stp>
        <stp xml:space="preserve">MTG_PL_PSA_1M </stp>
        <stp>[Copy of 02_cpr_main.xlsx]data!R288C13</stp>
        <tr r="M288" s="2"/>
      </tp>
      <tp t="s">
        <v>PSA</v>
        <stp/>
        <stp>##V3_BDPV12</stp>
        <stp>31413N5R2 Mtge</stp>
        <stp>MTG_PREPAY_TYP</stp>
        <stp>[Copy of 02_cpr_main.xlsx]data!R428C11</stp>
        <tr r="K428" s="2"/>
      </tp>
      <tp>
        <v>1666.7</v>
        <stp/>
        <stp>##V3_BDPV12</stp>
        <stp>31409TUG1 Mtge</stp>
        <stp xml:space="preserve">MTG_PL_PSA_3M </stp>
        <stp>[Copy of 02_cpr_main.xlsx]data!R355C14</stp>
        <tr r="N355" s="2"/>
      </tp>
      <tp>
        <v>1666.7</v>
        <stp/>
        <stp>##V3_BDPV12</stp>
        <stp>31410TVY8 Mtge</stp>
        <stp xml:space="preserve">MTG_PL_PSA_1M </stp>
        <stp>[Copy of 02_cpr_main.xlsx]data!R384C13</stp>
        <tr r="M384" s="2"/>
      </tp>
      <tp>
        <v>123.2</v>
        <stp/>
        <stp>##V3_BDPV12</stp>
        <stp>31414TSB8 Mtge</stp>
        <stp xml:space="preserve">MTG_PL_PSA_3M </stp>
        <stp>[Copy of 02_cpr_main.xlsx]data!R445C14</stp>
        <tr r="N445" s="2"/>
      </tp>
      <tp>
        <v>1666.7</v>
        <stp/>
        <stp>##V3_BDPV12</stp>
        <stp>31410TVY8 Mtge</stp>
        <stp xml:space="preserve">MTG_PL_PSA_6M </stp>
        <stp>[Copy of 02_cpr_main.xlsx]data!R384C15</stp>
        <tr r="O384" s="2"/>
      </tp>
      <tp>
        <v>1666.7</v>
        <stp/>
        <stp>##V3_BDPV12</stp>
        <stp>31382TUC1 Mtge</stp>
        <stp xml:space="preserve">MTG_PL_PSA_3M </stp>
        <stp>[Copy of 02_cpr_main.xlsx]data!R204C14</stp>
        <tr r="N204" s="2"/>
      </tp>
      <tp>
        <v>118.5</v>
        <stp/>
        <stp>##V3_BDPV12</stp>
        <stp>36201SRB7 Mtge</stp>
        <stp xml:space="preserve">MTG_PL_PSA_3M </stp>
        <stp>[Copy of 02_cpr_main.xlsx]data!R473C14</stp>
        <tr r="N473" s="2"/>
      </tp>
      <tp>
        <v>46.4</v>
        <stp/>
        <stp>##V3_BDPV12</stp>
        <stp>31402TVS1 Mtge</stp>
        <stp xml:space="preserve">MTG_PL_PSA_6M </stp>
        <stp>[Copy of 02_cpr_main.xlsx]data!R288C15</stp>
        <tr r="O288" s="2"/>
      </tp>
      <tp>
        <v>50.8</v>
        <stp/>
        <stp>##V3_BDPV12</stp>
        <stp>31409TRU4 Mtge</stp>
        <stp xml:space="preserve">MTG_PL_PSA_3M </stp>
        <stp>[Copy of 02_cpr_main.xlsx]data!R354C14</stp>
        <tr r="N354" s="2"/>
      </tp>
      <tp>
        <v>1060.3</v>
        <stp/>
        <stp>##V3_BDPV12</stp>
        <stp>31382TTG4 Mtge</stp>
        <stp xml:space="preserve">MTG_PL_PSA_3M </stp>
        <stp>[Copy of 02_cpr_main.xlsx]data!R203C14</stp>
        <tr r="N203" s="2"/>
      </tp>
      <tp>
        <v>1666.7</v>
        <stp/>
        <stp>##V3_BDPV12</stp>
        <stp>31382TUC1 Mtge</stp>
        <stp xml:space="preserve">MTG_PL_PSA_1M </stp>
        <stp>[Copy of 02_cpr_main.xlsx]data!R204C13</stp>
        <tr r="M204" s="2"/>
      </tp>
      <tp>
        <v>123.4</v>
        <stp/>
        <stp>##V3_BDPV12</stp>
        <stp>36201SRB7 Mtge</stp>
        <stp xml:space="preserve">MTG_PL_PSA_1M </stp>
        <stp>[Copy of 02_cpr_main.xlsx]data!R473C13</stp>
        <tr r="M473" s="2"/>
      </tp>
      <tp>
        <v>119.9</v>
        <stp/>
        <stp>##V3_BDPV12</stp>
        <stp>31414TSB8 Mtge</stp>
        <stp xml:space="preserve">MTG_PL_PSA_6M </stp>
        <stp>[Copy of 02_cpr_main.xlsx]data!R445C15</stp>
        <tr r="O445" s="2"/>
      </tp>
      <tp>
        <v>50.5</v>
        <stp/>
        <stp>##V3_BDPV12</stp>
        <stp>31409TRU4 Mtge</stp>
        <stp xml:space="preserve">MTG_PL_PSA_1M </stp>
        <stp>[Copy of 02_cpr_main.xlsx]data!R354C13</stp>
        <tr r="M354" s="2"/>
      </tp>
      <tp>
        <v>0</v>
        <stp/>
        <stp>##V3_BDPV12</stp>
        <stp>31382TTG4 Mtge</stp>
        <stp xml:space="preserve">MTG_PL_PSA_1M </stp>
        <stp>[Copy of 02_cpr_main.xlsx]data!R203C13</stp>
        <tr r="M203" s="2"/>
      </tp>
      <tp>
        <v>1666.7</v>
        <stp/>
        <stp>##V3_BDPV12</stp>
        <stp>31409TUG1 Mtge</stp>
        <stp xml:space="preserve">MTG_PL_PSA_6M </stp>
        <stp>[Copy of 02_cpr_main.xlsx]data!R355C15</stp>
        <tr r="O355" s="2"/>
      </tp>
      <tp>
        <v>191</v>
        <stp/>
        <stp>##V3_BDPV12</stp>
        <stp>31283HRL1 Mtge</stp>
        <stp>MTG_PREPAY_SPEED</stp>
        <stp>[Copy of 02_cpr_main.xlsx]data!R31C12</stp>
        <tr r="L31" s="2"/>
      </tp>
    </main>
    <main first="bloomberg.rtd">
      <tp t="s">
        <v>#N/A N/A</v>
        <stp/>
        <stp>##V3_BDPV12</stp>
        <stp>31283KR34 Mtge</stp>
        <stp>MTG_PREPAY_SPEED</stp>
        <stp>[Copy of 02_cpr_main.xlsx]data!R36C12</stp>
        <tr r="L36" s="2"/>
      </tp>
      <tp t="s">
        <v>#N/A N/A</v>
        <stp/>
        <stp>##V3_BDPV12</stp>
        <stp>31413NDT9 Mtge</stp>
        <stp>MTG_PREPAY_TYP</stp>
        <stp>[Copy of 02_cpr_main.xlsx]data!R430C11</stp>
        <tr r="K430" s="2"/>
      </tp>
      <tp t="s">
        <v>PSA</v>
        <stp/>
        <stp>##V3_BDPV12</stp>
        <stp>31413NCZ6 Mtge</stp>
        <stp>MTG_PREPAY_TYP</stp>
        <stp>[Copy of 02_cpr_main.xlsx]data!R429C11</stp>
        <tr r="K429" s="2"/>
      </tp>
    </main>
    <main first="bloomberg.rtd">
      <tp>
        <v>0.5</v>
        <stp/>
        <stp>##V3_BDPV12</stp>
        <stp>31412T5U3 Mtge</stp>
        <stp xml:space="preserve">MTG_PL_PSA_6M </stp>
        <stp>[Copy of 02_cpr_main.xlsx]data!R413C15</stp>
        <tr r="O413" s="2"/>
      </tp>
      <tp>
        <v>1666.7</v>
        <stp/>
        <stp>##V3_BDPV12</stp>
        <stp>3128QT7C2 Mtge</stp>
        <stp xml:space="preserve">MTG_PL_PSA_6M </stp>
        <stp>[Copy of 02_cpr_main.xlsx]data!R112C15</stp>
        <tr r="O112" s="2"/>
      </tp>
      <tp>
        <v>1666.7</v>
        <stp/>
        <stp>##V3_BDPV12</stp>
        <stp>3128QT7C2 Mtge</stp>
        <stp xml:space="preserve">MTG_PL_PSA_3M </stp>
        <stp>[Copy of 02_cpr_main.xlsx]data!R112C14</stp>
        <tr r="N112" s="2"/>
      </tp>
      <tp>
        <v>0.4</v>
        <stp/>
        <stp>##V3_BDPV12</stp>
        <stp>31412T5U3 Mtge</stp>
        <stp xml:space="preserve">MTG_PL_PSA_3M </stp>
        <stp>[Copy of 02_cpr_main.xlsx]data!R413C14</stp>
        <tr r="N413" s="2"/>
      </tp>
      <tp>
        <v>1666.7</v>
        <stp/>
        <stp>##V3_BDPV12</stp>
        <stp>3128QT7C2 Mtge</stp>
        <stp xml:space="preserve">MTG_PL_PSA_1M </stp>
        <stp>[Copy of 02_cpr_main.xlsx]data!R112C13</stp>
        <tr r="M112" s="2"/>
      </tp>
      <tp>
        <v>0.5</v>
        <stp/>
        <stp>##V3_BDPV12</stp>
        <stp>31412T5U3 Mtge</stp>
        <stp xml:space="preserve">MTG_PL_PSA_1M </stp>
        <stp>[Copy of 02_cpr_main.xlsx]data!R413C13</stp>
        <tr r="M413" s="2"/>
      </tp>
      <tp t="s">
        <v>#N/A Invalid Field</v>
        <stp/>
        <stp>##V3_BDHV12</stp>
        <stp>31379C5N7 Mtge</stp>
        <stp>MTG_GEN_CPR_12M</stp>
        <stp>20090610</stp>
        <stp>20090610</stp>
        <stp>[Copy of 02_cpr_main.xlsx]data!R188C10</stp>
        <stp>Dts=H</stp>
        <tr r="J188" s="2"/>
      </tp>
      <tp t="s">
        <v>#N/A Invalid Field</v>
        <stp/>
        <stp>##V3_BDHV12</stp>
        <stp>36290V5G5 Mtge</stp>
        <stp>MTG_GEN_CPR_12M</stp>
        <stp>20090610</stp>
        <stp>20090610</stp>
        <stp>[Copy of 02_cpr_main.xlsx]data!R497C10</stp>
        <stp>Dts=H</stp>
        <tr r="J497" s="2"/>
      </tp>
      <tp t="s">
        <v>#N/A Invalid Field</v>
        <stp/>
        <stp>##V3_BDHV12</stp>
        <stp>31410V2L3 Mtge</stp>
        <stp>MTG_GEN_CPR_12M</stp>
        <stp>20090610</stp>
        <stp>20090610</stp>
        <stp>[Copy of 02_cpr_main.xlsx]data!R386C10</stp>
        <stp>Dts=H</stp>
        <tr r="J386" s="2"/>
      </tp>
      <tp>
        <v>1666.7</v>
        <stp/>
        <stp>##V3_BDPV12</stp>
        <stp>31293UAS3 Mtge</stp>
        <stp xml:space="preserve">MTG_PL_PSA_1M </stp>
        <stp>[Copy of 02_cpr_main.xlsx]data!R123C13</stp>
        <tr r="M123" s="2"/>
      </tp>
      <tp>
        <v>1666.7</v>
        <stp/>
        <stp>##V3_BDPV12</stp>
        <stp>31404UE63 Mtge</stp>
        <stp xml:space="preserve">MTG_PL_PSA_1M </stp>
        <stp>[Copy of 02_cpr_main.xlsx]data!R319C13</stp>
        <tr r="M319" s="2"/>
      </tp>
      <tp>
        <v>27.2</v>
        <stp/>
        <stp>##V3_BDPV12</stp>
        <stp>31349UFK9 Mtge</stp>
        <stp xml:space="preserve">MTG_PL_PSA_6M </stp>
        <stp>[Copy of 02_cpr_main.xlsx]data!R158C15</stp>
        <tr r="O158" s="2"/>
      </tp>
      <tp>
        <v>35.4</v>
        <stp/>
        <stp>##V3_BDPV12</stp>
        <stp>31411UDL2 Mtge</stp>
        <stp xml:space="preserve">MTG_PL_PSA_1M </stp>
        <stp>[Copy of 02_cpr_main.xlsx]data!R395C13</stp>
        <tr r="M395" s="2"/>
      </tp>
      <tp>
        <v>1666.7</v>
        <stp/>
        <stp>##V3_BDPV12</stp>
        <stp>31293UAS3 Mtge</stp>
        <stp xml:space="preserve">MTG_PL_PSA_3M </stp>
        <stp>[Copy of 02_cpr_main.xlsx]data!R123C14</stp>
        <tr r="N123" s="2"/>
      </tp>
      <tp>
        <v>1666.7</v>
        <stp/>
        <stp>##V3_BDPV12</stp>
        <stp>31404UE63 Mtge</stp>
        <stp xml:space="preserve">MTG_PL_PSA_3M </stp>
        <stp>[Copy of 02_cpr_main.xlsx]data!R319C14</stp>
        <tr r="N319" s="2"/>
      </tp>
      <tp>
        <v>34.6</v>
        <stp/>
        <stp>##V3_BDPV12</stp>
        <stp>31411UDL2 Mtge</stp>
        <stp xml:space="preserve">MTG_PL_PSA_3M </stp>
        <stp>[Copy of 02_cpr_main.xlsx]data!R395C14</stp>
        <tr r="N395" s="2"/>
      </tp>
      <tp>
        <v>35.799999999999997</v>
        <stp/>
        <stp>##V3_BDPV12</stp>
        <stp>31349UFK9 Mtge</stp>
        <stp xml:space="preserve">MTG_PL_PSA_3M </stp>
        <stp>[Copy of 02_cpr_main.xlsx]data!R158C14</stp>
        <tr r="N158" s="2"/>
      </tp>
      <tp>
        <v>0</v>
        <stp/>
        <stp>##V3_BDPV12</stp>
        <stp>3128LUSW7 Mtge</stp>
        <stp>MTG_PREPAY_SPEED</stp>
        <stp>[Copy of 02_cpr_main.xlsx]data!R80C12</stp>
        <tr r="L80" s="2"/>
      </tp>
      <tp>
        <v>22.3</v>
        <stp/>
        <stp>##V3_BDPV12</stp>
        <stp>31349UFK9 Mtge</stp>
        <stp xml:space="preserve">MTG_PL_PSA_1M </stp>
        <stp>[Copy of 02_cpr_main.xlsx]data!R158C13</stp>
        <tr r="M158" s="2"/>
      </tp>
      <tp>
        <v>32.9</v>
        <stp/>
        <stp>##V3_BDPV12</stp>
        <stp>31411UDL2 Mtge</stp>
        <stp xml:space="preserve">MTG_PL_PSA_6M </stp>
        <stp>[Copy of 02_cpr_main.xlsx]data!R395C15</stp>
        <tr r="O395" s="2"/>
      </tp>
      <tp>
        <v>1666.7</v>
        <stp/>
        <stp>##V3_BDPV12</stp>
        <stp>31293UAS3 Mtge</stp>
        <stp xml:space="preserve">MTG_PL_PSA_6M </stp>
        <stp>[Copy of 02_cpr_main.xlsx]data!R123C15</stp>
        <tr r="O123" s="2"/>
      </tp>
      <tp>
        <v>1666.7</v>
        <stp/>
        <stp>##V3_BDPV12</stp>
        <stp>31404UE63 Mtge</stp>
        <stp xml:space="preserve">MTG_PL_PSA_6M </stp>
        <stp>[Copy of 02_cpr_main.xlsx]data!R319C15</stp>
        <tr r="O319" s="2"/>
      </tp>
      <tp>
        <v>1666.7</v>
        <stp/>
        <stp>##V3_BDPV12</stp>
        <stp>36204RN87 Mtge</stp>
        <stp xml:space="preserve">MTG_PL_PSA_3M </stp>
        <stp>[Copy of 02_cpr_main.xlsx]data!R478C14</stp>
        <tr r="N478" s="2"/>
      </tp>
      <tp>
        <v>34.299999999999997</v>
        <stp/>
        <stp>##V3_BDPV12</stp>
        <stp>31406UL48 Mtge</stp>
        <stp xml:space="preserve">MTG_PL_PSA_1M </stp>
        <stp>[Copy of 02_cpr_main.xlsx]data!R339C13</stp>
        <tr r="M339" s="2"/>
      </tp>
      <tp>
        <v>1666.7</v>
        <stp/>
        <stp>##V3_BDPV12</stp>
        <stp>36204RN87 Mtge</stp>
        <stp xml:space="preserve">MTG_PL_PSA_1M </stp>
        <stp>[Copy of 02_cpr_main.xlsx]data!R478C13</stp>
        <tr r="M478" s="2"/>
      </tp>
      <tp>
        <v>416.9</v>
        <stp/>
        <stp>##V3_BDPV12</stp>
        <stp>31402UHZ8 Mtge</stp>
        <stp xml:space="preserve">MTG_PL_PSA_6M </stp>
        <stp>[Copy of 02_cpr_main.xlsx]data!R289C15</stp>
        <tr r="O289" s="2"/>
      </tp>
      <tp>
        <v>69.400000000000006</v>
        <stp/>
        <stp>##V3_BDPV12</stp>
        <stp>31406UL48 Mtge</stp>
        <stp xml:space="preserve">MTG_PL_PSA_3M </stp>
        <stp>[Copy of 02_cpr_main.xlsx]data!R339C14</stp>
        <tr r="N339" s="2"/>
      </tp>
      <tp>
        <v>1344.5</v>
        <stp/>
        <stp>##V3_BDPV12</stp>
        <stp>31402UHZ8 Mtge</stp>
        <stp xml:space="preserve">MTG_PL_PSA_1M </stp>
        <stp>[Copy of 02_cpr_main.xlsx]data!R289C13</stp>
        <tr r="M289" s="2"/>
      </tp>
      <tp>
        <v>1666.7</v>
        <stp/>
        <stp>##V3_BDPV12</stp>
        <stp>36204RN87 Mtge</stp>
        <stp xml:space="preserve">MTG_PL_PSA_6M </stp>
        <stp>[Copy of 02_cpr_main.xlsx]data!R478C15</stp>
        <tr r="O478" s="2"/>
      </tp>
      <tp>
        <v>714.6</v>
        <stp/>
        <stp>##V3_BDPV12</stp>
        <stp>31402UHZ8 Mtge</stp>
        <stp xml:space="preserve">MTG_PL_PSA_3M </stp>
        <stp>[Copy of 02_cpr_main.xlsx]data!R289C14</stp>
        <tr r="N289" s="2"/>
      </tp>
      <tp>
        <v>50.7</v>
        <stp/>
        <stp>##V3_BDPV12</stp>
        <stp>31406UL48 Mtge</stp>
        <stp xml:space="preserve">MTG_PL_PSA_6M </stp>
        <stp>[Copy of 02_cpr_main.xlsx]data!R339C15</stp>
        <tr r="O339" s="2"/>
      </tp>
      <tp>
        <v>1666.7</v>
        <stp/>
        <stp>##V3_BDPV12</stp>
        <stp>31405UVD8 Mtge</stp>
        <stp xml:space="preserve">MTG_PL_PSA_3M </stp>
        <stp>[Copy of 02_cpr_main.xlsx]data!R328C14</stp>
        <tr r="N328" s="2"/>
      </tp>
      <tp>
        <v>0</v>
        <stp/>
        <stp>##V3_BDPV12</stp>
        <stp>31413UWD7 Mtge</stp>
        <stp xml:space="preserve">MTG_PL_PSA_6M </stp>
        <stp>[Copy of 02_cpr_main.xlsx]data!R434C15</stp>
        <tr r="O434" s="2"/>
      </tp>
      <tp>
        <v>1666.7</v>
        <stp/>
        <stp>##V3_BDPV12</stp>
        <stp>31411UPM7 Mtge</stp>
        <stp xml:space="preserve">MTG_PL_PSA_6M </stp>
        <stp>[Copy of 02_cpr_main.xlsx]data!R396C15</stp>
        <tr r="O396" s="2"/>
      </tp>
      <tp>
        <v>1666.7</v>
        <stp/>
        <stp>##V3_BDPV12</stp>
        <stp>31410UQW5 Mtge</stp>
        <stp xml:space="preserve">MTG_PL_PSA_6M </stp>
        <stp>[Copy of 02_cpr_main.xlsx]data!R385C15</stp>
        <tr r="O385" s="2"/>
      </tp>
      <tp>
        <v>1666.7</v>
        <stp/>
        <stp>##V3_BDPV12</stp>
        <stp>31405UVD8 Mtge</stp>
        <stp xml:space="preserve">MTG_PL_PSA_1M </stp>
        <stp>[Copy of 02_cpr_main.xlsx]data!R328C13</stp>
        <tr r="M328" s="2"/>
      </tp>
      <tp>
        <v>1666.7</v>
        <stp/>
        <stp>##V3_BDPV12</stp>
        <stp>31410UQW5 Mtge</stp>
        <stp xml:space="preserve">MTG_PL_PSA_1M </stp>
        <stp>[Copy of 02_cpr_main.xlsx]data!R385C13</stp>
        <tr r="M385" s="2"/>
      </tp>
      <tp>
        <v>1666.7</v>
        <stp/>
        <stp>##V3_BDPV12</stp>
        <stp>31405UVD8 Mtge</stp>
        <stp xml:space="preserve">MTG_PL_PSA_6M </stp>
        <stp>[Copy of 02_cpr_main.xlsx]data!R328C15</stp>
        <tr r="O328" s="2"/>
      </tp>
      <tp>
        <v>1666.7</v>
        <stp/>
        <stp>##V3_BDPV12</stp>
        <stp>31411UPM7 Mtge</stp>
        <stp xml:space="preserve">MTG_PL_PSA_1M </stp>
        <stp>[Copy of 02_cpr_main.xlsx]data!R396C13</stp>
        <tr r="M396" s="2"/>
      </tp>
      <tp>
        <v>0</v>
        <stp/>
        <stp>##V3_BDPV12</stp>
        <stp>31413UWD7 Mtge</stp>
        <stp xml:space="preserve">MTG_PL_PSA_1M </stp>
        <stp>[Copy of 02_cpr_main.xlsx]data!R434C13</stp>
        <tr r="M434" s="2"/>
      </tp>
      <tp>
        <v>1666.7</v>
        <stp/>
        <stp>##V3_BDPV12</stp>
        <stp>31410UQW5 Mtge</stp>
        <stp xml:space="preserve">MTG_PL_PSA_3M </stp>
        <stp>[Copy of 02_cpr_main.xlsx]data!R385C14</stp>
        <tr r="N385" s="2"/>
      </tp>
      <tp>
        <v>0</v>
        <stp/>
        <stp>##V3_BDPV12</stp>
        <stp>31413UWD7 Mtge</stp>
        <stp xml:space="preserve">MTG_PL_PSA_3M </stp>
        <stp>[Copy of 02_cpr_main.xlsx]data!R434C14</stp>
        <tr r="N434" s="2"/>
      </tp>
      <tp>
        <v>1666.7</v>
        <stp/>
        <stp>##V3_BDPV12</stp>
        <stp>31411UPM7 Mtge</stp>
        <stp xml:space="preserve">MTG_PL_PSA_3M </stp>
        <stp>[Copy of 02_cpr_main.xlsx]data!R396C14</stp>
        <tr r="N396" s="2"/>
      </tp>
    </main>
    <main first="bloomberg.rtd">
      <tp>
        <v>1666.7</v>
        <stp/>
        <stp>##V3_BDPV12</stp>
        <stp>36200R6U1 Mtge</stp>
        <stp xml:space="preserve">MTG_PL_PSA_3M </stp>
        <stp>[Copy of 02_cpr_main.xlsx]data!R469C14</stp>
        <tr r="N469" s="2"/>
      </tp>
      <tp>
        <v>1666.7</v>
        <stp/>
        <stp>##V3_BDPV12</stp>
        <stp>36200R6U1 Mtge</stp>
        <stp xml:space="preserve">MTG_PL_PSA_1M </stp>
        <stp>[Copy of 02_cpr_main.xlsx]data!R469C13</stp>
        <tr r="M469" s="2"/>
      </tp>
      <tp>
        <v>1666.7</v>
        <stp/>
        <stp>##V3_BDPV12</stp>
        <stp>36200R6U1 Mtge</stp>
        <stp xml:space="preserve">MTG_PL_PSA_6M </stp>
        <stp>[Copy of 02_cpr_main.xlsx]data!R469C15</stp>
        <tr r="O469" s="2"/>
      </tp>
      <tp t="s">
        <v>#N/A Invalid Field</v>
        <stp/>
        <stp>##V3_BDHV12</stp>
        <stp>31403C2Z3 Mtge</stp>
        <stp>MTG_GEN_CPR_12M</stp>
        <stp>20090610</stp>
        <stp>20090610</stp>
        <stp>[Copy of 02_cpr_main.xlsx]data!R292C10</stp>
        <stp>Dts=H</stp>
        <tr r="J292" s="2"/>
      </tp>
    </main>
    <main first="bloomberg.rtd">
      <tp t="s">
        <v>#N/A N/A</v>
        <stp/>
        <stp>##V3_BDPV12</stp>
        <stp>36213GSU6 Mtge</stp>
        <stp>MTG_PREPAY_TYP</stp>
        <stp>[Copy of 02_cpr_main.xlsx]data!R488C11</stp>
        <tr r="K488" s="2"/>
      </tp>
      <tp t="s">
        <v>PSA</v>
        <stp/>
        <stp>##V3_BDPV12</stp>
        <stp>36291GYR1 Mtge</stp>
        <stp>MTG_PREPAY_TYP</stp>
        <stp>[Copy of 02_cpr_main.xlsx]data!R501C11</stp>
        <tr r="K501" s="2"/>
      </tp>
      <tp t="s">
        <v>#N/A Invalid Field</v>
        <stp/>
        <stp>##V3_BDHV12</stp>
        <stp>31412T5U3 Mtge</stp>
        <stp>MTG_GEN_CPR_12M</stp>
        <stp>20090610</stp>
        <stp>20090610</stp>
        <stp>[Copy of 02_cpr_main.xlsx]data!R413C10</stp>
        <stp>Dts=H</stp>
        <tr r="J413" s="2"/>
      </tp>
      <tp t="s">
        <v>#N/A Invalid Field</v>
        <stp/>
        <stp>##V3_BDHV12</stp>
        <stp>31403K4Q3 Mtge</stp>
        <stp>MTG_GEN_CPR_12M</stp>
        <stp>20090610</stp>
        <stp>20090610</stp>
        <stp>[Copy of 02_cpr_main.xlsx]data!R307C10</stp>
        <stp>Dts=H</stp>
        <tr r="J307" s="2"/>
      </tp>
      <tp t="s">
        <v>#N/A Invalid Field</v>
        <stp/>
        <stp>##V3_BDHV12</stp>
        <stp>31410F2Z7 Mtge</stp>
        <stp>MTG_GEN_CPR_12M</stp>
        <stp>20090610</stp>
        <stp>20090610</stp>
        <stp>[Copy of 02_cpr_main.xlsx]data!R362C10</stp>
        <stp>Dts=H</stp>
        <tr r="J362" s="2"/>
      </tp>
      <tp t="s">
        <v>#N/A Invalid Field</v>
        <stp/>
        <stp>##V3_BDHV12</stp>
        <stp>31371K5T4 Mtge</stp>
        <stp>MTG_GEN_CPR_12M</stp>
        <stp>20090610</stp>
        <stp>20090610</stp>
        <stp>[Copy of 02_cpr_main.xlsx]data!R168C10</stp>
        <stp>Dts=H</stp>
        <tr r="J168" s="2"/>
      </tp>
      <tp t="s">
        <v>#N/A Invalid Field</v>
        <stp/>
        <stp>##V3_BDHV12</stp>
        <stp>31404M5N4 Mtge</stp>
        <stp>MTG_GEN_CPR_12M</stp>
        <stp>20090610</stp>
        <stp>20090610</stp>
        <stp>[Copy of 02_cpr_main.xlsx]data!R316C10</stp>
        <stp>Dts=H</stp>
        <tr r="J316" s="2"/>
      </tp>
      <tp t="s">
        <v>#N/A Invalid Field</v>
        <stp/>
        <stp>##V3_BDHV12</stp>
        <stp>31412G4H1 Mtge</stp>
        <stp>MTG_GEN_CPR_12M</stp>
        <stp>20090610</stp>
        <stp>20090610</stp>
        <stp>[Copy of 02_cpr_main.xlsx]data!R406C10</stp>
        <stp>Dts=H</stp>
        <tr r="J406" s="2"/>
      </tp>
      <tp t="s">
        <v>PSA</v>
        <stp/>
        <stp>##V3_BDPV12</stp>
        <stp>31415A3C3 Mtge</stp>
        <stp>MTG_PREPAY_TYP</stp>
        <stp>[Copy of 02_cpr_main.xlsx]data!R446C11</stp>
        <tr r="K446" s="2"/>
      </tp>
      <tp t="s">
        <v>#N/A N/A</v>
        <stp/>
        <stp>##V3_BDPV12</stp>
        <stp>31413AGJ6 Mtge</stp>
        <stp>MTG_PREPAY_TYP</stp>
        <stp>[Copy of 02_cpr_main.xlsx]data!R416C11</stp>
        <tr r="K416" s="2"/>
      </tp>
    </main>
    <main first="bloomberg.rtd">
      <tp t="s">
        <v>PSA</v>
        <stp/>
        <stp>##V3_BDPV12</stp>
        <stp>31411AYF6 Mtge</stp>
        <stp>MTG_PREPAY_TYP</stp>
        <stp>[Copy of 02_cpr_main.xlsx]data!R390C11</stp>
        <tr r="K390" s="2"/>
      </tp>
      <tp t="s">
        <v>PSA</v>
        <stp/>
        <stp>##V3_BDPV12</stp>
        <stp>31405AZR7 Mtge</stp>
        <stp>MTG_PREPAY_TYP</stp>
        <stp>[Copy of 02_cpr_main.xlsx]data!R323C11</stp>
        <tr r="K323" s="2"/>
      </tp>
      <tp t="s">
        <v>#N/A Invalid Field</v>
        <stp/>
        <stp>##V3_BDHV12</stp>
        <stp>31412M4Y1 Mtge</stp>
        <stp>MTG_GEN_CPR_12M</stp>
        <stp>20090610</stp>
        <stp>20090610</stp>
        <stp>[Copy of 02_cpr_main.xlsx]data!R410C10</stp>
        <stp>Dts=H</stp>
        <tr r="J410" s="2"/>
      </tp>
      <tp t="s">
        <v>#N/A Invalid Field</v>
        <stp/>
        <stp>##V3_BDHV12</stp>
        <stp>31402Q2X8 Mtge</stp>
        <stp>MTG_GEN_CPR_12M</stp>
        <stp>20090610</stp>
        <stp>20090610</stp>
        <stp>[Copy of 02_cpr_main.xlsx]data!R273C10</stp>
        <stp>Dts=H</stp>
        <tr r="J273" s="2"/>
      </tp>
      <tp t="s">
        <v>#N/A Invalid Field</v>
        <stp/>
        <stp>##V3_BDHV12</stp>
        <stp>31292G2K1 Mtge</stp>
        <stp>MTG_GEN_CPR_12M</stp>
        <stp>20090610</stp>
        <stp>20090610</stp>
        <stp>[Copy of 02_cpr_main.xlsx]data!R113C10</stp>
        <stp>Dts=H</stp>
        <tr r="J113" s="2"/>
      </tp>
      <tp t="s">
        <v>#N/A Invalid Field</v>
        <stp/>
        <stp>##V3_BDHV12</stp>
        <stp>31391W6L0 Mtge</stp>
        <stp>MTG_GEN_CPR_12M</stp>
        <stp>20090610</stp>
        <stp>20090610</stp>
        <stp>[Copy of 02_cpr_main.xlsx]data!R242C10</stp>
        <stp>Dts=H</stp>
        <tr r="J242" s="2"/>
      </tp>
      <tp t="s">
        <v>#N/A Invalid Field</v>
        <stp/>
        <stp>##V3_BDHV12</stp>
        <stp>31403R4H8 Mtge</stp>
        <stp>MTG_GEN_CPR_12M</stp>
        <stp>20090610</stp>
        <stp>20090610</stp>
        <stp>[Copy of 02_cpr_main.xlsx]data!R311C10</stp>
        <stp>Dts=H</stp>
        <tr r="J311" s="2"/>
      </tp>
      <tp>
        <v>13</v>
        <stp/>
        <stp>##V3_BDPV12</stp>
        <stp>31410XGK6 Mtge</stp>
        <stp xml:space="preserve">MTG_PL_PSA_3M </stp>
        <stp>[Copy of 02_cpr_main.xlsx]data!R389C14</stp>
        <tr r="N389" s="2"/>
      </tp>
      <tp>
        <v>1642.1</v>
        <stp/>
        <stp>##V3_BDPV12</stp>
        <stp>31385XDL8 Mtge</stp>
        <stp xml:space="preserve">MTG_PL_PSA_6M </stp>
        <stp>[Copy of 02_cpr_main.xlsx]data!R220C15</stp>
        <tr r="O220" s="2"/>
      </tp>
      <tp>
        <v>170.6</v>
        <stp/>
        <stp>##V3_BDPV12</stp>
        <stp>31385XEC7 Mtge</stp>
        <stp xml:space="preserve">MTG_PL_PSA_6M </stp>
        <stp>[Copy of 02_cpr_main.xlsx]data!R221C15</stp>
        <tr r="O221" s="2"/>
      </tp>
      <tp>
        <v>1.3</v>
        <stp/>
        <stp>##V3_BDPV12</stp>
        <stp>31410XF84 Mtge</stp>
        <stp xml:space="preserve">MTG_PL_PSA_3M </stp>
        <stp>[Copy of 02_cpr_main.xlsx]data!R388C14</stp>
        <tr r="N388" s="2"/>
      </tp>
      <tp>
        <v>0</v>
        <stp/>
        <stp>##V3_BDPV12</stp>
        <stp>31385XFF9 Mtge</stp>
        <stp xml:space="preserve">MTG_PL_PSA_6M </stp>
        <stp>[Copy of 02_cpr_main.xlsx]data!R222C15</stp>
        <tr r="O222" s="2"/>
      </tp>
      <tp>
        <v>13.4</v>
        <stp/>
        <stp>##V3_BDPV12</stp>
        <stp>31410XGK6 Mtge</stp>
        <stp xml:space="preserve">MTG_PL_PSA_1M </stp>
        <stp>[Copy of 02_cpr_main.xlsx]data!R389C13</stp>
        <tr r="M389" s="2"/>
      </tp>
      <tp>
        <v>1.3</v>
        <stp/>
        <stp>##V3_BDPV12</stp>
        <stp>31410XF84 Mtge</stp>
        <stp xml:space="preserve">MTG_PL_PSA_1M </stp>
        <stp>[Copy of 02_cpr_main.xlsx]data!R388C13</stp>
        <tr r="M388" s="2"/>
      </tp>
      <tp>
        <v>176.7</v>
        <stp/>
        <stp>##V3_BDPV12</stp>
        <stp>31385XEC7 Mtge</stp>
        <stp xml:space="preserve">MTG_PL_PSA_3M </stp>
        <stp>[Copy of 02_cpr_main.xlsx]data!R221C14</stp>
        <tr r="N221" s="2"/>
      </tp>
      <tp>
        <v>1.2</v>
        <stp/>
        <stp>##V3_BDPV12</stp>
        <stp>31410XF84 Mtge</stp>
        <stp xml:space="preserve">MTG_PL_PSA_6M </stp>
        <stp>[Copy of 02_cpr_main.xlsx]data!R388C15</stp>
        <tr r="O388" s="2"/>
      </tp>
      <tp>
        <v>-0.1</v>
        <stp/>
        <stp>##V3_BDPV12</stp>
        <stp>31385XFF9 Mtge</stp>
        <stp xml:space="preserve">MTG_PL_PSA_1M </stp>
        <stp>[Copy of 02_cpr_main.xlsx]data!R222C13</stp>
        <tr r="M222" s="2"/>
      </tp>
      <tp>
        <v>10.8</v>
        <stp/>
        <stp>##V3_BDPV12</stp>
        <stp>31410XGK6 Mtge</stp>
        <stp xml:space="preserve">MTG_PL_PSA_6M </stp>
        <stp>[Copy of 02_cpr_main.xlsx]data!R389C15</stp>
        <tr r="O389" s="2"/>
      </tp>
      <tp>
        <v>1656.9</v>
        <stp/>
        <stp>##V3_BDPV12</stp>
        <stp>31385XDL8 Mtge</stp>
        <stp xml:space="preserve">MTG_PL_PSA_3M </stp>
        <stp>[Copy of 02_cpr_main.xlsx]data!R220C14</stp>
        <tr r="N220" s="2"/>
      </tp>
      <tp>
        <v>148.19999999999999</v>
        <stp/>
        <stp>##V3_BDPV12</stp>
        <stp>31385XEC7 Mtge</stp>
        <stp xml:space="preserve">MTG_PL_PSA_1M </stp>
        <stp>[Copy of 02_cpr_main.xlsx]data!R221C13</stp>
        <tr r="M221" s="2"/>
      </tp>
      <tp>
        <v>0</v>
        <stp/>
        <stp>##V3_BDPV12</stp>
        <stp>31385XFF9 Mtge</stp>
        <stp xml:space="preserve">MTG_PL_PSA_3M </stp>
        <stp>[Copy of 02_cpr_main.xlsx]data!R222C14</stp>
        <tr r="N222" s="2"/>
      </tp>
      <tp>
        <v>0</v>
        <stp/>
        <stp>##V3_BDPV12</stp>
        <stp>31385XDL8 Mtge</stp>
        <stp xml:space="preserve">MTG_PL_PSA_1M </stp>
        <stp>[Copy of 02_cpr_main.xlsx]data!R220C13</stp>
        <tr r="M220" s="2"/>
      </tp>
      <tp>
        <v>1140.7</v>
        <stp/>
        <stp>##V3_BDPV12</stp>
        <stp>31385XLV7 Mtge</stp>
        <stp xml:space="preserve">MTG_PL_PSA_6M </stp>
        <stp>[Copy of 02_cpr_main.xlsx]data!R225C15</stp>
        <tr r="O225" s="2"/>
      </tp>
      <tp>
        <v>111.4</v>
        <stp/>
        <stp>##V3_BDPV12</stp>
        <stp>31385XLM7 Mtge</stp>
        <stp xml:space="preserve">MTG_PL_PSA_6M </stp>
        <stp>[Copy of 02_cpr_main.xlsx]data!R224C15</stp>
        <tr r="O224" s="2"/>
      </tp>
      <tp>
        <v>0</v>
        <stp/>
        <stp>##V3_BDPV12</stp>
        <stp>31385XKK2 Mtge</stp>
        <stp xml:space="preserve">MTG_PL_PSA_1M </stp>
        <stp>[Copy of 02_cpr_main.xlsx]data!R223C13</stp>
        <tr r="M223" s="2"/>
      </tp>
      <tp>
        <v>56.1</v>
        <stp/>
        <stp>##V3_BDPV12</stp>
        <stp>31415XJE2 Mtge</stp>
        <stp xml:space="preserve">MTG_PL_PSA_1M </stp>
        <stp>[Copy of 02_cpr_main.xlsx]data!R458C13</stp>
        <tr r="M458" s="2"/>
      </tp>
      <tp>
        <v>1666.7</v>
        <stp/>
        <stp>##V3_BDPV12</stp>
        <stp>31404XJG0 Mtge</stp>
        <stp xml:space="preserve">MTG_PL_PSA_6M </stp>
        <stp>[Copy of 02_cpr_main.xlsx]data!R321C15</stp>
        <tr r="O321" s="2"/>
      </tp>
      <tp>
        <v>180.2</v>
        <stp/>
        <stp>##V3_BDPV12</stp>
        <stp>31409XHN2 Mtge</stp>
        <stp xml:space="preserve">MTG_PL_PSA_6M </stp>
        <stp>[Copy of 02_cpr_main.xlsx]data!R356C15</stp>
        <tr r="O356" s="2"/>
      </tp>
      <tp>
        <v>1613.2</v>
        <stp/>
        <stp>##V3_BDPV12</stp>
        <stp>31385XNG8 Mtge</stp>
        <stp xml:space="preserve">MTG_PL_PSA_6M </stp>
        <stp>[Copy of 02_cpr_main.xlsx]data!R226C15</stp>
        <tr r="O226" s="2"/>
      </tp>
      <tp>
        <v>1438.6</v>
        <stp/>
        <stp>##V3_BDPV12</stp>
        <stp>31385XKK2 Mtge</stp>
        <stp xml:space="preserve">MTG_PL_PSA_3M </stp>
        <stp>[Copy of 02_cpr_main.xlsx]data!R223C14</stp>
        <tr r="N223" s="2"/>
      </tp>
      <tp>
        <v>55.1</v>
        <stp/>
        <stp>##V3_BDPV12</stp>
        <stp>31415XJE2 Mtge</stp>
        <stp xml:space="preserve">MTG_PL_PSA_3M </stp>
        <stp>[Copy of 02_cpr_main.xlsx]data!R458C14</stp>
        <tr r="N458" s="2"/>
      </tp>
      <tp>
        <v>967.4</v>
        <stp/>
        <stp>##V3_BDPV12</stp>
        <stp>31385XLV7 Mtge</stp>
        <stp xml:space="preserve">MTG_PL_PSA_3M </stp>
        <stp>[Copy of 02_cpr_main.xlsx]data!R225C14</stp>
        <tr r="N225" s="2"/>
      </tp>
      <tp>
        <v>0</v>
        <stp/>
        <stp>##V3_BDPV12</stp>
        <stp>31385XNG8 Mtge</stp>
        <stp xml:space="preserve">MTG_PL_PSA_1M </stp>
        <stp>[Copy of 02_cpr_main.xlsx]data!R226C13</stp>
        <tr r="M226" s="2"/>
      </tp>
      <tp>
        <v>42.2</v>
        <stp/>
        <stp>##V3_BDPV12</stp>
        <stp>31409XHN2 Mtge</stp>
        <stp xml:space="preserve">MTG_PL_PSA_1M </stp>
        <stp>[Copy of 02_cpr_main.xlsx]data!R356C13</stp>
        <tr r="M356" s="2"/>
      </tp>
      <tp>
        <v>3.8</v>
        <stp/>
        <stp>##V3_BDPV12</stp>
        <stp>31385XLM7 Mtge</stp>
        <stp xml:space="preserve">MTG_PL_PSA_3M </stp>
        <stp>[Copy of 02_cpr_main.xlsx]data!R224C14</stp>
        <tr r="N224" s="2"/>
      </tp>
      <tp>
        <v>1666.7</v>
        <stp/>
        <stp>##V3_BDPV12</stp>
        <stp>31404XJG0 Mtge</stp>
        <stp xml:space="preserve">MTG_PL_PSA_3M </stp>
        <stp>[Copy of 02_cpr_main.xlsx]data!R321C14</stp>
        <tr r="N321" s="2"/>
      </tp>
      <tp>
        <v>0</v>
        <stp/>
        <stp>##V3_BDPV12</stp>
        <stp>31385XLV7 Mtge</stp>
        <stp xml:space="preserve">MTG_PL_PSA_1M </stp>
        <stp>[Copy of 02_cpr_main.xlsx]data!R225C13</stp>
        <tr r="M225" s="2"/>
      </tp>
      <tp>
        <v>80.900000000000006</v>
        <stp/>
        <stp>##V3_BDPV12</stp>
        <stp>31409XHN2 Mtge</stp>
        <stp xml:space="preserve">MTG_PL_PSA_3M </stp>
        <stp>[Copy of 02_cpr_main.xlsx]data!R356C14</stp>
        <tr r="N356" s="2"/>
      </tp>
      <tp>
        <v>1138.2</v>
        <stp/>
        <stp>##V3_BDPV12</stp>
        <stp>31385XNG8 Mtge</stp>
        <stp xml:space="preserve">MTG_PL_PSA_3M </stp>
        <stp>[Copy of 02_cpr_main.xlsx]data!R226C14</stp>
        <tr r="N226" s="2"/>
      </tp>
      <tp>
        <v>1666.7</v>
        <stp/>
        <stp>##V3_BDPV12</stp>
        <stp>31404XJG0 Mtge</stp>
        <stp xml:space="preserve">MTG_PL_PSA_1M </stp>
        <stp>[Copy of 02_cpr_main.xlsx]data!R321C13</stp>
        <tr r="M321" s="2"/>
      </tp>
      <tp>
        <v>4</v>
        <stp/>
        <stp>##V3_BDPV12</stp>
        <stp>31385XLM7 Mtge</stp>
        <stp xml:space="preserve">MTG_PL_PSA_1M </stp>
        <stp>[Copy of 02_cpr_main.xlsx]data!R224C13</stp>
        <tr r="M224" s="2"/>
      </tp>
      <tp>
        <v>1294.4000000000001</v>
        <stp/>
        <stp>##V3_BDPV12</stp>
        <stp>31385XKK2 Mtge</stp>
        <stp xml:space="preserve">MTG_PL_PSA_6M </stp>
        <stp>[Copy of 02_cpr_main.xlsx]data!R223C15</stp>
        <tr r="O223" s="2"/>
      </tp>
      <tp>
        <v>51</v>
        <stp/>
        <stp>##V3_BDPV12</stp>
        <stp>31415XJE2 Mtge</stp>
        <stp xml:space="preserve">MTG_PL_PSA_6M </stp>
        <stp>[Copy of 02_cpr_main.xlsx]data!R458C15</stp>
        <tr r="O458" s="2"/>
      </tp>
      <tp>
        <v>175.3</v>
        <stp/>
        <stp>##V3_BDPV12</stp>
        <stp>31401XSY4 Mtge</stp>
        <stp xml:space="preserve">MTG_PL_PSA_6M </stp>
        <stp>[Copy of 02_cpr_main.xlsx]data!R260C15</stp>
        <tr r="O260" s="2"/>
      </tp>
      <tp>
        <v>1666.7</v>
        <stp/>
        <stp>##V3_BDPV12</stp>
        <stp>31382XQE3 Mtge</stp>
        <stp xml:space="preserve">MTG_PL_PSA_3M </stp>
        <stp>[Copy of 02_cpr_main.xlsx]data!R206C14</stp>
        <tr r="N206" s="2"/>
      </tp>
      <tp>
        <v>0.7</v>
        <stp/>
        <stp>##V3_BDPV12</stp>
        <stp>31415XSZ5 Mtge</stp>
        <stp xml:space="preserve">MTG_PL_PSA_1M </stp>
        <stp>[Copy of 02_cpr_main.xlsx]data!R459C13</stp>
        <tr r="M459" s="2"/>
      </tp>
      <tp>
        <v>0.8</v>
        <stp/>
        <stp>##V3_BDPV12</stp>
        <stp>31412XSV7 Mtge</stp>
        <stp xml:space="preserve">MTG_PL_PSA_1M </stp>
        <stp>[Copy of 02_cpr_main.xlsx]data!R414C13</stp>
        <tr r="M414" s="2"/>
      </tp>
      <tp>
        <v>0</v>
        <stp/>
        <stp>##V3_BDPV12</stp>
        <stp>31401XU96 Mtge</stp>
        <stp xml:space="preserve">MTG_PL_PSA_1M </stp>
        <stp>[Copy of 02_cpr_main.xlsx]data!R261C13</stp>
        <tr r="M261" s="2"/>
      </tp>
      <tp>
        <v>1666.7</v>
        <stp/>
        <stp>##V3_BDPV12</stp>
        <stp>31382XQE3 Mtge</stp>
        <stp xml:space="preserve">MTG_PL_PSA_1M </stp>
        <stp>[Copy of 02_cpr_main.xlsx]data!R206C13</stp>
        <tr r="M206" s="2"/>
      </tp>
      <tp>
        <v>0.6</v>
        <stp/>
        <stp>##V3_BDPV12</stp>
        <stp>31415XSZ5 Mtge</stp>
        <stp xml:space="preserve">MTG_PL_PSA_3M </stp>
        <stp>[Copy of 02_cpr_main.xlsx]data!R459C14</stp>
        <tr r="N459" s="2"/>
      </tp>
      <tp>
        <v>0.8</v>
        <stp/>
        <stp>##V3_BDPV12</stp>
        <stp>31412XSV7 Mtge</stp>
        <stp xml:space="preserve">MTG_PL_PSA_3M </stp>
        <stp>[Copy of 02_cpr_main.xlsx]data!R414C14</stp>
        <tr r="N414" s="2"/>
      </tp>
      <tp>
        <v>1613.6</v>
        <stp/>
        <stp>##V3_BDPV12</stp>
        <stp>31401XU96 Mtge</stp>
        <stp xml:space="preserve">MTG_PL_PSA_3M </stp>
        <stp>[Copy of 02_cpr_main.xlsx]data!R261C14</stp>
        <tr r="N261" s="2"/>
      </tp>
      <tp>
        <v>188.9</v>
        <stp/>
        <stp>##V3_BDPV12</stp>
        <stp>31401XSY4 Mtge</stp>
        <stp xml:space="preserve">MTG_PL_PSA_3M </stp>
        <stp>[Copy of 02_cpr_main.xlsx]data!R260C14</stp>
        <tr r="N260" s="2"/>
      </tp>
      <tp t="s">
        <v>#N/A N/A</v>
        <stp/>
        <stp>##V3_BDPV12</stp>
        <stp>31412B2P6 Mtge</stp>
        <stp>MTG_PREPAY_TYP</stp>
        <stp>[Copy of 02_cpr_main.xlsx]data!R401C11</stp>
        <tr r="K401" s="2"/>
      </tp>
      <tp>
        <v>1666.7</v>
        <stp/>
        <stp>##V3_BDPV12</stp>
        <stp>31382XQE3 Mtge</stp>
        <stp xml:space="preserve">MTG_PL_PSA_6M </stp>
        <stp>[Copy of 02_cpr_main.xlsx]data!R206C15</stp>
        <tr r="O206" s="2"/>
      </tp>
      <tp>
        <v>0.6</v>
        <stp/>
        <stp>##V3_BDPV12</stp>
        <stp>31415XSZ5 Mtge</stp>
        <stp xml:space="preserve">MTG_PL_PSA_6M </stp>
        <stp>[Copy of 02_cpr_main.xlsx]data!R459C15</stp>
        <tr r="O459" s="2"/>
      </tp>
      <tp>
        <v>0.8</v>
        <stp/>
        <stp>##V3_BDPV12</stp>
        <stp>31412XSV7 Mtge</stp>
        <stp xml:space="preserve">MTG_PL_PSA_6M </stp>
        <stp>[Copy of 02_cpr_main.xlsx]data!R414C15</stp>
        <tr r="O414" s="2"/>
      </tp>
      <tp>
        <v>1460.4</v>
        <stp/>
        <stp>##V3_BDPV12</stp>
        <stp>31401XU96 Mtge</stp>
        <stp xml:space="preserve">MTG_PL_PSA_6M </stp>
        <stp>[Copy of 02_cpr_main.xlsx]data!R261C15</stp>
        <tr r="O261" s="2"/>
      </tp>
      <tp>
        <v>202.8</v>
        <stp/>
        <stp>##V3_BDPV12</stp>
        <stp>31401XSY4 Mtge</stp>
        <stp xml:space="preserve">MTG_PL_PSA_1M </stp>
        <stp>[Copy of 02_cpr_main.xlsx]data!R260C13</stp>
        <tr r="M260" s="2"/>
      </tp>
      <tp>
        <v>0.1</v>
        <stp/>
        <stp>##V3_BDPV12</stp>
        <stp>31405XXV0 Mtge</stp>
        <stp xml:space="preserve">MTG_PL_PSA_6M </stp>
        <stp>[Copy of 02_cpr_main.xlsx]data!R330C15</stp>
        <tr r="O330" s="2"/>
      </tp>
      <tp>
        <v>0</v>
        <stp/>
        <stp>##V3_BDPV12</stp>
        <stp>31405XXV0 Mtge</stp>
        <stp xml:space="preserve">MTG_PL_PSA_1M </stp>
        <stp>[Copy of 02_cpr_main.xlsx]data!R330C13</stp>
        <tr r="M330" s="2"/>
      </tp>
      <tp>
        <v>0</v>
        <stp/>
        <stp>##V3_BDPV12</stp>
        <stp>31405XXV0 Mtge</stp>
        <stp xml:space="preserve">MTG_PL_PSA_3M </stp>
        <stp>[Copy of 02_cpr_main.xlsx]data!R330C14</stp>
        <tr r="N330" s="2"/>
      </tp>
      <tp t="s">
        <v>#N/A N/A</v>
        <stp/>
        <stp>##V3_BDPV12</stp>
        <stp>31413BEW7 Mtge</stp>
        <stp>MTG_PREPAY_TYP</stp>
        <stp>[Copy of 02_cpr_main.xlsx]data!R417C11</stp>
        <tr r="K417" s="2"/>
      </tp>
    </main>
    <main first="bloomberg.rtd">
      <tp t="s">
        <v>PSA</v>
        <stp/>
        <stp>##V3_BDPV12</stp>
        <stp>36200EDN8 Mtge</stp>
        <stp>MTG_PREPAY_TYP</stp>
        <stp>[Copy of 02_cpr_main.xlsx]data!R463C11</stp>
        <tr r="K463" s="2"/>
      </tp>
    </main>
    <main first="bloomberg.rtd">
      <tp t="s">
        <v>PSA</v>
        <stp/>
        <stp>##V3_BDPV12</stp>
        <stp>31415BBF5 Mtge</stp>
        <stp>MTG_PREPAY_TYP</stp>
        <stp>[Copy of 02_cpr_main.xlsx]data!R447C11</stp>
        <tr r="K447" s="2"/>
      </tp>
    </main>
    <main first="bloomberg.rtd">
      <tp t="s">
        <v>PSA</v>
        <stp/>
        <stp>##V3_BDPV12</stp>
        <stp>31415BNG0 Mtge</stp>
        <stp>MTG_PREPAY_TYP</stp>
        <stp>[Copy of 02_cpr_main.xlsx]data!R448C11</stp>
        <tr r="K448" s="2"/>
      </tp>
    </main>
    <main first="bloomberg.rtd">
      <tp>
        <v>83.3</v>
        <stp/>
        <stp>##V3_BDPV12</stp>
        <stp>31407X2Q3 Mtge</stp>
        <stp xml:space="preserve">MTG_PL_PSA_6M </stp>
        <stp>[Copy of 02_cpr_main.xlsx]data!R348C15</stp>
        <tr r="O348" s="2"/>
      </tp>
      <tp t="s">
        <v>CPR</v>
        <stp/>
        <stp>##V3_BDPV12</stp>
        <stp>31412BWG3 Mtge</stp>
        <stp>MTG_PREPAY_TYP</stp>
        <stp>[Copy of 02_cpr_main.xlsx]data!R403C11</stp>
        <tr r="K403" s="2"/>
      </tp>
      <tp>
        <v>1666.7</v>
        <stp/>
        <stp>##V3_BDPV12</stp>
        <stp>31411X6Z3 Mtge</stp>
        <stp xml:space="preserve">MTG_PL_PSA_3M </stp>
        <stp>[Copy of 02_cpr_main.xlsx]data!R398C14</stp>
        <tr r="N398" s="2"/>
      </tp>
      <tp t="s">
        <v>#N/A N/A</v>
        <stp/>
        <stp>##V3_BDPV12</stp>
        <stp>31416BVN5 Mtge</stp>
        <stp>MTG_PREPAY_TYP</stp>
        <stp>[Copy of 02_cpr_main.xlsx]data!R460C11</stp>
        <tr r="K460" s="2"/>
      </tp>
      <tp>
        <v>1666.7</v>
        <stp/>
        <stp>##V3_BDPV12</stp>
        <stp>31411X6Z3 Mtge</stp>
        <stp xml:space="preserve">MTG_PL_PSA_1M </stp>
        <stp>[Copy of 02_cpr_main.xlsx]data!R398C13</stp>
        <tr r="M398" s="2"/>
      </tp>
      <tp>
        <v>1666.7</v>
        <stp/>
        <stp>##V3_BDPV12</stp>
        <stp>31411X6Z3 Mtge</stp>
        <stp xml:space="preserve">MTG_PL_PSA_6M </stp>
        <stp>[Copy of 02_cpr_main.xlsx]data!R398C15</stp>
        <tr r="O398" s="2"/>
      </tp>
      <tp>
        <v>82</v>
        <stp/>
        <stp>##V3_BDPV12</stp>
        <stp>31407X2Q3 Mtge</stp>
        <stp xml:space="preserve">MTG_PL_PSA_3M </stp>
        <stp>[Copy of 02_cpr_main.xlsx]data!R348C14</stp>
        <tr r="N348" s="2"/>
      </tp>
      <tp t="s">
        <v>#N/A N/A</v>
        <stp/>
        <stp>##V3_BDPV12</stp>
        <stp>36213EWY8 Mtge</stp>
        <stp>MTG_PREPAY_TYP</stp>
        <stp>[Copy of 02_cpr_main.xlsx]data!R487C11</stp>
        <tr r="K487" s="2"/>
      </tp>
      <tp t="s">
        <v>CPR</v>
        <stp/>
        <stp>##V3_BDPV12</stp>
        <stp>31412BPZ9 Mtge</stp>
        <stp>MTG_PREPAY_TYP</stp>
        <stp>[Copy of 02_cpr_main.xlsx]data!R402C11</stp>
        <tr r="K402" s="2"/>
      </tp>
      <tp>
        <v>82.7</v>
        <stp/>
        <stp>##V3_BDPV12</stp>
        <stp>31407X2Q3 Mtge</stp>
        <stp xml:space="preserve">MTG_PL_PSA_1M </stp>
        <stp>[Copy of 02_cpr_main.xlsx]data!R348C13</stp>
        <tr r="M348" s="2"/>
      </tp>
      <tp t="s">
        <v>PSA</v>
        <stp/>
        <stp>##V3_BDPV12</stp>
        <stp>31406BYJ3 Mtge</stp>
        <stp>MTG_PREPAY_TYP</stp>
        <stp>[Copy of 02_cpr_main.xlsx]data!R333C11</stp>
        <tr r="K333" s="2"/>
      </tp>
      <tp t="s">
        <v>PSA</v>
        <stp/>
        <stp>##V3_BDPV12</stp>
        <stp>36209EX56 Mtge</stp>
        <stp>MTG_PREPAY_TYP</stp>
        <stp>[Copy of 02_cpr_main.xlsx]data!R481C11</stp>
        <tr r="K481" s="2"/>
      </tp>
      <tp t="s">
        <v>#N/A N/A</v>
        <stp/>
        <stp>##V3_BDPV12</stp>
        <stp>31416BZ68 Mtge</stp>
        <stp>MTG_PREPAY_TYP</stp>
        <stp>[Copy of 02_cpr_main.xlsx]data!R461C11</stp>
        <tr r="K461" s="2"/>
      </tp>
      <tp t="s">
        <v>#N/A Invalid Field</v>
        <stp/>
        <stp>##V3_BDHV12</stp>
        <stp>31405H4U9 Mtge</stp>
        <stp>MTG_GEN_CPR_12M</stp>
        <stp>20090610</stp>
        <stp>20090610</stp>
        <stp>[Copy of 02_cpr_main.xlsx]data!R325C10</stp>
        <stp>Dts=H</stp>
        <tr r="J325" s="2"/>
      </tp>
      <tp t="s">
        <v>#N/A Invalid Field</v>
        <stp/>
        <stp>##V3_BDHV12</stp>
        <stp>31403F6S8 Mtge</stp>
        <stp>MTG_GEN_CPR_12M</stp>
        <stp>20090610</stp>
        <stp>20090610</stp>
        <stp>[Copy of 02_cpr_main.xlsx]data!R306C10</stp>
        <stp>Dts=H</stp>
        <tr r="J306" s="2"/>
      </tp>
      <tp t="s">
        <v>#N/A Invalid Field</v>
        <stp/>
        <stp>##V3_BDHV12</stp>
        <stp>31410C3Q3 Mtge</stp>
        <stp>MTG_GEN_CPR_12M</stp>
        <stp>20090610</stp>
        <stp>20090610</stp>
        <stp>[Copy of 02_cpr_main.xlsx]data!R357C10</stp>
        <stp>Dts=H</stp>
        <tr r="J357" s="2"/>
      </tp>
      <tp t="s">
        <v>#N/A Invalid Field</v>
        <stp/>
        <stp>##V3_BDHV12</stp>
        <stp>31407X2Q3 Mtge</stp>
        <stp>MTG_GEN_CPR_12M</stp>
        <stp>20090610</stp>
        <stp>20090610</stp>
        <stp>[Copy of 02_cpr_main.xlsx]data!R348C10</stp>
        <stp>Dts=H</stp>
        <tr r="J348" s="2"/>
      </tp>
      <tp t="s">
        <v>#N/A Invalid Field</v>
        <stp/>
        <stp>##V3_BDHV12</stp>
        <stp>36200R6U1 Mtge</stp>
        <stp>MTG_GEN_CPR_12M</stp>
        <stp>20090610</stp>
        <stp>20090610</stp>
        <stp>[Copy of 02_cpr_main.xlsx]data!R469C10</stp>
        <stp>Dts=H</stp>
        <tr r="J469" s="2"/>
      </tp>
      <tp t="s">
        <v>#N/A Invalid Field</v>
        <stp/>
        <stp>##V3_BDHV12</stp>
        <stp>36200M6G3 Mtge</stp>
        <stp>MTG_GEN_CPR_12M</stp>
        <stp>20090610</stp>
        <stp>20090610</stp>
        <stp>[Copy of 02_cpr_main.xlsx]data!R465C10</stp>
        <stp>Dts=H</stp>
        <tr r="J465" s="2"/>
      </tp>
      <tp t="s">
        <v>#N/A Invalid Field</v>
        <stp/>
        <stp>##V3_BDHV12</stp>
        <stp>31401A3J4 Mtge</stp>
        <stp>MTG_GEN_CPR_12M</stp>
        <stp>20090610</stp>
        <stp>20090610</stp>
        <stp>[Copy of 02_cpr_main.xlsx]data!R252C10</stp>
        <stp>Dts=H</stp>
        <tr r="J252" s="2"/>
      </tp>
      <tp t="s">
        <v>#N/A Invalid Field</v>
        <stp/>
        <stp>##V3_BDHV12</stp>
        <stp>31335H4K6 Mtge</stp>
        <stp>MTG_GEN_CPR_12M</stp>
        <stp>20090610</stp>
        <stp>20090610</stp>
        <stp>[Copy of 02_cpr_main.xlsx]data!R154C10</stp>
        <stp>Dts=H</stp>
        <tr r="J154" s="2"/>
      </tp>
      <tp>
        <v>991.8</v>
        <stp/>
        <stp>##V3_BDPV12</stp>
        <stp>31406YB58 Mtge</stp>
        <stp xml:space="preserve">MTG_PL_PSA_6M </stp>
        <stp>[Copy of 02_cpr_main.xlsx]data!R341C15</stp>
        <tr r="O341" s="2"/>
      </tp>
      <tp>
        <v>198.9</v>
        <stp/>
        <stp>##V3_BDPV12</stp>
        <stp>31417YAY3 Mtge</stp>
        <stp xml:space="preserve">MTG_PL_PSA_3M </stp>
        <stp>[Copy of 02_cpr_main.xlsx]data!R462C14</stp>
        <tr r="N462" s="2"/>
      </tp>
      <tp>
        <v>1666.7</v>
        <stp/>
        <stp>##V3_BDPV12</stp>
        <stp>31411YDS9 Mtge</stp>
        <stp xml:space="preserve">MTG_PL_PSA_1M </stp>
        <stp>[Copy of 02_cpr_main.xlsx]data!R399C13</stp>
        <tr r="M399" s="2"/>
      </tp>
      <tp>
        <v>0.1</v>
        <stp/>
        <stp>##V3_BDPV12</stp>
        <stp>31404YDK5 Mtge</stp>
        <stp xml:space="preserve">MTG_PL_PSA_1M </stp>
        <stp>[Copy of 02_cpr_main.xlsx]data!R322C13</stp>
        <tr r="M322" s="2"/>
      </tp>
      <tp>
        <v>0.4</v>
        <stp/>
        <stp>##V3_BDPV12</stp>
        <stp>31411YGA5 Mtge</stp>
        <stp xml:space="preserve">MTG_PL_PSA_6M </stp>
        <stp>[Copy of 02_cpr_main.xlsx]data!R400C15</stp>
        <tr r="O400" s="2"/>
      </tp>
      <tp>
        <v>1666.7</v>
        <stp/>
        <stp>##V3_BDPV12</stp>
        <stp>31411YDS9 Mtge</stp>
        <stp xml:space="preserve">MTG_PL_PSA_3M </stp>
        <stp>[Copy of 02_cpr_main.xlsx]data!R399C14</stp>
        <tr r="N399" s="2"/>
      </tp>
      <tp>
        <v>154.9</v>
        <stp/>
        <stp>##V3_BDPV12</stp>
        <stp>31417YAY3 Mtge</stp>
        <stp xml:space="preserve">MTG_PL_PSA_1M </stp>
        <stp>[Copy of 02_cpr_main.xlsx]data!R462C13</stp>
        <tr r="M462" s="2"/>
      </tp>
      <tp>
        <v>-518.20000000000005</v>
        <stp/>
        <stp>##V3_BDPV12</stp>
        <stp>31412YFJ6 Mtge</stp>
        <stp xml:space="preserve">MTG_PL_PSA_6M </stp>
        <stp>[Copy of 02_cpr_main.xlsx]data!R415C15</stp>
        <tr r="O415" s="2"/>
      </tp>
      <tp>
        <v>0</v>
        <stp/>
        <stp>##V3_BDPV12</stp>
        <stp>31404YDK5 Mtge</stp>
        <stp xml:space="preserve">MTG_PL_PSA_3M </stp>
        <stp>[Copy of 02_cpr_main.xlsx]data!R322C14</stp>
        <tr r="N322" s="2"/>
      </tp>
      <tp>
        <v>186.6</v>
        <stp/>
        <stp>##V3_BDPV12</stp>
        <stp>31417YAY3 Mtge</stp>
        <stp xml:space="preserve">MTG_PL_PSA_6M </stp>
        <stp>[Copy of 02_cpr_main.xlsx]data!R462C15</stp>
        <tr r="O462" s="2"/>
      </tp>
      <tp>
        <v>0</v>
        <stp/>
        <stp>##V3_BDPV12</stp>
        <stp>31412YFJ6 Mtge</stp>
        <stp xml:space="preserve">MTG_PL_PSA_1M </stp>
        <stp>[Copy of 02_cpr_main.xlsx]data!R415C13</stp>
        <tr r="M415" s="2"/>
      </tp>
      <tp>
        <v>0.4</v>
        <stp/>
        <stp>##V3_BDPV12</stp>
        <stp>31411YGA5 Mtge</stp>
        <stp xml:space="preserve">MTG_PL_PSA_1M </stp>
        <stp>[Copy of 02_cpr_main.xlsx]data!R400C13</stp>
        <tr r="M400" s="2"/>
      </tp>
      <tp>
        <v>26.7</v>
        <stp/>
        <stp>##V3_BDPV12</stp>
        <stp>31406YB58 Mtge</stp>
        <stp xml:space="preserve">MTG_PL_PSA_3M </stp>
        <stp>[Copy of 02_cpr_main.xlsx]data!R341C14</stp>
        <tr r="N341" s="2"/>
      </tp>
      <tp>
        <v>1666.7</v>
        <stp/>
        <stp>##V3_BDPV12</stp>
        <stp>31411YDS9 Mtge</stp>
        <stp xml:space="preserve">MTG_PL_PSA_6M </stp>
        <stp>[Copy of 02_cpr_main.xlsx]data!R399C15</stp>
        <tr r="O399" s="2"/>
      </tp>
      <tp>
        <v>-651.20000000000005</v>
        <stp/>
        <stp>##V3_BDPV12</stp>
        <stp>31412YFJ6 Mtge</stp>
        <stp xml:space="preserve">MTG_PL_PSA_3M </stp>
        <stp>[Copy of 02_cpr_main.xlsx]data!R415C14</stp>
        <tr r="N415" s="2"/>
      </tp>
      <tp>
        <v>0</v>
        <stp/>
        <stp>##V3_BDPV12</stp>
        <stp>31404YDK5 Mtge</stp>
        <stp xml:space="preserve">MTG_PL_PSA_6M </stp>
        <stp>[Copy of 02_cpr_main.xlsx]data!R322C15</stp>
        <tr r="O322" s="2"/>
      </tp>
      <tp>
        <v>0.4</v>
        <stp/>
        <stp>##V3_BDPV12</stp>
        <stp>31411YGA5 Mtge</stp>
        <stp xml:space="preserve">MTG_PL_PSA_3M </stp>
        <stp>[Copy of 02_cpr_main.xlsx]data!R400C14</stp>
        <tr r="N400" s="2"/>
      </tp>
      <tp>
        <v>23.6</v>
        <stp/>
        <stp>##V3_BDPV12</stp>
        <stp>31406YB58 Mtge</stp>
        <stp xml:space="preserve">MTG_PL_PSA_1M </stp>
        <stp>[Copy of 02_cpr_main.xlsx]data!R341C13</stp>
        <tr r="M341" s="2"/>
      </tp>
      <tp>
        <v>0</v>
        <stp/>
        <stp>##V3_BDPV12</stp>
        <stp>31382YJK5 Mtge</stp>
        <stp xml:space="preserve">MTG_PL_PSA_1M </stp>
        <stp>[Copy of 02_cpr_main.xlsx]data!R207C13</stp>
        <tr r="M207" s="2"/>
      </tp>
      <tp>
        <v>-16.2</v>
        <stp/>
        <stp>##V3_BDPV12</stp>
        <stp>31382YJK5 Mtge</stp>
        <stp xml:space="preserve">MTG_PL_PSA_3M </stp>
        <stp>[Copy of 02_cpr_main.xlsx]data!R207C14</stp>
        <tr r="N207" s="2"/>
      </tp>
      <tp>
        <v>-136.9</v>
        <stp/>
        <stp>##V3_BDPV12</stp>
        <stp>31382YJK5 Mtge</stp>
        <stp xml:space="preserve">MTG_PL_PSA_6M </stp>
        <stp>[Copy of 02_cpr_main.xlsx]data!R207C15</stp>
        <tr r="O207" s="2"/>
      </tp>
      <tp>
        <v>1142.2</v>
        <stp/>
        <stp>##V3_BDPV12</stp>
        <stp>31391YTH0 Mtge</stp>
        <stp xml:space="preserve">MTG_PL_PSA_6M </stp>
        <stp>[Copy of 02_cpr_main.xlsx]data!R243C15</stp>
        <tr r="O243" s="2"/>
      </tp>
      <tp t="s">
        <v>PSA</v>
        <stp/>
        <stp>##V3_BDPV12</stp>
        <stp>31410C3Q3 Mtge</stp>
        <stp>MTG_PREPAY_TYP</stp>
        <stp>[Copy of 02_cpr_main.xlsx]data!R357C11</stp>
        <tr r="K357" s="2"/>
      </tp>
      <tp>
        <v>1309.4000000000001</v>
        <stp/>
        <stp>##V3_BDPV12</stp>
        <stp>31391YTH0 Mtge</stp>
        <stp xml:space="preserve">MTG_PL_PSA_3M </stp>
        <stp>[Copy of 02_cpr_main.xlsx]data!R243C14</stp>
        <tr r="N243" s="2"/>
      </tp>
      <tp t="s">
        <v>PSA</v>
        <stp/>
        <stp>##V3_BDPV12</stp>
        <stp>31410C6S6 Mtge</stp>
        <stp>MTG_PREPAY_TYP</stp>
        <stp>[Copy of 02_cpr_main.xlsx]data!R358C11</stp>
        <tr r="K358" s="2"/>
      </tp>
      <tp>
        <v>0</v>
        <stp/>
        <stp>##V3_BDPV12</stp>
        <stp>31391YTH0 Mtge</stp>
        <stp xml:space="preserve">MTG_PL_PSA_1M </stp>
        <stp>[Copy of 02_cpr_main.xlsx]data!R243C13</stp>
        <tr r="M243" s="2"/>
      </tp>
      <tp>
        <v>1.5</v>
        <stp/>
        <stp>##V3_BDPV12</stp>
        <stp>31405YXX4 Mtge</stp>
        <stp xml:space="preserve">MTG_PL_PSA_6M </stp>
        <stp>[Copy of 02_cpr_main.xlsx]data!R332C15</stp>
        <tr r="O332" s="2"/>
      </tp>
      <tp>
        <v>59.1</v>
        <stp/>
        <stp>##V3_BDPV12</stp>
        <stp>31405YX48 Mtge</stp>
        <stp xml:space="preserve">MTG_PL_PSA_6M </stp>
        <stp>[Copy of 02_cpr_main.xlsx]data!R331C15</stp>
        <tr r="O331" s="2"/>
      </tp>
      <tp>
        <v>1.7</v>
        <stp/>
        <stp>##V3_BDPV12</stp>
        <stp>31405YXX4 Mtge</stp>
        <stp xml:space="preserve">MTG_PL_PSA_1M </stp>
        <stp>[Copy of 02_cpr_main.xlsx]data!R332C13</stp>
        <tr r="M332" s="2"/>
      </tp>
      <tp>
        <v>16.600000000000001</v>
        <stp/>
        <stp>##V3_BDPV12</stp>
        <stp>31405YX48 Mtge</stp>
        <stp xml:space="preserve">MTG_PL_PSA_1M </stp>
        <stp>[Copy of 02_cpr_main.xlsx]data!R331C13</stp>
        <tr r="M331" s="2"/>
      </tp>
      <tp>
        <v>1.6</v>
        <stp/>
        <stp>##V3_BDPV12</stp>
        <stp>31405YXX4 Mtge</stp>
        <stp xml:space="preserve">MTG_PL_PSA_3M </stp>
        <stp>[Copy of 02_cpr_main.xlsx]data!R332C14</stp>
        <tr r="N332" s="2"/>
      </tp>
      <tp>
        <v>46.8</v>
        <stp/>
        <stp>##V3_BDPV12</stp>
        <stp>31405YX48 Mtge</stp>
        <stp xml:space="preserve">MTG_PL_PSA_3M </stp>
        <stp>[Copy of 02_cpr_main.xlsx]data!R331C14</stp>
        <tr r="N331" s="2"/>
      </tp>
    </main>
    <main first="bloomberg.rtd">
      <tp t="s">
        <v>#N/A N/A</v>
        <stp/>
        <stp>##V3_BDPV12</stp>
        <stp>31413CCD9 Mtge</stp>
        <stp>MTG_PREPAY_TYP</stp>
        <stp>[Copy of 02_cpr_main.xlsx]data!R418C11</stp>
        <tr r="K418" s="2"/>
      </tp>
    </main>
    <main first="bloomberg.rtd">
      <tp t="s">
        <v>PSA</v>
        <stp/>
        <stp>##V3_BDPV12</stp>
        <stp>36211DPQ7 Mtge</stp>
        <stp>MTG_PREPAY_TYP</stp>
        <stp>[Copy of 02_cpr_main.xlsx]data!R486C11</stp>
        <tr r="K486" s="2"/>
      </tp>
      <tp>
        <v>22.8</v>
        <stp/>
        <stp>##V3_BDPV12</stp>
        <stp>31386Y5M2 Mtge</stp>
        <stp xml:space="preserve">MTG_PL_PSA_6M </stp>
        <stp>[Copy of 02_cpr_main.xlsx]data!R227C15</stp>
        <tr r="O227" s="2"/>
      </tp>
      <tp t="s">
        <v>#N/A N/A</v>
        <stp/>
        <stp>##V3_BDPV12</stp>
        <stp>31405CQ85 Mtge</stp>
        <stp>MTG_PREPAY_TYP</stp>
        <stp>[Copy of 02_cpr_main.xlsx]data!R324C11</stp>
        <tr r="K324" s="2"/>
      </tp>
      <tp t="s">
        <v>PSA</v>
        <stp/>
        <stp>##V3_BDPV12</stp>
        <stp>31414CV88 Mtge</stp>
        <stp>MTG_PREPAY_TYP</stp>
        <stp>[Copy of 02_cpr_main.xlsx]data!R435C11</stp>
        <tr r="K435" s="2"/>
      </tp>
      <tp>
        <v>24.9</v>
        <stp/>
        <stp>##V3_BDPV12</stp>
        <stp>31386Y5M2 Mtge</stp>
        <stp xml:space="preserve">MTG_PL_PSA_3M </stp>
        <stp>[Copy of 02_cpr_main.xlsx]data!R227C14</stp>
        <tr r="N227" s="2"/>
      </tp>
      <tp>
        <v>26.6</v>
        <stp/>
        <stp>##V3_BDPV12</stp>
        <stp>31386Y5M2 Mtge</stp>
        <stp xml:space="preserve">MTG_PL_PSA_1M </stp>
        <stp>[Copy of 02_cpr_main.xlsx]data!R227C13</stp>
        <tr r="M227" s="2"/>
      </tp>
      <tp t="s">
        <v>PSA</v>
        <stp/>
        <stp>##V3_BDPV12</stp>
        <stp>31414CZ84 Mtge</stp>
        <stp>MTG_PREPAY_TYP</stp>
        <stp>[Copy of 02_cpr_main.xlsx]data!R436C11</stp>
        <tr r="K436" s="2"/>
      </tp>
      <tp t="s">
        <v>#N/A Invalid Field</v>
        <stp/>
        <stp>##V3_BDHV12</stp>
        <stp>31413N5R2 Mtge</stp>
        <stp>MTG_GEN_CPR_12M</stp>
        <stp>20090610</stp>
        <stp>20090610</stp>
        <stp>[Copy of 02_cpr_main.xlsx]data!R428C10</stp>
        <stp>Dts=H</stp>
        <tr r="J428" s="2"/>
      </tp>
      <tp t="s">
        <v>#N/A Invalid Field</v>
        <stp/>
        <stp>##V3_BDHV12</stp>
        <stp>31409D2C6 Mtge</stp>
        <stp>MTG_GEN_CPR_12M</stp>
        <stp>20090610</stp>
        <stp>20090610</stp>
        <stp>[Copy of 02_cpr_main.xlsx]data!R352C10</stp>
        <stp>Dts=H</stp>
        <tr r="J352" s="2"/>
      </tp>
      <tp t="s">
        <v>#N/A Invalid Field</v>
        <stp/>
        <stp>##V3_BDHV12</stp>
        <stp>31294J3N6 Mtge</stp>
        <stp>MTG_GEN_CPR_12M</stp>
        <stp>20090610</stp>
        <stp>20090610</stp>
        <stp>[Copy of 02_cpr_main.xlsx]data!R126C10</stp>
        <stp>Dts=H</stp>
        <tr r="J126" s="2"/>
      </tp>
      <tp t="s">
        <v>#N/A Invalid Field</v>
        <stp/>
        <stp>##V3_BDHV12</stp>
        <stp>31413K5A5 Mtge</stp>
        <stp>MTG_GEN_CPR_12M</stp>
        <stp>20090610</stp>
        <stp>20090610</stp>
        <stp>[Copy of 02_cpr_main.xlsx]data!R423C10</stp>
        <stp>Dts=H</stp>
        <tr r="J423" s="2"/>
      </tp>
      <tp t="s">
        <v>#N/A Invalid Field</v>
        <stp/>
        <stp>##V3_BDHV12</stp>
        <stp>3133XD5F4 Mtge</stp>
        <stp>MTG_GEN_CPR_12M</stp>
        <stp>20090610</stp>
        <stp>20090610</stp>
        <stp>[Copy of 02_cpr_main.xlsx]data!R156C10</stp>
        <stp>Dts=H</stp>
        <tr r="J156" s="2"/>
      </tp>
      <tp t="s">
        <v>#N/A Invalid Field</v>
        <stp/>
        <stp>##V3_BDHV12</stp>
        <stp>31371K6K2 Mtge</stp>
        <stp>MTG_GEN_CPR_12M</stp>
        <stp>20090610</stp>
        <stp>20090610</stp>
        <stp>[Copy of 02_cpr_main.xlsx]data!R169C10</stp>
        <stp>Dts=H</stp>
        <tr r="J169" s="2"/>
      </tp>
      <tp t="s">
        <v>#N/A Invalid Field</v>
        <stp/>
        <stp>##V3_BDHV12</stp>
        <stp>31415A3C3 Mtge</stp>
        <stp>MTG_GEN_CPR_12M</stp>
        <stp>20090610</stp>
        <stp>20090610</stp>
        <stp>[Copy of 02_cpr_main.xlsx]data!R446C10</stp>
        <stp>Dts=H</stp>
        <tr r="J446" s="2"/>
      </tp>
      <tp>
        <v>202.3</v>
        <stp/>
        <stp>##V3_BDPV12</stp>
        <stp>36201YC95 Mtge</stp>
        <stp xml:space="preserve">MTG_PL_PSA_6M </stp>
        <stp>[Copy of 02_cpr_main.xlsx]data!R474C15</stp>
        <tr r="O474" s="2"/>
      </tp>
      <tp>
        <v>-10.9</v>
        <stp/>
        <stp>##V3_BDPV12</stp>
        <stp>36208YF46 Mtge</stp>
        <stp xml:space="preserve">MTG_PL_PSA_3M </stp>
        <stp>[Copy of 02_cpr_main.xlsx]data!R480C14</stp>
        <tr r="N480" s="2"/>
      </tp>
      <tp>
        <v>-12.1</v>
        <stp/>
        <stp>##V3_BDPV12</stp>
        <stp>36208YF46 Mtge</stp>
        <stp xml:space="preserve">MTG_PL_PSA_1M </stp>
        <stp>[Copy of 02_cpr_main.xlsx]data!R480C13</stp>
        <tr r="M480" s="2"/>
      </tp>
      <tp>
        <v>312.60000000000002</v>
        <stp/>
        <stp>##V3_BDPV12</stp>
        <stp>36201YC95 Mtge</stp>
        <stp xml:space="preserve">MTG_PL_PSA_3M </stp>
        <stp>[Copy of 02_cpr_main.xlsx]data!R474C14</stp>
        <tr r="N474" s="2"/>
      </tp>
      <tp>
        <v>1192.7</v>
        <stp/>
        <stp>##V3_BDPV12</stp>
        <stp>36208YF46 Mtge</stp>
        <stp xml:space="preserve">MTG_PL_PSA_6M </stp>
        <stp>[Copy of 02_cpr_main.xlsx]data!R480C15</stp>
        <tr r="O480" s="2"/>
      </tp>
      <tp>
        <v>511.8</v>
        <stp/>
        <stp>##V3_BDPV12</stp>
        <stp>36201YC95 Mtge</stp>
        <stp xml:space="preserve">MTG_PL_PSA_1M </stp>
        <stp>[Copy of 02_cpr_main.xlsx]data!R474C13</stp>
        <tr r="M474" s="2"/>
      </tp>
      <tp t="s">
        <v>#N/A N/A</v>
        <stp/>
        <stp>##V3_BDPV12</stp>
        <stp>31409D2C6 Mtge</stp>
        <stp>MTG_PREPAY_TYP</stp>
        <stp>[Copy of 02_cpr_main.xlsx]data!R352C11</stp>
        <tr r="K352" s="2"/>
      </tp>
      <tp t="s">
        <v>#N/A N/A</v>
        <stp/>
        <stp>##V3_BDPV12</stp>
        <stp>3128H4XA2 Mtge</stp>
        <stp>MTG_PREPAY_SPEED</stp>
        <stp>[Copy of 02_cpr_main.xlsx]data!R66C12</stp>
        <tr r="L66" s="2"/>
      </tp>
      <tp t="s">
        <v>PSA</v>
        <stp/>
        <stp>##V3_BDPV12</stp>
        <stp>31413DGE1 Mtge</stp>
        <stp>MTG_PREPAY_TYP</stp>
        <stp>[Copy of 02_cpr_main.xlsx]data!R419C11</stp>
        <tr r="K419" s="2"/>
      </tp>
    </main>
    <main first="bloomberg.rtd">
      <tp t="s">
        <v>#N/A N/A</v>
        <stp/>
        <stp>##V3_BDPV12</stp>
        <stp>3128GWX78 Mtge</stp>
        <stp>MTG_PREPAY_SPEED</stp>
        <stp>[Copy of 02_cpr_main.xlsx]data!R64C12</stp>
        <tr r="L64" s="2"/>
      </tp>
      <tp t="s">
        <v>#N/A N/A</v>
        <stp/>
        <stp>##V3_BDPV12</stp>
        <stp>3128GDX47 Mtge</stp>
        <stp>MTG_PREPAY_SPEED</stp>
        <stp>[Copy of 02_cpr_main.xlsx]data!R49C12</stp>
        <tr r="L49" s="2"/>
      </tp>
    </main>
    <main first="bloomberg.rtd">
      <tp t="s">
        <v>CPR</v>
        <stp/>
        <stp>##V3_BDPV12</stp>
        <stp>31406DJX5 Mtge</stp>
        <stp>MTG_PREPAY_TYP</stp>
        <stp>[Copy of 02_cpr_main.xlsx]data!R335C11</stp>
        <tr r="K335" s="2"/>
      </tp>
      <tp t="s">
        <v>CPR</v>
        <stp/>
        <stp>##V3_BDPV12</stp>
        <stp>31406DJV9 Mtge</stp>
        <stp>MTG_PREPAY_TYP</stp>
        <stp>[Copy of 02_cpr_main.xlsx]data!R334C11</stp>
        <tr r="K334" s="2"/>
      </tp>
    </main>
    <main first="bloomberg.rtd">
      <tp t="s">
        <v>PSA</v>
        <stp/>
        <stp>##V3_BDPV12</stp>
        <stp>31410DVM9 Mtge</stp>
        <stp>MTG_PREPAY_TYP</stp>
        <stp>[Copy of 02_cpr_main.xlsx]data!R359C11</stp>
        <tr r="K359" s="2"/>
      </tp>
      <tp t="s">
        <v>#N/A N/A</v>
        <stp/>
        <stp>##V3_BDPV12</stp>
        <stp>31410DXZ8 Mtge</stp>
        <stp>MTG_PREPAY_TYP</stp>
        <stp>[Copy of 02_cpr_main.xlsx]data!R360C11</stp>
        <tr r="K360" s="2"/>
      </tp>
      <tp t="s">
        <v>PSA</v>
        <stp/>
        <stp>##V3_BDPV12</stp>
        <stp>31412DYV4 Mtge</stp>
        <stp>MTG_PREPAY_TYP</stp>
        <stp>[Copy of 02_cpr_main.xlsx]data!R404C11</stp>
        <tr r="K404" s="2"/>
      </tp>
      <tp t="s">
        <v>#N/A Invalid Field</v>
        <stp/>
        <stp>##V3_BDHV12</stp>
        <stp>31385W6V6 Mtge</stp>
        <stp>MTG_GEN_CPR_12M</stp>
        <stp>20090610</stp>
        <stp>20090610</stp>
        <stp>[Copy of 02_cpr_main.xlsx]data!R216C10</stp>
        <stp>Dts=H</stp>
        <tr r="J216" s="2"/>
      </tp>
      <tp t="s">
        <v>#N/A Invalid Field</v>
        <stp/>
        <stp>##V3_BDHV12</stp>
        <stp>31406H3D7 Mtge</stp>
        <stp>MTG_GEN_CPR_12M</stp>
        <stp>20090610</stp>
        <stp>20090610</stp>
        <stp>[Copy of 02_cpr_main.xlsx]data!R337C10</stp>
        <stp>Dts=H</stp>
        <tr r="J337" s="2"/>
      </tp>
      <tp t="s">
        <v>#N/A Invalid Field</v>
        <stp/>
        <stp>##V3_BDHV12</stp>
        <stp>31386Y5M2 Mtge</stp>
        <stp>MTG_GEN_CPR_12M</stp>
        <stp>20090610</stp>
        <stp>20090610</stp>
        <stp>[Copy of 02_cpr_main.xlsx]data!R227C10</stp>
        <stp>Dts=H</stp>
        <tr r="J227" s="2"/>
      </tp>
      <tp t="s">
        <v>#N/A Invalid Field</v>
        <stp/>
        <stp>##V3_BDHV12</stp>
        <stp>31410G6A6 Mtge</stp>
        <stp>MTG_GEN_CPR_12M</stp>
        <stp>20090610</stp>
        <stp>20090610</stp>
        <stp>[Copy of 02_cpr_main.xlsx]data!R364C10</stp>
        <stp>Dts=H</stp>
        <tr r="J364" s="2"/>
      </tp>
      <tp t="s">
        <v>#N/A Invalid Field</v>
        <stp/>
        <stp>##V3_BDHV12</stp>
        <stp>3128QT7C2 Mtge</stp>
        <stp>MTG_GEN_CPR_12M</stp>
        <stp>20090610</stp>
        <stp>20090610</stp>
        <stp>[Copy of 02_cpr_main.xlsx]data!R112C10</stp>
        <stp>Dts=H</stp>
        <tr r="J112" s="2"/>
      </tp>
      <tp t="s">
        <v>#N/A Invalid Field</v>
        <stp/>
        <stp>##V3_BDHV12</stp>
        <stp>31410F6J9 Mtge</stp>
        <stp>MTG_GEN_CPR_12M</stp>
        <stp>20090610</stp>
        <stp>20090610</stp>
        <stp>[Copy of 02_cpr_main.xlsx]data!R363C10</stp>
        <stp>Dts=H</stp>
        <tr r="J363" s="2"/>
      </tp>
      <tp t="s">
        <v>PSA</v>
        <stp/>
        <stp>##V3_BDPV12</stp>
        <stp>36225BAP3 Mtge</stp>
        <stp>MTG_PREPAY_TYP</stp>
        <stp>[Copy of 02_cpr_main.xlsx]data!R490C11</stp>
        <tr r="K490" s="2"/>
      </tp>
    </main>
    <main first="bloomberg.rtd">
      <tp t="s">
        <v>PSA</v>
        <stp/>
        <stp>##V3_BDPV12</stp>
        <stp>36225BB31 Mtge</stp>
        <stp>MTG_PREPAY_TYP</stp>
        <stp>[Copy of 02_cpr_main.xlsx]data!R491C11</stp>
        <tr r="K491" s="2"/>
      </tp>
      <tp t="s">
        <v>PSA</v>
        <stp/>
        <stp>##V3_BDPV12</stp>
        <stp>36225BG93 Mtge</stp>
        <stp>MTG_PREPAY_TYP</stp>
        <stp>[Copy of 02_cpr_main.xlsx]data!R492C11</stp>
        <tr r="K492" s="2"/>
      </tp>
    </main>
    <main first="bloomberg.rtd">
      <tp t="s">
        <v>PSA</v>
        <stp/>
        <stp>##V3_BDPV12</stp>
        <stp>31408EN81 Mtge</stp>
        <stp>MTG_PREPAY_TYP</stp>
        <stp>[Copy of 02_cpr_main.xlsx]data!R349C11</stp>
        <tr r="K349" s="2"/>
      </tp>
    </main>
    <main first="bloomberg.rtd">
      <tp t="s">
        <v>CPR</v>
        <stp/>
        <stp>##V3_BDPV12</stp>
        <stp>31410EPE2 Mtge</stp>
        <stp>MTG_PREPAY_TYP</stp>
        <stp>[Copy of 02_cpr_main.xlsx]data!R361C11</stp>
        <tr r="K361" s="2"/>
      </tp>
      <tp t="s">
        <v>PSA</v>
        <stp/>
        <stp>##V3_BDPV12</stp>
        <stp>36225BPM4 Mtge</stp>
        <stp>MTG_PREPAY_TYP</stp>
        <stp>[Copy of 02_cpr_main.xlsx]data!R493C11</stp>
        <tr r="K493" s="2"/>
      </tp>
      <tp t="s">
        <v>#N/A N/A</v>
        <stp/>
        <stp>##V3_BDPV12</stp>
        <stp>31412ETK2 Mtge</stp>
        <stp>MTG_PREPAY_TYP</stp>
        <stp>[Copy of 02_cpr_main.xlsx]data!R405C11</stp>
        <tr r="K405" s="2"/>
      </tp>
      <tp t="s">
        <v>PSA</v>
        <stp/>
        <stp>##V3_BDPV12</stp>
        <stp>36210BTC9 Mtge</stp>
        <stp>MTG_PREPAY_TYP</stp>
        <stp>[Copy of 02_cpr_main.xlsx]data!R483C11</stp>
        <tr r="K483" s="2"/>
      </tp>
      <tp t="s">
        <v>PSA</v>
        <stp/>
        <stp>##V3_BDPV12</stp>
        <stp>36225BWH7 Mtge</stp>
        <stp>MTG_PREPAY_TYP</stp>
        <stp>[Copy of 02_cpr_main.xlsx]data!R494C11</stp>
        <tr r="K494" s="2"/>
      </tp>
      <tp t="s">
        <v>CPR</v>
        <stp/>
        <stp>##V3_BDPV12</stp>
        <stp>31404EVB9 Mtge</stp>
        <stp>MTG_PREPAY_TYP</stp>
        <stp>[Copy of 02_cpr_main.xlsx]data!R312C11</stp>
        <tr r="K312" s="2"/>
      </tp>
      <tp t="s">
        <v>PSA</v>
        <stp/>
        <stp>##V3_BDPV12</stp>
        <stp>31409EW80 Mtge</stp>
        <stp>MTG_PREPAY_TYP</stp>
        <stp>[Copy of 02_cpr_main.xlsx]data!R353C11</stp>
        <tr r="K353" s="2"/>
      </tp>
      <tp t="s">
        <v>PSA</v>
        <stp/>
        <stp>##V3_BDPV12</stp>
        <stp>36225BYJ1 Mtge</stp>
        <stp>MTG_PREPAY_TYP</stp>
        <stp>[Copy of 02_cpr_main.xlsx]data!R495C11</stp>
        <tr r="K495" s="2"/>
      </tp>
      <tp t="s">
        <v>#N/A Invalid Field</v>
        <stp/>
        <stp>##V3_BDHV12</stp>
        <stp>31292G6T8 Mtge</stp>
        <stp>MTG_GEN_CPR_12M</stp>
        <stp>20090610</stp>
        <stp>20090610</stp>
        <stp>[Copy of 02_cpr_main.xlsx]data!R115C10</stp>
        <stp>Dts=H</stp>
        <tr r="J115" s="2"/>
      </tp>
      <tp t="s">
        <v>#N/A Invalid Field</v>
        <stp/>
        <stp>##V3_BDHV12</stp>
        <stp>31292J5V8 Mtge</stp>
        <stp>MTG_GEN_CPR_12M</stp>
        <stp>20090610</stp>
        <stp>20090610</stp>
        <stp>[Copy of 02_cpr_main.xlsx]data!R120C10</stp>
        <stp>Dts=H</stp>
        <tr r="J120" s="2"/>
      </tp>
      <tp t="s">
        <v>#N/A Invalid Field</v>
        <stp/>
        <stp>##V3_BDHV12</stp>
        <stp>31402D7K0 Mtge</stp>
        <stp>MTG_GEN_CPR_12M</stp>
        <stp>20090610</stp>
        <stp>20090610</stp>
        <stp>[Copy of 02_cpr_main.xlsx]data!R268C10</stp>
        <stp>Dts=H</stp>
        <tr r="J268" s="2"/>
      </tp>
      <tp t="s">
        <v>#N/A Invalid Field</v>
        <stp/>
        <stp>##V3_BDHV12</stp>
        <stp>31294J5G9 Mtge</stp>
        <stp>MTG_GEN_CPR_12M</stp>
        <stp>20090610</stp>
        <stp>20090610</stp>
        <stp>[Copy of 02_cpr_main.xlsx]data!R127C10</stp>
        <stp>Dts=H</stp>
        <tr r="J127" s="2"/>
      </tp>
      <tp t="s">
        <v>#N/A Invalid Field</v>
        <stp/>
        <stp>##V3_BDHV12</stp>
        <stp>31384V6K3 Mtge</stp>
        <stp>MTG_GEN_CPR_12M</stp>
        <stp>20090610</stp>
        <stp>20090610</stp>
        <stp>[Copy of 02_cpr_main.xlsx]data!R208C10</stp>
        <stp>Dts=H</stp>
        <tr r="J208" s="2"/>
      </tp>
      <tp t="s">
        <v>#N/A Invalid Field</v>
        <stp/>
        <stp>##V3_BDHV12</stp>
        <stp>31385W7B9 Mtge</stp>
        <stp>MTG_GEN_CPR_12M</stp>
        <stp>20090610</stp>
        <stp>20090610</stp>
        <stp>[Copy of 02_cpr_main.xlsx]data!R217C10</stp>
        <stp>Dts=H</stp>
        <tr r="J217" s="2"/>
      </tp>
      <tp t="s">
        <v>#N/A Invalid Field</v>
        <stp/>
        <stp>##V3_BDHV12</stp>
        <stp>3128QS6G6 Mtge</stp>
        <stp>MTG_GEN_CPR_12M</stp>
        <stp>20090610</stp>
        <stp>20090610</stp>
        <stp>[Copy of 02_cpr_main.xlsx]data!R110C10</stp>
        <stp>Dts=H</stp>
        <tr r="J110" s="2"/>
      </tp>
      <tp t="s">
        <v>#N/A N/A</v>
        <stp/>
        <stp>##V3_BDPV12</stp>
        <stp>3128MBZR1 Mtge</stp>
        <stp>MTG_PREPAY_SPEED</stp>
        <stp>[Copy of 02_cpr_main.xlsx]data!R96C12</stp>
        <tr r="L96" s="2"/>
      </tp>
      <tp t="s">
        <v>#N/A N/A</v>
        <stp/>
        <stp>##V3_BDPV12</stp>
        <stp>3128GDZX1 Mtge</stp>
        <stp>MTG_PREPAY_SPEED</stp>
        <stp>[Copy of 02_cpr_main.xlsx]data!R50C12</stp>
        <tr r="L50" s="2"/>
      </tp>
      <tp>
        <v>213</v>
        <stp/>
        <stp>##V3_BDPV12</stp>
        <stp>3128K3ZC4 Mtge</stp>
        <stp>MTG_PREPAY_SPEED</stp>
        <stp>[Copy of 02_cpr_main.xlsx]data!R72C12</stp>
        <tr r="L72" s="2"/>
      </tp>
      <tp t="s">
        <v>PSA</v>
        <stp/>
        <stp>##V3_BDPV12</stp>
        <stp>31410F2Z7 Mtge</stp>
        <stp>MTG_PREPAY_TYP</stp>
        <stp>[Copy of 02_cpr_main.xlsx]data!R362C11</stp>
        <tr r="K362" s="2"/>
      </tp>
      <tp t="s">
        <v>PSA</v>
        <stp/>
        <stp>##V3_BDPV12</stp>
        <stp>36225A3K4 Mtge</stp>
        <stp>MTG_PREPAY_TYP</stp>
        <stp>[Copy of 02_cpr_main.xlsx]data!R489C11</stp>
        <tr r="K489" s="2"/>
      </tp>
      <tp t="s">
        <v>PSA</v>
        <stp/>
        <stp>##V3_BDPV12</stp>
        <stp>31410F6J9 Mtge</stp>
        <stp>MTG_PREPAY_TYP</stp>
        <stp>[Copy of 02_cpr_main.xlsx]data!R363C11</stp>
        <tr r="K363" s="2"/>
      </tp>
    </main>
    <main first="bloomberg.rtd">
      <tp t="s">
        <v>PSA</v>
        <stp/>
        <stp>##V3_BDPV12</stp>
        <stp>36291ACW7 Mtge</stp>
        <stp>MTG_PREPAY_TYP</stp>
        <stp>[Copy of 02_cpr_main.xlsx]data!R499C11</stp>
        <tr r="K499" s="2"/>
      </tp>
    </main>
    <main first="bloomberg.rtd">
      <tp t="s">
        <v>#N/A N/A</v>
        <stp/>
        <stp>##V3_BDPV12</stp>
        <stp>31414FKG5 Mtge</stp>
        <stp>MTG_PREPAY_TYP</stp>
        <stp>[Copy of 02_cpr_main.xlsx]data!R437C11</stp>
        <tr r="K437" s="2"/>
      </tp>
    </main>
    <main first="bloomberg.rtd">
      <tp t="s">
        <v>PSA</v>
        <stp/>
        <stp>##V3_BDPV12</stp>
        <stp>36291AM48 Mtge</stp>
        <stp>MTG_PREPAY_TYP</stp>
        <stp>[Copy of 02_cpr_main.xlsx]data!R500C11</stp>
        <tr r="K500" s="2"/>
      </tp>
    </main>
    <main first="bloomberg.rtd">
      <tp t="s">
        <v>PSA</v>
        <stp/>
        <stp>##V3_BDPV12</stp>
        <stp>31414FPH8 Mtge</stp>
        <stp>MTG_PREPAY_TYP</stp>
        <stp>[Copy of 02_cpr_main.xlsx]data!R438C11</stp>
        <tr r="K438" s="2"/>
      </tp>
      <tp t="s">
        <v>#N/A Invalid Field</v>
        <stp/>
        <stp>##V3_BDHV12</stp>
        <stp>31412B2P6 Mtge</stp>
        <stp>MTG_GEN_CPR_12M</stp>
        <stp>20090610</stp>
        <stp>20090610</stp>
        <stp>[Copy of 02_cpr_main.xlsx]data!R401C10</stp>
        <stp>Dts=H</stp>
        <tr r="J401" s="2"/>
      </tp>
      <tp t="s">
        <v>#N/A Invalid Field</v>
        <stp/>
        <stp>##V3_BDHV12</stp>
        <stp>31371K3A7 Mtge</stp>
        <stp>MTG_GEN_CPR_12M</stp>
        <stp>20090610</stp>
        <stp>20090610</stp>
        <stp>[Copy of 02_cpr_main.xlsx]data!R167C10</stp>
        <stp>Dts=H</stp>
        <tr r="J167" s="2"/>
      </tp>
      <tp t="s">
        <v>#N/A Invalid Field</v>
        <stp/>
        <stp>##V3_BDHV12</stp>
        <stp>31292J5A4 Mtge</stp>
        <stp>MTG_GEN_CPR_12M</stp>
        <stp>20090610</stp>
        <stp>20090610</stp>
        <stp>[Copy of 02_cpr_main.xlsx]data!R119C10</stp>
        <stp>Dts=H</stp>
        <tr r="J119" s="2"/>
      </tp>
      <tp t="s">
        <v>#N/A Invalid Field</v>
        <stp/>
        <stp>##V3_BDHV12</stp>
        <stp>31403R3B2 Mtge</stp>
        <stp>MTG_GEN_CPR_12M</stp>
        <stp>20090610</stp>
        <stp>20090610</stp>
        <stp>[Copy of 02_cpr_main.xlsx]data!R310C10</stp>
        <stp>Dts=H</stp>
        <tr r="J310" s="2"/>
      </tp>
      <tp t="s">
        <v>#N/A Invalid Field</v>
        <stp/>
        <stp>##V3_BDHV12</stp>
        <stp>31403R2E7 Mtge</stp>
        <stp>MTG_GEN_CPR_12M</stp>
        <stp>20090610</stp>
        <stp>20090610</stp>
        <stp>[Copy of 02_cpr_main.xlsx]data!R309C10</stp>
        <stp>Dts=H</stp>
        <tr r="J309" s="2"/>
      </tp>
      <tp t="s">
        <v>#N/A Invalid Field</v>
        <stp/>
        <stp>##V3_BDHV12</stp>
        <stp>3128QJ4M5 Mtge</stp>
        <stp>MTG_GEN_CPR_12M</stp>
        <stp>20090610</stp>
        <stp>20090610</stp>
        <stp>[Copy of 02_cpr_main.xlsx]data!R109C10</stp>
        <stp>Dts=H</stp>
        <tr r="J109" s="2"/>
      </tp>
      <tp t="s">
        <v>#N/A N/A</v>
        <stp/>
        <stp>##V3_BDPV12</stp>
        <stp>31412G4H1 Mtge</stp>
        <stp>MTG_PREPAY_TYP</stp>
        <stp>[Copy of 02_cpr_main.xlsx]data!R406C11</stp>
        <tr r="K406" s="2"/>
      </tp>
      <tp t="s">
        <v>#N/A N/A</v>
        <stp/>
        <stp>##V3_BDPV12</stp>
        <stp>31410G6A6 Mtge</stp>
        <stp>MTG_PREPAY_TYP</stp>
        <stp>[Copy of 02_cpr_main.xlsx]data!R364C11</stp>
        <tr r="K364" s="2"/>
      </tp>
    </main>
    <main first="bloomberg.rtd">
      <tp t="s">
        <v>CPR</v>
        <stp/>
        <stp>##V3_BDPV12</stp>
        <stp>31406GDY2 Mtge</stp>
        <stp>MTG_PREPAY_TYP</stp>
        <stp>[Copy of 02_cpr_main.xlsx]data!R336C11</stp>
        <tr r="K336" s="2"/>
      </tp>
    </main>
    <main first="bloomberg.rtd">
      <tp t="s">
        <v>#N/A N/A</v>
        <stp/>
        <stp>##V3_BDPV12</stp>
        <stp>31411GDL3 Mtge</stp>
        <stp>MTG_PREPAY_TYP</stp>
        <stp>[Copy of 02_cpr_main.xlsx]data!R391C11</stp>
        <tr r="K391" s="2"/>
      </tp>
    </main>
    <main first="bloomberg.rtd">
      <tp t="s">
        <v>#N/A N/A</v>
        <stp/>
        <stp>##V3_BDPV12</stp>
        <stp>31410GE66 Mtge</stp>
        <stp>MTG_PREPAY_TYP</stp>
        <stp>[Copy of 02_cpr_main.xlsx]data!R365C11</stp>
        <tr r="K365" s="2"/>
      </tp>
      <tp t="s">
        <v>PSA</v>
        <stp/>
        <stp>##V3_BDPV12</stp>
        <stp>31410GFV0 Mtge</stp>
        <stp>MTG_PREPAY_TYP</stp>
        <stp>[Copy of 02_cpr_main.xlsx]data!R366C11</stp>
        <tr r="K366" s="2"/>
      </tp>
    </main>
    <main first="bloomberg.rtd">
      <tp t="s">
        <v>#N/A N/A</v>
        <stp/>
        <stp>##V3_BDPV12</stp>
        <stp>31404GGN5 Mtge</stp>
        <stp>MTG_PREPAY_TYP</stp>
        <stp>[Copy of 02_cpr_main.xlsx]data!R313C11</stp>
        <tr r="K313" s="2"/>
      </tp>
      <tp t="s">
        <v>PSA</v>
        <stp/>
        <stp>##V3_BDPV12</stp>
        <stp>31410GHN6 Mtge</stp>
        <stp>MTG_PREPAY_TYP</stp>
        <stp>[Copy of 02_cpr_main.xlsx]data!R368C11</stp>
        <tr r="K368" s="2"/>
      </tp>
      <tp t="s">
        <v>#N/A N/A</v>
        <stp/>
        <stp>##V3_BDPV12</stp>
        <stp>31410GH97 Mtge</stp>
        <stp>MTG_PREPAY_TYP</stp>
        <stp>[Copy of 02_cpr_main.xlsx]data!R367C11</stp>
        <tr r="K367" s="2"/>
      </tp>
    </main>
    <main first="bloomberg.rtd">
      <tp t="s">
        <v>#N/A N/A</v>
        <stp/>
        <stp>##V3_BDPV12</stp>
        <stp>31413GMM9 Mtge</stp>
        <stp>MTG_PREPAY_TYP</stp>
        <stp>[Copy of 02_cpr_main.xlsx]data!R420C11</stp>
        <tr r="K420" s="2"/>
      </tp>
      <tp t="s">
        <v>#N/A N/A</v>
        <stp/>
        <stp>##V3_BDPV12</stp>
        <stp>31410GJB0 Mtge</stp>
        <stp>MTG_PREPAY_TYP</stp>
        <stp>[Copy of 02_cpr_main.xlsx]data!R369C11</stp>
        <tr r="K369" s="2"/>
      </tp>
    </main>
    <main first="bloomberg.rtd">
      <tp t="s">
        <v>#N/A N/A</v>
        <stp/>
        <stp>##V3_BDPV12</stp>
        <stp>31411GP30 Mtge</stp>
        <stp>MTG_PREPAY_TYP</stp>
        <stp>[Copy of 02_cpr_main.xlsx]data!R392C11</stp>
        <tr r="K392" s="2"/>
      </tp>
      <tp t="s">
        <v>PSA</v>
        <stp/>
        <stp>##V3_BDPV12</stp>
        <stp>31410GQ55 Mtge</stp>
        <stp>MTG_PREPAY_TYP</stp>
        <stp>[Copy of 02_cpr_main.xlsx]data!R370C11</stp>
        <tr r="K370" s="2"/>
      </tp>
      <tp t="s">
        <v>PSA</v>
        <stp/>
        <stp>##V3_BDPV12</stp>
        <stp>31410GRN5 Mtge</stp>
        <stp>MTG_PREPAY_TYP</stp>
        <stp>[Copy of 02_cpr_main.xlsx]data!R372C11</stp>
        <tr r="K372" s="2"/>
      </tp>
      <tp t="s">
        <v>PSA</v>
        <stp/>
        <stp>##V3_BDPV12</stp>
        <stp>31410GRM7 Mtge</stp>
        <stp>MTG_PREPAY_TYP</stp>
        <stp>[Copy of 02_cpr_main.xlsx]data!R371C11</stp>
        <tr r="K371" s="2"/>
      </tp>
      <tp t="s">
        <v>#N/A N/A</v>
        <stp/>
        <stp>##V3_BDPV12</stp>
        <stp>31412GSR3 Mtge</stp>
        <stp>MTG_PREPAY_TYP</stp>
        <stp>[Copy of 02_cpr_main.xlsx]data!R407C11</stp>
        <tr r="K407" s="2"/>
      </tp>
      <tp t="s">
        <v>#N/A Invalid Field</v>
        <stp/>
        <stp>##V3_BDHV12</stp>
        <stp>31402Q4R9 Mtge</stp>
        <stp>MTG_GEN_CPR_12M</stp>
        <stp>20090610</stp>
        <stp>20090610</stp>
        <stp>[Copy of 02_cpr_main.xlsx]data!R274C10</stp>
        <stp>Dts=H</stp>
        <tr r="J274" s="2"/>
      </tp>
      <tp t="s">
        <v>#N/A Invalid Field</v>
        <stp/>
        <stp>##V3_BDHV12</stp>
        <stp>31292G4V5 Mtge</stp>
        <stp>MTG_GEN_CPR_12M</stp>
        <stp>20090610</stp>
        <stp>20090610</stp>
        <stp>[Copy of 02_cpr_main.xlsx]data!R114C10</stp>
        <stp>Dts=H</stp>
        <tr r="J114" s="2"/>
      </tp>
      <tp t="s">
        <v>#N/A Invalid Field</v>
        <stp/>
        <stp>##V3_BDHV12</stp>
        <stp>31410C6S6 Mtge</stp>
        <stp>MTG_GEN_CPR_12M</stp>
        <stp>20090610</stp>
        <stp>20090610</stp>
        <stp>[Copy of 02_cpr_main.xlsx]data!R358C10</stp>
        <stp>Dts=H</stp>
        <tr r="J358" s="2"/>
      </tp>
      <tp t="s">
        <v>#N/A Invalid Field</v>
        <stp/>
        <stp>##V3_BDHV12</stp>
        <stp>31410M4L1 Mtge</stp>
        <stp>MTG_GEN_CPR_12M</stp>
        <stp>20090610</stp>
        <stp>20090610</stp>
        <stp>[Copy of 02_cpr_main.xlsx]data!R378C10</stp>
        <stp>Dts=H</stp>
        <tr r="J378" s="2"/>
      </tp>
      <tp t="s">
        <v>#N/A Invalid Field</v>
        <stp/>
        <stp>##V3_BDHV12</stp>
        <stp>31402C5E8 Mtge</stp>
        <stp>MTG_GEN_CPR_12M</stp>
        <stp>20090610</stp>
        <stp>20090610</stp>
        <stp>[Copy of 02_cpr_main.xlsx]data!R263C10</stp>
        <stp>Dts=H</stp>
        <tr r="J263" s="2"/>
      </tp>
      <tp t="s">
        <v>#N/A Invalid Field</v>
        <stp/>
        <stp>##V3_BDHV12</stp>
        <stp>31390P7C5 Mtge</stp>
        <stp>MTG_GEN_CPR_12M</stp>
        <stp>20090610</stp>
        <stp>20090610</stp>
        <stp>[Copy of 02_cpr_main.xlsx]data!R233C10</stp>
        <stp>Dts=H</stp>
        <tr r="J233" s="2"/>
      </tp>
      <tp t="s">
        <v>#N/A Invalid Field</v>
        <stp/>
        <stp>##V3_BDHV12</stp>
        <stp>31412M3C0 Mtge</stp>
        <stp>MTG_GEN_CPR_12M</stp>
        <stp>20090610</stp>
        <stp>20090610</stp>
        <stp>[Copy of 02_cpr_main.xlsx]data!R409C10</stp>
        <stp>Dts=H</stp>
        <tr r="J409" s="2"/>
      </tp>
      <tp t="s">
        <v>#N/A Invalid Field</v>
        <stp/>
        <stp>##V3_BDHV12</stp>
        <stp>31391N7M7 Mtge</stp>
        <stp>MTG_GEN_CPR_12M</stp>
        <stp>20090610</stp>
        <stp>20090610</stp>
        <stp>[Copy of 02_cpr_main.xlsx]data!R238C10</stp>
        <stp>Dts=H</stp>
        <tr r="J238" s="2"/>
      </tp>
      <tp t="s">
        <v>#N/A Invalid Field</v>
        <stp/>
        <stp>##V3_BDHV12</stp>
        <stp>31404J2J3 Mtge</stp>
        <stp>MTG_GEN_CPR_12M</stp>
        <stp>20090610</stp>
        <stp>20090610</stp>
        <stp>[Copy of 02_cpr_main.xlsx]data!R314C10</stp>
        <stp>Dts=H</stp>
        <tr r="J314" s="2"/>
      </tp>
      <tp>
        <v>1666.7</v>
        <stp/>
        <stp>##V3_BDPV12</stp>
        <stp>31413BEW7 Mtge</stp>
        <stp xml:space="preserve">MTG_PL_PSA_6M </stp>
        <stp>[Copy of 02_cpr_main.xlsx]data!R417C15</stp>
        <tr r="O417" s="2"/>
      </tp>
      <tp>
        <v>41.1</v>
        <stp/>
        <stp>##V3_BDPV12</stp>
        <stp>36200EDN8 Mtge</stp>
        <stp xml:space="preserve">MTG_PL_PSA_1M </stp>
        <stp>[Copy of 02_cpr_main.xlsx]data!R463C13</stp>
        <tr r="M463" s="2"/>
      </tp>
      <tp>
        <v>15.8</v>
        <stp/>
        <stp>##V3_BDPV12</stp>
        <stp>31415BBF5 Mtge</stp>
        <stp xml:space="preserve">MTG_PL_PSA_1M </stp>
        <stp>[Copy of 02_cpr_main.xlsx]data!R447C13</stp>
        <tr r="M447" s="2"/>
      </tp>
      <tp>
        <v>1666.7</v>
        <stp/>
        <stp>##V3_BDPV12</stp>
        <stp>31402BGQ1 Mtge</stp>
        <stp xml:space="preserve">MTG_PL_PSA_3M </stp>
        <stp>[Copy of 02_cpr_main.xlsx]data!R262C14</stp>
        <tr r="N262" s="2"/>
      </tp>
      <tp>
        <v>36.299999999999997</v>
        <stp/>
        <stp>##V3_BDPV12</stp>
        <stp>36200EDN8 Mtge</stp>
        <stp xml:space="preserve">MTG_PL_PSA_3M </stp>
        <stp>[Copy of 02_cpr_main.xlsx]data!R463C14</stp>
        <tr r="N463" s="2"/>
      </tp>
      <tp>
        <v>15.6</v>
        <stp/>
        <stp>##V3_BDPV12</stp>
        <stp>31415BBF5 Mtge</stp>
        <stp xml:space="preserve">MTG_PL_PSA_3M </stp>
        <stp>[Copy of 02_cpr_main.xlsx]data!R447C14</stp>
        <tr r="N447" s="2"/>
      </tp>
      <tp>
        <v>0</v>
        <stp/>
        <stp>##V3_BDPV12</stp>
        <stp>31402BGQ1 Mtge</stp>
        <stp xml:space="preserve">MTG_PL_PSA_1M </stp>
        <stp>[Copy of 02_cpr_main.xlsx]data!R262C13</stp>
        <tr r="M262" s="2"/>
      </tp>
      <tp>
        <v>1666.3</v>
        <stp/>
        <stp>##V3_BDPV12</stp>
        <stp>31402BGQ1 Mtge</stp>
        <stp xml:space="preserve">MTG_PL_PSA_6M </stp>
        <stp>[Copy of 02_cpr_main.xlsx]data!R262C15</stp>
        <tr r="O262" s="2"/>
      </tp>
      <tp>
        <v>1666.7</v>
        <stp/>
        <stp>##V3_BDPV12</stp>
        <stp>31413BEW7 Mtge</stp>
        <stp xml:space="preserve">MTG_PL_PSA_3M </stp>
        <stp>[Copy of 02_cpr_main.xlsx]data!R417C14</stp>
        <tr r="N417" s="2"/>
      </tp>
      <tp>
        <v>191</v>
        <stp/>
        <stp>##V3_BDPV12</stp>
        <stp>3128K7DW5 Mtge</stp>
        <stp>MTG_PREPAY_SPEED</stp>
        <stp>[Copy of 02_cpr_main.xlsx]data!R73C12</stp>
        <tr r="L73" s="2"/>
      </tp>
      <tp>
        <v>1666.7</v>
        <stp/>
        <stp>##V3_BDPV12</stp>
        <stp>31413BEW7 Mtge</stp>
        <stp xml:space="preserve">MTG_PL_PSA_1M </stp>
        <stp>[Copy of 02_cpr_main.xlsx]data!R417C13</stp>
        <tr r="M417" s="2"/>
      </tp>
      <tp>
        <v>37.9</v>
        <stp/>
        <stp>##V3_BDPV12</stp>
        <stp>36200EDN8 Mtge</stp>
        <stp xml:space="preserve">MTG_PL_PSA_6M </stp>
        <stp>[Copy of 02_cpr_main.xlsx]data!R463C15</stp>
        <tr r="O463" s="2"/>
      </tp>
      <tp>
        <v>15.2</v>
        <stp/>
        <stp>##V3_BDPV12</stp>
        <stp>31415BBF5 Mtge</stp>
        <stp xml:space="preserve">MTG_PL_PSA_6M </stp>
        <stp>[Copy of 02_cpr_main.xlsx]data!R447C15</stp>
        <tr r="O447" s="2"/>
      </tp>
      <tp>
        <v>0.6</v>
        <stp/>
        <stp>##V3_BDPV12</stp>
        <stp>31415BNG0 Mtge</stp>
        <stp xml:space="preserve">MTG_PL_PSA_6M </stp>
        <stp>[Copy of 02_cpr_main.xlsx]data!R448C15</stp>
        <tr r="O448" s="2"/>
      </tp>
      <tp>
        <v>0.6</v>
        <stp/>
        <stp>##V3_BDPV12</stp>
        <stp>31415BNG0 Mtge</stp>
        <stp xml:space="preserve">MTG_PL_PSA_1M </stp>
        <stp>[Copy of 02_cpr_main.xlsx]data!R448C13</stp>
        <tr r="M448" s="2"/>
      </tp>
      <tp>
        <v>0.6</v>
        <stp/>
        <stp>##V3_BDPV12</stp>
        <stp>31415BNG0 Mtge</stp>
        <stp xml:space="preserve">MTG_PL_PSA_3M </stp>
        <stp>[Copy of 02_cpr_main.xlsx]data!R448C14</stp>
        <tr r="N448" s="2"/>
      </tp>
      <tp>
        <v>52.4</v>
        <stp/>
        <stp>##V3_BDPV12</stp>
        <stp>31412BPZ9 Mtge</stp>
        <stp xml:space="preserve">MTG_PL_PSA_3M </stp>
        <stp>[Copy of 02_cpr_main.xlsx]data!R402C14</stp>
        <tr r="N402" s="2"/>
      </tp>
      <tp>
        <v>1666.7</v>
        <stp/>
        <stp>##V3_BDPV12</stp>
        <stp>36213EWY8 Mtge</stp>
        <stp xml:space="preserve">MTG_PL_PSA_3M </stp>
        <stp>[Copy of 02_cpr_main.xlsx]data!R487C14</stp>
        <tr r="N487" s="2"/>
      </tp>
      <tp>
        <v>53.6</v>
        <stp/>
        <stp>##V3_BDPV12</stp>
        <stp>31412BPZ9 Mtge</stp>
        <stp xml:space="preserve">MTG_PL_PSA_1M </stp>
        <stp>[Copy of 02_cpr_main.xlsx]data!R402C13</stp>
        <tr r="M402" s="2"/>
      </tp>
      <tp t="s">
        <v>PSA</v>
        <stp/>
        <stp>##V3_BDPV12</stp>
        <stp>31407X2Q3 Mtge</stp>
        <stp>MTG_PREPAY_TYP</stp>
        <stp>[Copy of 02_cpr_main.xlsx]data!R348C11</stp>
        <tr r="K348" s="2"/>
      </tp>
      <tp>
        <v>5</v>
        <stp/>
        <stp>##V3_BDPV12</stp>
        <stp>31412BWG3 Mtge</stp>
        <stp xml:space="preserve">MTG_PL_PSA_6M </stp>
        <stp>[Copy of 02_cpr_main.xlsx]data!R403C15</stp>
        <tr r="O403" s="2"/>
      </tp>
      <tp>
        <v>1666.7</v>
        <stp/>
        <stp>##V3_BDPV12</stp>
        <stp>36213EWY8 Mtge</stp>
        <stp xml:space="preserve">MTG_PL_PSA_1M </stp>
        <stp>[Copy of 02_cpr_main.xlsx]data!R487C13</stp>
        <tr r="M487" s="2"/>
      </tp>
      <tp>
        <v>1610.9</v>
        <stp/>
        <stp>##V3_BDPV12</stp>
        <stp>31416BVN5 Mtge</stp>
        <stp xml:space="preserve">MTG_PL_PSA_6M </stp>
        <stp>[Copy of 02_cpr_main.xlsx]data!R460C15</stp>
        <tr r="O460" s="2"/>
      </tp>
      <tp>
        <v>1666.7</v>
        <stp/>
        <stp>##V3_BDPV12</stp>
        <stp>36213EWY8 Mtge</stp>
        <stp xml:space="preserve">MTG_PL_PSA_6M </stp>
        <stp>[Copy of 02_cpr_main.xlsx]data!R487C15</stp>
        <tr r="O487" s="2"/>
      </tp>
      <tp>
        <v>0</v>
        <stp/>
        <stp>##V3_BDPV12</stp>
        <stp>31416BVN5 Mtge</stp>
        <stp xml:space="preserve">MTG_PL_PSA_1M </stp>
        <stp>[Copy of 02_cpr_main.xlsx]data!R460C13</stp>
        <tr r="M460" s="2"/>
      </tp>
      <tp>
        <v>51.3</v>
        <stp/>
        <stp>##V3_BDPV12</stp>
        <stp>31412BPZ9 Mtge</stp>
        <stp xml:space="preserve">MTG_PL_PSA_6M </stp>
        <stp>[Copy of 02_cpr_main.xlsx]data!R402C15</stp>
        <tr r="O402" s="2"/>
      </tp>
      <tp>
        <v>4.8</v>
        <stp/>
        <stp>##V3_BDPV12</stp>
        <stp>31412BWG3 Mtge</stp>
        <stp xml:space="preserve">MTG_PL_PSA_1M </stp>
        <stp>[Copy of 02_cpr_main.xlsx]data!R403C13</stp>
        <tr r="M403" s="2"/>
      </tp>
      <tp t="s">
        <v>#N/A N/A</v>
        <stp/>
        <stp>##V3_BDPV12</stp>
        <stp>31411X6Z3 Mtge</stp>
        <stp>MTG_PREPAY_TYP</stp>
        <stp>[Copy of 02_cpr_main.xlsx]data!R398C11</stp>
        <tr r="K398" s="2"/>
      </tp>
      <tp>
        <v>1615.9</v>
        <stp/>
        <stp>##V3_BDPV12</stp>
        <stp>31416BVN5 Mtge</stp>
        <stp xml:space="preserve">MTG_PL_PSA_3M </stp>
        <stp>[Copy of 02_cpr_main.xlsx]data!R460C14</stp>
        <tr r="N460" s="2"/>
      </tp>
      <tp>
        <v>4.7</v>
        <stp/>
        <stp>##V3_BDPV12</stp>
        <stp>31412BWG3 Mtge</stp>
        <stp xml:space="preserve">MTG_PL_PSA_3M </stp>
        <stp>[Copy of 02_cpr_main.xlsx]data!R403C14</stp>
        <tr r="N403" s="2"/>
      </tp>
      <tp>
        <v>110</v>
        <stp/>
        <stp>##V3_BDPV12</stp>
        <stp>3128LXDE7 Mtge</stp>
        <stp>MTG_PREPAY_SPEED</stp>
        <stp>[Copy of 02_cpr_main.xlsx]data!R81C12</stp>
        <tr r="L81" s="2"/>
      </tp>
      <tp>
        <v>0</v>
        <stp/>
        <stp>##V3_BDPV12</stp>
        <stp>31416BZ68 Mtge</stp>
        <stp xml:space="preserve">MTG_PL_PSA_1M </stp>
        <stp>[Copy of 02_cpr_main.xlsx]data!R461C13</stp>
        <tr r="M461" s="2"/>
      </tp>
      <tp>
        <v>1641.3</v>
        <stp/>
        <stp>##V3_BDPV12</stp>
        <stp>31416BZ68 Mtge</stp>
        <stp xml:space="preserve">MTG_PL_PSA_3M </stp>
        <stp>[Copy of 02_cpr_main.xlsx]data!R461C14</stp>
        <tr r="N461" s="2"/>
      </tp>
      <tp>
        <v>28.7</v>
        <stp/>
        <stp>##V3_BDPV12</stp>
        <stp>31406BYJ3 Mtge</stp>
        <stp xml:space="preserve">MTG_PL_PSA_6M </stp>
        <stp>[Copy of 02_cpr_main.xlsx]data!R333C15</stp>
        <tr r="O333" s="2"/>
      </tp>
      <tp>
        <v>28.3</v>
        <stp/>
        <stp>##V3_BDPV12</stp>
        <stp>36209EX56 Mtge</stp>
        <stp xml:space="preserve">MTG_PL_PSA_6M </stp>
        <stp>[Copy of 02_cpr_main.xlsx]data!R481C15</stp>
        <tr r="O481" s="2"/>
      </tp>
      <tp>
        <v>25</v>
        <stp/>
        <stp>##V3_BDPV12</stp>
        <stp>31406BYJ3 Mtge</stp>
        <stp xml:space="preserve">MTG_PL_PSA_1M </stp>
        <stp>[Copy of 02_cpr_main.xlsx]data!R333C13</stp>
        <tr r="M333" s="2"/>
      </tp>
      <tp>
        <v>30.8</v>
        <stp/>
        <stp>##V3_BDPV12</stp>
        <stp>36209EX56 Mtge</stp>
        <stp xml:space="preserve">MTG_PL_PSA_1M </stp>
        <stp>[Copy of 02_cpr_main.xlsx]data!R481C13</stp>
        <tr r="M481" s="2"/>
      </tp>
      <tp>
        <v>32.1</v>
        <stp/>
        <stp>##V3_BDPV12</stp>
        <stp>31406BYJ3 Mtge</stp>
        <stp xml:space="preserve">MTG_PL_PSA_3M </stp>
        <stp>[Copy of 02_cpr_main.xlsx]data!R333C14</stp>
        <tr r="N333" s="2"/>
      </tp>
      <tp>
        <v>32.1</v>
        <stp/>
        <stp>##V3_BDPV12</stp>
        <stp>36209EX56 Mtge</stp>
        <stp xml:space="preserve">MTG_PL_PSA_3M </stp>
        <stp>[Copy of 02_cpr_main.xlsx]data!R481C14</stp>
        <tr r="N481" s="2"/>
      </tp>
      <tp>
        <v>1606</v>
        <stp/>
        <stp>##V3_BDPV12</stp>
        <stp>31416BZ68 Mtge</stp>
        <stp xml:space="preserve">MTG_PL_PSA_6M </stp>
        <stp>[Copy of 02_cpr_main.xlsx]data!R461C15</stp>
        <tr r="O461" s="2"/>
      </tp>
      <tp t="s">
        <v>#N/A N/A</v>
        <stp/>
        <stp>##V3_BDPV12</stp>
        <stp>3128GWD39 Mtge</stp>
        <stp>MTG_PREPAY_SPEED</stp>
        <stp>[Copy of 02_cpr_main.xlsx]data!R62C12</stp>
        <tr r="L62" s="2"/>
      </tp>
      <tp t="s">
        <v>PSA</v>
        <stp/>
        <stp>##V3_BDPV12</stp>
        <stp>31410XF84 Mtge</stp>
        <stp>MTG_PREPAY_TYP</stp>
        <stp>[Copy of 02_cpr_main.xlsx]data!R388C11</stp>
        <tr r="K388" s="2"/>
      </tp>
      <tp t="s">
        <v>PSA</v>
        <stp/>
        <stp>##V3_BDPV12</stp>
        <stp>31410XGK6 Mtge</stp>
        <stp>MTG_PREPAY_TYP</stp>
        <stp>[Copy of 02_cpr_main.xlsx]data!R389C11</stp>
        <tr r="K389" s="2"/>
      </tp>
      <tp t="s">
        <v>PSA</v>
        <stp/>
        <stp>##V3_BDPV12</stp>
        <stp>31409XHN2 Mtge</stp>
        <stp>MTG_PREPAY_TYP</stp>
        <stp>[Copy of 02_cpr_main.xlsx]data!R356C11</stp>
        <tr r="K356" s="2"/>
      </tp>
      <tp t="s">
        <v>#N/A N/A</v>
        <stp/>
        <stp>##V3_BDPV12</stp>
        <stp>31404XJG0 Mtge</stp>
        <stp>MTG_PREPAY_TYP</stp>
        <stp>[Copy of 02_cpr_main.xlsx]data!R321C11</stp>
        <tr r="K321" s="2"/>
      </tp>
      <tp t="s">
        <v>PSA</v>
        <stp/>
        <stp>##V3_BDPV12</stp>
        <stp>31415XJE2 Mtge</stp>
        <stp>MTG_PREPAY_TYP</stp>
        <stp>[Copy of 02_cpr_main.xlsx]data!R458C11</stp>
        <tr r="K458" s="2"/>
      </tp>
      <tp>
        <v>1666.7</v>
        <stp/>
        <stp>##V3_BDPV12</stp>
        <stp>31412B2P6 Mtge</stp>
        <stp xml:space="preserve">MTG_PL_PSA_1M </stp>
        <stp>[Copy of 02_cpr_main.xlsx]data!R401C13</stp>
        <tr r="M401" s="2"/>
      </tp>
      <tp>
        <v>1666.7</v>
        <stp/>
        <stp>##V3_BDPV12</stp>
        <stp>31412B2P6 Mtge</stp>
        <stp xml:space="preserve">MTG_PL_PSA_3M </stp>
        <stp>[Copy of 02_cpr_main.xlsx]data!R401C14</stp>
        <tr r="N401" s="2"/>
      </tp>
      <tp t="s">
        <v>PSA</v>
        <stp/>
        <stp>##V3_BDPV12</stp>
        <stp>31415XSZ5 Mtge</stp>
        <stp>MTG_PREPAY_TYP</stp>
        <stp>[Copy of 02_cpr_main.xlsx]data!R459C11</stp>
        <tr r="K459" s="2"/>
      </tp>
      <tp t="s">
        <v>PSA</v>
        <stp/>
        <stp>##V3_BDPV12</stp>
        <stp>31412XSV7 Mtge</stp>
        <stp>MTG_PREPAY_TYP</stp>
        <stp>[Copy of 02_cpr_main.xlsx]data!R414C11</stp>
        <tr r="K414" s="2"/>
      </tp>
      <tp>
        <v>1666.7</v>
        <stp/>
        <stp>##V3_BDPV12</stp>
        <stp>31412B2P6 Mtge</stp>
        <stp xml:space="preserve">MTG_PL_PSA_6M </stp>
        <stp>[Copy of 02_cpr_main.xlsx]data!R401C15</stp>
        <tr r="O401" s="2"/>
      </tp>
      <tp t="s">
        <v>CPR</v>
        <stp/>
        <stp>##V3_BDPV12</stp>
        <stp>31405XXV0 Mtge</stp>
        <stp>MTG_PREPAY_TYP</stp>
        <stp>[Copy of 02_cpr_main.xlsx]data!R330C11</stp>
        <tr r="K330" s="2"/>
      </tp>
      <tp>
        <v>1666.7</v>
        <stp/>
        <stp>##V3_BDPV12</stp>
        <stp>31385CEC3 Mtge</stp>
        <stp xml:space="preserve">MTG_PL_PSA_6M </stp>
        <stp>[Copy of 02_cpr_main.xlsx]data!R212C15</stp>
        <tr r="O212" s="2"/>
      </tp>
      <tp>
        <v>1666.7</v>
        <stp/>
        <stp>##V3_BDPV12</stp>
        <stp>31413CCD9 Mtge</stp>
        <stp xml:space="preserve">MTG_PL_PSA_1M </stp>
        <stp>[Copy of 02_cpr_main.xlsx]data!R418C13</stp>
        <tr r="M418" s="2"/>
      </tp>
      <tp>
        <v>1666.7</v>
        <stp/>
        <stp>##V3_BDPV12</stp>
        <stp>31413CCD9 Mtge</stp>
        <stp xml:space="preserve">MTG_PL_PSA_3M </stp>
        <stp>[Copy of 02_cpr_main.xlsx]data!R418C14</stp>
        <tr r="N418" s="2"/>
      </tp>
      <tp>
        <v>1666.7</v>
        <stp/>
        <stp>##V3_BDPV12</stp>
        <stp>31385CEC3 Mtge</stp>
        <stp xml:space="preserve">MTG_PL_PSA_3M </stp>
        <stp>[Copy of 02_cpr_main.xlsx]data!R212C14</stp>
        <tr r="N212" s="2"/>
      </tp>
      <tp t="s">
        <v>#N/A N/A</v>
        <stp/>
        <stp>##V3_BDPV12</stp>
        <stp>3128GGEV1 Mtge</stp>
        <stp>MTG_PREPAY_SPEED</stp>
        <stp>[Copy of 02_cpr_main.xlsx]data!R55C12</stp>
        <tr r="L55" s="2"/>
      </tp>
      <tp>
        <v>1666.7</v>
        <stp/>
        <stp>##V3_BDPV12</stp>
        <stp>31385CEC3 Mtge</stp>
        <stp xml:space="preserve">MTG_PL_PSA_1M </stp>
        <stp>[Copy of 02_cpr_main.xlsx]data!R212C13</stp>
        <tr r="M212" s="2"/>
      </tp>
      <tp>
        <v>1666.7</v>
        <stp/>
        <stp>##V3_BDPV12</stp>
        <stp>31413CCD9 Mtge</stp>
        <stp xml:space="preserve">MTG_PL_PSA_6M </stp>
        <stp>[Copy of 02_cpr_main.xlsx]data!R418C15</stp>
        <tr r="O418" s="2"/>
      </tp>
      <tp>
        <v>180.3</v>
        <stp/>
        <stp>##V3_BDPV12</stp>
        <stp>31297CKH2 Mtge</stp>
        <stp xml:space="preserve">MTG_PL_PSA_3M </stp>
        <stp>[Copy of 02_cpr_main.xlsx]data!R147C14</stp>
        <tr r="N147" s="2"/>
      </tp>
      <tp>
        <v>1666.7</v>
        <stp/>
        <stp>##V3_BDPV12</stp>
        <stp>31385CHF3 Mtge</stp>
        <stp xml:space="preserve">MTG_PL_PSA_3M </stp>
        <stp>[Copy of 02_cpr_main.xlsx]data!R213C14</stp>
        <tr r="N213" s="2"/>
      </tp>
      <tp>
        <v>188.8</v>
        <stp/>
        <stp>##V3_BDPV12</stp>
        <stp>31297CKH2 Mtge</stp>
        <stp xml:space="preserve">MTG_PL_PSA_1M </stp>
        <stp>[Copy of 02_cpr_main.xlsx]data!R147C13</stp>
        <tr r="M147" s="2"/>
      </tp>
      <tp>
        <v>1666.7</v>
        <stp/>
        <stp>##V3_BDPV12</stp>
        <stp>31385CHF3 Mtge</stp>
        <stp xml:space="preserve">MTG_PL_PSA_1M </stp>
        <stp>[Copy of 02_cpr_main.xlsx]data!R213C13</stp>
        <tr r="M213" s="2"/>
      </tp>
      <tp>
        <v>1666.7</v>
        <stp/>
        <stp>##V3_BDPV12</stp>
        <stp>31385CHF3 Mtge</stp>
        <stp xml:space="preserve">MTG_PL_PSA_6M </stp>
        <stp>[Copy of 02_cpr_main.xlsx]data!R213C15</stp>
        <tr r="O213" s="2"/>
      </tp>
      <tp>
        <v>168</v>
        <stp/>
        <stp>##V3_BDPV12</stp>
        <stp>31297CKH2 Mtge</stp>
        <stp xml:space="preserve">MTG_PL_PSA_6M </stp>
        <stp>[Copy of 02_cpr_main.xlsx]data!R147C15</stp>
        <tr r="O147" s="2"/>
      </tp>
      <tp>
        <v>131.80000000000001</v>
        <stp/>
        <stp>##V3_BDPV12</stp>
        <stp>31402CTT9 Mtge</stp>
        <stp xml:space="preserve">MTG_PL_PSA_1M </stp>
        <stp>[Copy of 02_cpr_main.xlsx]data!R266C13</stp>
        <tr r="M266" s="2"/>
      </tp>
      <tp>
        <v>41.6</v>
        <stp/>
        <stp>##V3_BDPV12</stp>
        <stp>31403CUZ2 Mtge</stp>
        <stp xml:space="preserve">MTG_PL_PSA_1M </stp>
        <stp>[Copy of 02_cpr_main.xlsx]data!R294C13</stp>
        <tr r="M294" s="2"/>
      </tp>
      <tp>
        <v>442.5</v>
        <stp/>
        <stp>##V3_BDPV12</stp>
        <stp>31402CQZ8 Mtge</stp>
        <stp xml:space="preserve">MTG_PL_PSA_6M </stp>
        <stp>[Copy of 02_cpr_main.xlsx]data!R265C15</stp>
        <tr r="O265" s="2"/>
      </tp>
      <tp>
        <v>155.9</v>
        <stp/>
        <stp>##V3_BDPV12</stp>
        <stp>31402CTT9 Mtge</stp>
        <stp xml:space="preserve">MTG_PL_PSA_3M </stp>
        <stp>[Copy of 02_cpr_main.xlsx]data!R266C14</stp>
        <tr r="N266" s="2"/>
      </tp>
      <tp>
        <v>0.7</v>
        <stp/>
        <stp>##V3_BDPV12</stp>
        <stp>36211DPQ7 Mtge</stp>
        <stp xml:space="preserve">MTG_PL_PSA_6M </stp>
        <stp>[Copy of 02_cpr_main.xlsx]data!R486C15</stp>
        <tr r="O486" s="2"/>
      </tp>
      <tp>
        <v>41.8</v>
        <stp/>
        <stp>##V3_BDPV12</stp>
        <stp>31403CUZ2 Mtge</stp>
        <stp xml:space="preserve">MTG_PL_PSA_3M </stp>
        <stp>[Copy of 02_cpr_main.xlsx]data!R294C14</stp>
        <tr r="N294" s="2"/>
      </tp>
      <tp>
        <v>181.3</v>
        <stp/>
        <stp>##V3_BDPV12</stp>
        <stp>31402CPL0 Mtge</stp>
        <stp xml:space="preserve">MTG_PL_PSA_6M </stp>
        <stp>[Copy of 02_cpr_main.xlsx]data!R264C15</stp>
        <tr r="O264" s="2"/>
      </tp>
      <tp t="s">
        <v>#N/A N/A</v>
        <stp/>
        <stp>##V3_BDPV12</stp>
        <stp>3128GVEA4 Mtge</stp>
        <stp>MTG_PREPAY_SPEED</stp>
        <stp>[Copy of 02_cpr_main.xlsx]data!R61C12</stp>
        <tr r="L61" s="2"/>
      </tp>
      <tp>
        <v>-0.8</v>
        <stp/>
        <stp>##V3_BDPV12</stp>
        <stp>31405CQ85 Mtge</stp>
        <stp xml:space="preserve">MTG_PL_PSA_6M </stp>
        <stp>[Copy of 02_cpr_main.xlsx]data!R324C15</stp>
        <tr r="O324" s="2"/>
      </tp>
      <tp>
        <v>499.8</v>
        <stp/>
        <stp>##V3_BDPV12</stp>
        <stp>31414CV88 Mtge</stp>
        <stp xml:space="preserve">MTG_PL_PSA_6M </stp>
        <stp>[Copy of 02_cpr_main.xlsx]data!R435C15</stp>
        <tr r="O435" s="2"/>
      </tp>
      <tp>
        <v>0.7</v>
        <stp/>
        <stp>##V3_BDPV12</stp>
        <stp>36211DPQ7 Mtge</stp>
        <stp xml:space="preserve">MTG_PL_PSA_1M </stp>
        <stp>[Copy of 02_cpr_main.xlsx]data!R486C13</stp>
        <tr r="M486" s="2"/>
      </tp>
      <tp>
        <v>192.5</v>
        <stp/>
        <stp>##V3_BDPV12</stp>
        <stp>31402CPL0 Mtge</stp>
        <stp xml:space="preserve">MTG_PL_PSA_1M </stp>
        <stp>[Copy of 02_cpr_main.xlsx]data!R264C13</stp>
        <tr r="M264" s="2"/>
      </tp>
      <tp>
        <v>0</v>
        <stp/>
        <stp>##V3_BDPV12</stp>
        <stp>31405CQ85 Mtge</stp>
        <stp xml:space="preserve">MTG_PL_PSA_1M </stp>
        <stp>[Copy of 02_cpr_main.xlsx]data!R324C13</stp>
        <tr r="M324" s="2"/>
      </tp>
      <tp>
        <v>6.8</v>
        <stp/>
        <stp>##V3_BDPV12</stp>
        <stp>31414CV88 Mtge</stp>
        <stp xml:space="preserve">MTG_PL_PSA_1M </stp>
        <stp>[Copy of 02_cpr_main.xlsx]data!R435C13</stp>
        <tr r="M435" s="2"/>
      </tp>
      <tp>
        <v>0</v>
        <stp/>
        <stp>##V3_BDPV12</stp>
        <stp>31402CQZ8 Mtge</stp>
        <stp xml:space="preserve">MTG_PL_PSA_1M </stp>
        <stp>[Copy of 02_cpr_main.xlsx]data!R265C13</stp>
        <tr r="M265" s="2"/>
      </tp>
      <tp>
        <v>0.7</v>
        <stp/>
        <stp>##V3_BDPV12</stp>
        <stp>36211DPQ7 Mtge</stp>
        <stp xml:space="preserve">MTG_PL_PSA_3M </stp>
        <stp>[Copy of 02_cpr_main.xlsx]data!R486C14</stp>
        <tr r="N486" s="2"/>
      </tp>
      <tp>
        <v>40.200000000000003</v>
        <stp/>
        <stp>##V3_BDPV12</stp>
        <stp>31403CUZ2 Mtge</stp>
        <stp xml:space="preserve">MTG_PL_PSA_6M </stp>
        <stp>[Copy of 02_cpr_main.xlsx]data!R294C15</stp>
        <tr r="O294" s="2"/>
      </tp>
      <tp>
        <v>184.2</v>
        <stp/>
        <stp>##V3_BDPV12</stp>
        <stp>31402CPL0 Mtge</stp>
        <stp xml:space="preserve">MTG_PL_PSA_3M </stp>
        <stp>[Copy of 02_cpr_main.xlsx]data!R264C14</stp>
        <tr r="N264" s="2"/>
      </tp>
      <tp>
        <v>170</v>
        <stp/>
        <stp>##V3_BDPV12</stp>
        <stp>3128M5ED8 Mtge</stp>
        <stp>MTG_PREPAY_SPEED</stp>
        <stp>[Copy of 02_cpr_main.xlsx]data!R86C12</stp>
        <tr r="L86" s="2"/>
      </tp>
      <tp>
        <v>-1.3</v>
        <stp/>
        <stp>##V3_BDPV12</stp>
        <stp>31405CQ85 Mtge</stp>
        <stp xml:space="preserve">MTG_PL_PSA_3M </stp>
        <stp>[Copy of 02_cpr_main.xlsx]data!R324C14</stp>
        <tr r="N324" s="2"/>
      </tp>
      <tp>
        <v>845.1</v>
        <stp/>
        <stp>##V3_BDPV12</stp>
        <stp>31414CV88 Mtge</stp>
        <stp xml:space="preserve">MTG_PL_PSA_3M </stp>
        <stp>[Copy of 02_cpr_main.xlsx]data!R435C14</stp>
        <tr r="N435" s="2"/>
      </tp>
      <tp>
        <v>10.8</v>
        <stp/>
        <stp>##V3_BDPV12</stp>
        <stp>31402CQZ8 Mtge</stp>
        <stp xml:space="preserve">MTG_PL_PSA_3M </stp>
        <stp>[Copy of 02_cpr_main.xlsx]data!R265C14</stp>
        <tr r="N265" s="2"/>
      </tp>
      <tp>
        <v>164.7</v>
        <stp/>
        <stp>##V3_BDPV12</stp>
        <stp>31402CTT9 Mtge</stp>
        <stp xml:space="preserve">MTG_PL_PSA_6M </stp>
        <stp>[Copy of 02_cpr_main.xlsx]data!R266C15</stp>
        <tr r="O266" s="2"/>
      </tp>
      <tp>
        <v>36.799999999999997</v>
        <stp/>
        <stp>##V3_BDPV12</stp>
        <stp>31414CZ84 Mtge</stp>
        <stp xml:space="preserve">MTG_PL_PSA_1M </stp>
        <stp>[Copy of 02_cpr_main.xlsx]data!R436C13</stp>
        <tr r="M436" s="2"/>
      </tp>
      <tp>
        <v>1037.7</v>
        <stp/>
        <stp>##V3_BDPV12</stp>
        <stp>31402CZR6 Mtge</stp>
        <stp xml:space="preserve">MTG_PL_PSA_6M </stp>
        <stp>[Copy of 02_cpr_main.xlsx]data!R267C15</stp>
        <tr r="O267" s="2"/>
      </tp>
      <tp>
        <v>23</v>
        <stp/>
        <stp>##V3_BDPV12</stp>
        <stp>31414CZ84 Mtge</stp>
        <stp xml:space="preserve">MTG_PL_PSA_3M </stp>
        <stp>[Copy of 02_cpr_main.xlsx]data!R436C14</stp>
        <tr r="N436" s="2"/>
      </tp>
      <tp>
        <v>748.8</v>
        <stp/>
        <stp>##V3_BDPV12</stp>
        <stp>31402CZR6 Mtge</stp>
        <stp xml:space="preserve">MTG_PL_PSA_3M </stp>
        <stp>[Copy of 02_cpr_main.xlsx]data!R267C14</stp>
        <tr r="N267" s="2"/>
      </tp>
      <tp>
        <v>0</v>
        <stp/>
        <stp>##V3_BDPV12</stp>
        <stp>31402CZR6 Mtge</stp>
        <stp xml:space="preserve">MTG_PL_PSA_1M </stp>
        <stp>[Copy of 02_cpr_main.xlsx]data!R267C13</stp>
        <tr r="M267" s="2"/>
      </tp>
      <tp>
        <v>0</v>
        <stp/>
        <stp>##V3_BDPV12</stp>
        <stp>3128NGEM3 Mtge</stp>
        <stp>MTG_PREPAY_SPEED</stp>
        <stp>[Copy of 02_cpr_main.xlsx]data!R98C12</stp>
        <tr r="L98" s="2"/>
      </tp>
      <tp t="s">
        <v>#N/A N/A</v>
        <stp/>
        <stp>##V3_BDPV12</stp>
        <stp>3128GJEM5 Mtge</stp>
        <stp>MTG_PREPAY_SPEED</stp>
        <stp>[Copy of 02_cpr_main.xlsx]data!R58C12</stp>
        <tr r="L58" s="2"/>
      </tp>
      <tp>
        <v>340.6</v>
        <stp/>
        <stp>##V3_BDPV12</stp>
        <stp>31414CZ84 Mtge</stp>
        <stp xml:space="preserve">MTG_PL_PSA_6M </stp>
        <stp>[Copy of 02_cpr_main.xlsx]data!R436C15</stp>
        <tr r="O436" s="2"/>
      </tp>
      <tp t="s">
        <v>PSA</v>
        <stp/>
        <stp>##V3_BDPV12</stp>
        <stp>31411YGA5 Mtge</stp>
        <stp>MTG_PREPAY_TYP</stp>
        <stp>[Copy of 02_cpr_main.xlsx]data!R400C11</stp>
        <tr r="K400" s="2"/>
      </tp>
      <tp t="s">
        <v>#N/A N/A</v>
        <stp/>
        <stp>##V3_BDPV12</stp>
        <stp>31412YFJ6 Mtge</stp>
        <stp>MTG_PREPAY_TYP</stp>
        <stp>[Copy of 02_cpr_main.xlsx]data!R415C11</stp>
        <tr r="K415" s="2"/>
      </tp>
      <tp t="s">
        <v>CPR</v>
        <stp/>
        <stp>##V3_BDPV12</stp>
        <stp>31406YB58 Mtge</stp>
        <stp>MTG_PREPAY_TYP</stp>
        <stp>[Copy of 02_cpr_main.xlsx]data!R341C11</stp>
        <tr r="K341" s="2"/>
      </tp>
      <tp t="s">
        <v>#N/A N/A</v>
        <stp/>
        <stp>##V3_BDPV12</stp>
        <stp>31411YDS9 Mtge</stp>
        <stp>MTG_PREPAY_TYP</stp>
        <stp>[Copy of 02_cpr_main.xlsx]data!R399C11</stp>
        <tr r="K399" s="2"/>
      </tp>
      <tp t="s">
        <v>CPR</v>
        <stp/>
        <stp>##V3_BDPV12</stp>
        <stp>31404YDK5 Mtge</stp>
        <stp>MTG_PREPAY_TYP</stp>
        <stp>[Copy of 02_cpr_main.xlsx]data!R322C11</stp>
        <tr r="K322" s="2"/>
      </tp>
      <tp t="s">
        <v>PSA</v>
        <stp/>
        <stp>##V3_BDPV12</stp>
        <stp>31417YAY3 Mtge</stp>
        <stp>MTG_PREPAY_TYP</stp>
        <stp>[Copy of 02_cpr_main.xlsx]data!R462C11</stp>
        <tr r="K462" s="2"/>
      </tp>
      <tp t="s">
        <v>#N/A N/A</v>
        <stp/>
        <stp>##V3_BDPV12</stp>
        <stp>3128GLE99 Mtge</stp>
        <stp>MTG_PREPAY_SPEED</stp>
        <stp>[Copy of 02_cpr_main.xlsx]data!R60C12</stp>
        <tr r="L60" s="2"/>
      </tp>
      <tp>
        <v>146</v>
        <stp/>
        <stp>##V3_BDPV12</stp>
        <stp>31403C6L0 Mtge</stp>
        <stp xml:space="preserve">MTG_PL_PSA_3M </stp>
        <stp>[Copy of 02_cpr_main.xlsx]data!R293C14</stp>
        <tr r="N293" s="2"/>
      </tp>
      <tp>
        <v>1211.0999999999999</v>
        <stp/>
        <stp>##V3_BDPV12</stp>
        <stp>31403C2Z3 Mtge</stp>
        <stp xml:space="preserve">MTG_PL_PSA_6M </stp>
        <stp>[Copy of 02_cpr_main.xlsx]data!R292C15</stp>
        <tr r="O292" s="2"/>
      </tp>
      <tp>
        <v>71.8</v>
        <stp/>
        <stp>##V3_BDPV12</stp>
        <stp>31410C6S6 Mtge</stp>
        <stp xml:space="preserve">MTG_PL_PSA_3M </stp>
        <stp>[Copy of 02_cpr_main.xlsx]data!R358C14</stp>
        <tr r="N358" s="2"/>
      </tp>
      <tp>
        <v>39.4</v>
        <stp/>
        <stp>##V3_BDPV12</stp>
        <stp>31410C3Q3 Mtge</stp>
        <stp xml:space="preserve">MTG_PL_PSA_6M </stp>
        <stp>[Copy of 02_cpr_main.xlsx]data!R357C15</stp>
        <tr r="O357" s="2"/>
      </tp>
      <tp>
        <v>0</v>
        <stp/>
        <stp>##V3_BDPV12</stp>
        <stp>31402C5E8 Mtge</stp>
        <stp xml:space="preserve">MTG_PL_PSA_1M </stp>
        <stp>[Copy of 02_cpr_main.xlsx]data!R263C13</stp>
        <tr r="M263" s="2"/>
      </tp>
      <tp>
        <v>182.6</v>
        <stp/>
        <stp>##V3_BDPV12</stp>
        <stp>31403C6L0 Mtge</stp>
        <stp xml:space="preserve">MTG_PL_PSA_1M </stp>
        <stp>[Copy of 02_cpr_main.xlsx]data!R293C13</stp>
        <tr r="M293" s="2"/>
      </tp>
      <tp>
        <v>979.9</v>
        <stp/>
        <stp>##V3_BDPV12</stp>
        <stp>31379C5N7 Mtge</stp>
        <stp xml:space="preserve">MTG_PL_PSA_6M </stp>
        <stp>[Copy of 02_cpr_main.xlsx]data!R188C15</stp>
        <tr r="O188" s="2"/>
      </tp>
      <tp>
        <v>72.2</v>
        <stp/>
        <stp>##V3_BDPV12</stp>
        <stp>31410C6S6 Mtge</stp>
        <stp xml:space="preserve">MTG_PL_PSA_1M </stp>
        <stp>[Copy of 02_cpr_main.xlsx]data!R358C13</stp>
        <tr r="M358" s="2"/>
      </tp>
      <tp>
        <v>1343.6</v>
        <stp/>
        <stp>##V3_BDPV12</stp>
        <stp>31402C5E8 Mtge</stp>
        <stp xml:space="preserve">MTG_PL_PSA_3M </stp>
        <stp>[Copy of 02_cpr_main.xlsx]data!R263C14</stp>
        <tr r="N263" s="2"/>
      </tp>
      <tp>
        <v>319.10000000000002</v>
        <stp/>
        <stp>##V3_BDPV12</stp>
        <stp>31403C2Z3 Mtge</stp>
        <stp xml:space="preserve">MTG_PL_PSA_3M </stp>
        <stp>[Copy of 02_cpr_main.xlsx]data!R292C14</stp>
        <tr r="N292" s="2"/>
      </tp>
      <tp>
        <v>67</v>
        <stp/>
        <stp>##V3_BDPV12</stp>
        <stp>31410C6S6 Mtge</stp>
        <stp xml:space="preserve">MTG_PL_PSA_6M </stp>
        <stp>[Copy of 02_cpr_main.xlsx]data!R358C15</stp>
        <tr r="O358" s="2"/>
      </tp>
      <tp>
        <v>34.700000000000003</v>
        <stp/>
        <stp>##V3_BDPV12</stp>
        <stp>31410C3Q3 Mtge</stp>
        <stp xml:space="preserve">MTG_PL_PSA_3M </stp>
        <stp>[Copy of 02_cpr_main.xlsx]data!R357C14</stp>
        <tr r="N357" s="2"/>
      </tp>
      <tp>
        <v>423.4</v>
        <stp/>
        <stp>##V3_BDPV12</stp>
        <stp>31379C5N7 Mtge</stp>
        <stp xml:space="preserve">MTG_PL_PSA_1M </stp>
        <stp>[Copy of 02_cpr_main.xlsx]data!R188C13</stp>
        <tr r="M188" s="2"/>
      </tp>
      <tp>
        <v>130.6</v>
        <stp/>
        <stp>##V3_BDPV12</stp>
        <stp>31403C6L0 Mtge</stp>
        <stp xml:space="preserve">MTG_PL_PSA_6M </stp>
        <stp>[Copy of 02_cpr_main.xlsx]data!R293C15</stp>
        <tr r="O293" s="2"/>
      </tp>
      <tp>
        <v>35.299999999999997</v>
        <stp/>
        <stp>##V3_BDPV12</stp>
        <stp>31410C3Q3 Mtge</stp>
        <stp xml:space="preserve">MTG_PL_PSA_1M </stp>
        <stp>[Copy of 02_cpr_main.xlsx]data!R357C13</stp>
        <tr r="M357" s="2"/>
      </tp>
      <tp>
        <v>0</v>
        <stp/>
        <stp>##V3_BDPV12</stp>
        <stp>31403C2Z3 Mtge</stp>
        <stp xml:space="preserve">MTG_PL_PSA_1M </stp>
        <stp>[Copy of 02_cpr_main.xlsx]data!R292C13</stp>
        <tr r="M292" s="2"/>
      </tp>
      <tp>
        <v>1353.6</v>
        <stp/>
        <stp>##V3_BDPV12</stp>
        <stp>31402C5E8 Mtge</stp>
        <stp xml:space="preserve">MTG_PL_PSA_6M </stp>
        <stp>[Copy of 02_cpr_main.xlsx]data!R263C15</stp>
        <tr r="O263" s="2"/>
      </tp>
      <tp>
        <v>1283.9000000000001</v>
        <stp/>
        <stp>##V3_BDPV12</stp>
        <stp>31379C5N7 Mtge</stp>
        <stp xml:space="preserve">MTG_PL_PSA_3M </stp>
        <stp>[Copy of 02_cpr_main.xlsx]data!R188C14</stp>
        <tr r="N188" s="2"/>
      </tp>
      <tp t="s">
        <v>CPR</v>
        <stp/>
        <stp>##V3_BDPV12</stp>
        <stp>31405YXX4 Mtge</stp>
        <stp>MTG_PREPAY_TYP</stp>
        <stp>[Copy of 02_cpr_main.xlsx]data!R332C11</stp>
        <tr r="K332" s="2"/>
      </tp>
      <tp t="s">
        <v>CPR</v>
        <stp/>
        <stp>##V3_BDPV12</stp>
        <stp>31405YX48 Mtge</stp>
        <stp>MTG_PREPAY_TYP</stp>
        <stp>[Copy of 02_cpr_main.xlsx]data!R331C11</stp>
        <tr r="K331" s="2"/>
      </tp>
      <tp t="s">
        <v>#N/A Invalid Field</v>
        <stp/>
        <stp>##V3_BDHV12</stp>
        <stp>01F040446 Mtge</stp>
        <stp>CPR</stp>
        <stp>20090331</stp>
        <stp>20090331</stp>
        <stp>[Copy of 02_cpr_main.xlsx]data!R2C5</stp>
        <stp>Dts=H</stp>
        <tr r="E2" s="2"/>
      </tp>
      <tp t="s">
        <v>#N/A N/A</v>
        <stp/>
        <stp>##V3_BDPV12</stp>
        <stp>3128GJFP7 Mtge</stp>
        <stp>MTG_PREPAY_SPEED</stp>
        <stp>[Copy of 02_cpr_main.xlsx]data!R59C12</stp>
        <tr r="L59" s="2"/>
      </tp>
      <tp>
        <v>1666.7</v>
        <stp/>
        <stp>##V3_BDPV12</stp>
        <stp>36213GSU6 Mtge</stp>
        <stp xml:space="preserve">MTG_PL_PSA_6M </stp>
        <stp>[Copy of 02_cpr_main.xlsx]data!R488C15</stp>
        <tr r="O488" s="2"/>
      </tp>
      <tp>
        <v>1666.7</v>
        <stp/>
        <stp>##V3_BDPV12</stp>
        <stp>36213GSU6 Mtge</stp>
        <stp xml:space="preserve">MTG_PL_PSA_3M </stp>
        <stp>[Copy of 02_cpr_main.xlsx]data!R488C14</stp>
        <tr r="N488" s="2"/>
      </tp>
      <tp>
        <v>1666.7</v>
        <stp/>
        <stp>##V3_BDPV12</stp>
        <stp>36213GSU6 Mtge</stp>
        <stp xml:space="preserve">MTG_PL_PSA_1M </stp>
        <stp>[Copy of 02_cpr_main.xlsx]data!R488C13</stp>
        <tr r="M488" s="2"/>
      </tp>
      <tp>
        <v>5.7</v>
        <stp/>
        <stp>##V3_BDPV12</stp>
        <stp>36291GYR1 Mtge</stp>
        <stp xml:space="preserve">MTG_PL_PSA_6M </stp>
        <stp>[Copy of 02_cpr_main.xlsx]data!R501C15</stp>
        <tr r="O501" s="2"/>
      </tp>
      <tp>
        <v>6.1</v>
        <stp/>
        <stp>##V3_BDPV12</stp>
        <stp>36291GYR1 Mtge</stp>
        <stp xml:space="preserve">MTG_PL_PSA_1M </stp>
        <stp>[Copy of 02_cpr_main.xlsx]data!R501C13</stp>
        <tr r="M501" s="2"/>
      </tp>
      <tp>
        <v>24.67</v>
        <stp/>
        <stp>##V3_BDPV12</stp>
        <stp>3128JMFN2 Mtge</stp>
        <stp>MTG_PREPAY_SPEED</stp>
        <stp>[Copy of 02_cpr_main.xlsx]data!R68C12</stp>
        <tr r="L68" s="2"/>
      </tp>
      <tp>
        <v>5.9</v>
        <stp/>
        <stp>##V3_BDPV12</stp>
        <stp>36291GYR1 Mtge</stp>
        <stp xml:space="preserve">MTG_PL_PSA_3M </stp>
        <stp>[Copy of 02_cpr_main.xlsx]data!R501C14</stp>
        <tr r="N501" s="2"/>
      </tp>
      <tp t="s">
        <v>#N/A N/A</v>
        <stp/>
        <stp>##V3_BDPV12</stp>
        <stp>3128GWF37 Mtge</stp>
        <stp>MTG_PREPAY_SPEED</stp>
        <stp>[Copy of 02_cpr_main.xlsx]data!R63C12</stp>
        <tr r="L63" s="2"/>
      </tp>
      <tp>
        <v>0.26</v>
        <stp/>
        <stp>##V3_BDPV12</stp>
        <stp>3128NGF75 Mtge</stp>
        <stp>MTG_PREPAY_SPEED</stp>
        <stp>[Copy of 02_cpr_main.xlsx]data!R99C12</stp>
        <tr r="L99" s="2"/>
      </tp>
      <tp>
        <v>1666.7</v>
        <stp/>
        <stp>##V3_BDPV12</stp>
        <stp>31413AGJ6 Mtge</stp>
        <stp xml:space="preserve">MTG_PL_PSA_6M </stp>
        <stp>[Copy of 02_cpr_main.xlsx]data!R416C15</stp>
        <tr r="O416" s="2"/>
      </tp>
      <tp>
        <v>1666.7</v>
        <stp/>
        <stp>##V3_BDPV12</stp>
        <stp>31413AGJ6 Mtge</stp>
        <stp xml:space="preserve">MTG_PL_PSA_1M </stp>
        <stp>[Copy of 02_cpr_main.xlsx]data!R416C13</stp>
        <tr r="M416" s="2"/>
      </tp>
      <tp>
        <v>1666.7</v>
        <stp/>
        <stp>##V3_BDPV12</stp>
        <stp>31413AGJ6 Mtge</stp>
        <stp xml:space="preserve">MTG_PL_PSA_3M </stp>
        <stp>[Copy of 02_cpr_main.xlsx]data!R416C14</stp>
        <tr r="N416" s="2"/>
      </tp>
      <tp>
        <v>0</v>
        <stp/>
        <stp>##V3_BDPV12</stp>
        <stp>31400AMX3 Mtge</stp>
        <stp xml:space="preserve">MTG_PL_PSA_1M </stp>
        <stp>[Copy of 02_cpr_main.xlsx]data!R244C13</stp>
        <tr r="M244" s="2"/>
      </tp>
      <tp t="s">
        <v>#N/A N/A</v>
        <stp/>
        <stp>##V3_BDPV12</stp>
        <stp>3128GGGX5 Mtge</stp>
        <stp>MTG_PREPAY_SPEED</stp>
        <stp>[Copy of 02_cpr_main.xlsx]data!R56C12</stp>
        <tr r="L56" s="2"/>
      </tp>
      <tp>
        <v>1643.1</v>
        <stp/>
        <stp>##V3_BDPV12</stp>
        <stp>31400AMX3 Mtge</stp>
        <stp xml:space="preserve">MTG_PL_PSA_3M </stp>
        <stp>[Copy of 02_cpr_main.xlsx]data!R244C14</stp>
        <tr r="N244" s="2"/>
      </tp>
      <tp>
        <v>1513.7</v>
        <stp/>
        <stp>##V3_BDPV12</stp>
        <stp>31400AMX3 Mtge</stp>
        <stp xml:space="preserve">MTG_PL_PSA_6M </stp>
        <stp>[Copy of 02_cpr_main.xlsx]data!R244C15</stp>
        <tr r="O244" s="2"/>
      </tp>
      <tp>
        <v>1333.8</v>
        <stp/>
        <stp>##V3_BDPV12</stp>
        <stp>31403ARS6 Mtge</stp>
        <stp xml:space="preserve">MTG_PL_PSA_6M </stp>
        <stp>[Copy of 02_cpr_main.xlsx]data!R291C15</stp>
        <tr r="O291" s="2"/>
      </tp>
      <tp>
        <v>1419.8</v>
        <stp/>
        <stp>##V3_BDPV12</stp>
        <stp>31403ARS6 Mtge</stp>
        <stp xml:space="preserve">MTG_PL_PSA_3M </stp>
        <stp>[Copy of 02_cpr_main.xlsx]data!R291C14</stp>
        <tr r="N291" s="2"/>
      </tp>
      <tp>
        <v>0</v>
        <stp/>
        <stp>##V3_BDPV12</stp>
        <stp>31403ARS6 Mtge</stp>
        <stp xml:space="preserve">MTG_PL_PSA_1M </stp>
        <stp>[Copy of 02_cpr_main.xlsx]data!R291C13</stp>
        <tr r="M291" s="2"/>
      </tp>
      <tp>
        <v>12.4</v>
        <stp/>
        <stp>##V3_BDPV12</stp>
        <stp>31405AZR7 Mtge</stp>
        <stp xml:space="preserve">MTG_PL_PSA_6M </stp>
        <stp>[Copy of 02_cpr_main.xlsx]data!R323C15</stp>
        <tr r="O323" s="2"/>
      </tp>
      <tp>
        <v>3.7</v>
        <stp/>
        <stp>##V3_BDPV12</stp>
        <stp>31411AYF6 Mtge</stp>
        <stp xml:space="preserve">MTG_PL_PSA_6M </stp>
        <stp>[Copy of 02_cpr_main.xlsx]data!R390C15</stp>
        <tr r="O390" s="2"/>
      </tp>
      <tp>
        <v>6.3</v>
        <stp/>
        <stp>##V3_BDPV12</stp>
        <stp>31411AYF6 Mtge</stp>
        <stp xml:space="preserve">MTG_PL_PSA_1M </stp>
        <stp>[Copy of 02_cpr_main.xlsx]data!R390C13</stp>
        <tr r="M390" s="2"/>
      </tp>
      <tp>
        <v>7</v>
        <stp/>
        <stp>##V3_BDPV12</stp>
        <stp>31405AZR7 Mtge</stp>
        <stp xml:space="preserve">MTG_PL_PSA_3M </stp>
        <stp>[Copy of 02_cpr_main.xlsx]data!R323C14</stp>
        <tr r="N323" s="2"/>
      </tp>
      <tp>
        <v>5.7</v>
        <stp/>
        <stp>##V3_BDPV12</stp>
        <stp>31411AYF6 Mtge</stp>
        <stp xml:space="preserve">MTG_PL_PSA_3M </stp>
        <stp>[Copy of 02_cpr_main.xlsx]data!R390C14</stp>
        <tr r="N390" s="2"/>
      </tp>
      <tp>
        <v>5</v>
        <stp/>
        <stp>##V3_BDPV12</stp>
        <stp>31405AZR7 Mtge</stp>
        <stp xml:space="preserve">MTG_PL_PSA_1M </stp>
        <stp>[Copy of 02_cpr_main.xlsx]data!R323C13</stp>
        <tr r="M323" s="2"/>
      </tp>
      <tp>
        <v>104.6</v>
        <stp/>
        <stp>##V3_BDPV12</stp>
        <stp>31401A3J4 Mtge</stp>
        <stp xml:space="preserve">MTG_PL_PSA_6M </stp>
        <stp>[Copy of 02_cpr_main.xlsx]data!R252C15</stp>
        <tr r="O252" s="2"/>
      </tp>
      <tp>
        <v>0</v>
        <stp/>
        <stp>##V3_BDPV12</stp>
        <stp>31415A3C3 Mtge</stp>
        <stp xml:space="preserve">MTG_PL_PSA_1M </stp>
        <stp>[Copy of 02_cpr_main.xlsx]data!R446C13</stp>
        <tr r="M446" s="2"/>
      </tp>
      <tp>
        <v>0</v>
        <stp/>
        <stp>##V3_BDPV12</stp>
        <stp>31415A3C3 Mtge</stp>
        <stp xml:space="preserve">MTG_PL_PSA_3M </stp>
        <stp>[Copy of 02_cpr_main.xlsx]data!R446C14</stp>
        <tr r="N446" s="2"/>
      </tp>
      <tp>
        <v>180.6</v>
        <stp/>
        <stp>##V3_BDPV12</stp>
        <stp>31401A3J4 Mtge</stp>
        <stp xml:space="preserve">MTG_PL_PSA_3M </stp>
        <stp>[Copy of 02_cpr_main.xlsx]data!R252C14</stp>
        <tr r="N252" s="2"/>
      </tp>
      <tp>
        <v>0</v>
        <stp/>
        <stp>##V3_BDPV12</stp>
        <stp>31415A3C3 Mtge</stp>
        <stp xml:space="preserve">MTG_PL_PSA_6M </stp>
        <stp>[Copy of 02_cpr_main.xlsx]data!R446C15</stp>
        <tr r="O446" s="2"/>
      </tp>
      <tp>
        <v>13.3</v>
        <stp/>
        <stp>##V3_BDPV12</stp>
        <stp>31401A3J4 Mtge</stp>
        <stp xml:space="preserve">MTG_PL_PSA_1M </stp>
        <stp>[Copy of 02_cpr_main.xlsx]data!R252C13</stp>
        <tr r="M252" s="2"/>
      </tp>
      <tp>
        <v>1</v>
        <stp/>
        <stp>##V3_BDPV12</stp>
        <stp>36291ACW7 Mtge</stp>
        <stp xml:space="preserve">MTG_PL_PSA_6M </stp>
        <stp>[Copy of 02_cpr_main.xlsx]data!R499C15</stp>
        <tr r="O499" s="2"/>
      </tp>
      <tp>
        <v>889</v>
        <stp/>
        <stp>##V3_BDPV12</stp>
        <stp>31402FFF7 Mtge</stp>
        <stp xml:space="preserve">MTG_PL_PSA_3M </stp>
        <stp>[Copy of 02_cpr_main.xlsx]data!R271C14</stp>
        <tr r="N271" s="2"/>
      </tp>
      <tp>
        <v>0</v>
        <stp/>
        <stp>##V3_BDPV12</stp>
        <stp>31402FFF7 Mtge</stp>
        <stp xml:space="preserve">MTG_PL_PSA_1M </stp>
        <stp>[Copy of 02_cpr_main.xlsx]data!R271C13</stp>
        <tr r="M271" s="2"/>
      </tp>
      <tp>
        <v>1</v>
        <stp/>
        <stp>##V3_BDPV12</stp>
        <stp>36291ACW7 Mtge</stp>
        <stp xml:space="preserve">MTG_PL_PSA_3M </stp>
        <stp>[Copy of 02_cpr_main.xlsx]data!R499C14</stp>
        <tr r="N499" s="2"/>
      </tp>
      <tp>
        <v>1005.6</v>
        <stp/>
        <stp>##V3_BDPV12</stp>
        <stp>31402FFF7 Mtge</stp>
        <stp xml:space="preserve">MTG_PL_PSA_6M </stp>
        <stp>[Copy of 02_cpr_main.xlsx]data!R271C15</stp>
        <tr r="O271" s="2"/>
      </tp>
      <tp>
        <v>1.1000000000000001</v>
        <stp/>
        <stp>##V3_BDPV12</stp>
        <stp>36291ACW7 Mtge</stp>
        <stp xml:space="preserve">MTG_PL_PSA_1M </stp>
        <stp>[Copy of 02_cpr_main.xlsx]data!R499C13</stp>
        <tr r="M499" s="2"/>
      </tp>
      <tp>
        <v>5</v>
        <stp/>
        <stp>##V3_BDPV12</stp>
        <stp>36291AM48 Mtge</stp>
        <stp xml:space="preserve">MTG_PL_PSA_1M </stp>
        <stp>[Copy of 02_cpr_main.xlsx]data!R500C13</stp>
        <tr r="M500" s="2"/>
      </tp>
      <tp>
        <v>1666.7</v>
        <stp/>
        <stp>##V3_BDPV12</stp>
        <stp>31293FJZ1 Mtge</stp>
        <stp xml:space="preserve">MTG_PL_PSA_3M </stp>
        <stp>[Copy of 02_cpr_main.xlsx]data!R121C14</stp>
        <tr r="N121" s="2"/>
      </tp>
      <tp>
        <v>1666.7</v>
        <stp/>
        <stp>##V3_BDPV12</stp>
        <stp>31414FKG5 Mtge</stp>
        <stp xml:space="preserve">MTG_PL_PSA_1M </stp>
        <stp>[Copy of 02_cpr_main.xlsx]data!R437C13</stp>
        <tr r="M437" s="2"/>
      </tp>
      <tp>
        <v>9.1999999999999993</v>
        <stp/>
        <stp>##V3_BDPV12</stp>
        <stp>36291AM48 Mtge</stp>
        <stp xml:space="preserve">MTG_PL_PSA_3M </stp>
        <stp>[Copy of 02_cpr_main.xlsx]data!R500C14</stp>
        <tr r="N500" s="2"/>
      </tp>
      <tp>
        <v>1666.7</v>
        <stp/>
        <stp>##V3_BDPV12</stp>
        <stp>31293FJZ1 Mtge</stp>
        <stp xml:space="preserve">MTG_PL_PSA_1M </stp>
        <stp>[Copy of 02_cpr_main.xlsx]data!R121C13</stp>
        <tr r="M121" s="2"/>
      </tp>
      <tp>
        <v>1666.7</v>
        <stp/>
        <stp>##V3_BDPV12</stp>
        <stp>31414FKG5 Mtge</stp>
        <stp xml:space="preserve">MTG_PL_PSA_3M </stp>
        <stp>[Copy of 02_cpr_main.xlsx]data!R437C14</stp>
        <tr r="N437" s="2"/>
      </tp>
      <tp>
        <v>1666.7</v>
        <stp/>
        <stp>##V3_BDPV12</stp>
        <stp>31293FJZ1 Mtge</stp>
        <stp xml:space="preserve">MTG_PL_PSA_6M </stp>
        <stp>[Copy of 02_cpr_main.xlsx]data!R121C15</stp>
        <tr r="O121" s="2"/>
      </tp>
      <tp>
        <v>1666.7</v>
        <stp/>
        <stp>##V3_BDPV12</stp>
        <stp>31414FKG5 Mtge</stp>
        <stp xml:space="preserve">MTG_PL_PSA_6M </stp>
        <stp>[Copy of 02_cpr_main.xlsx]data!R437C15</stp>
        <tr r="O437" s="2"/>
      </tp>
      <tp>
        <v>10.1</v>
        <stp/>
        <stp>##V3_BDPV12</stp>
        <stp>36291AM48 Mtge</stp>
        <stp xml:space="preserve">MTG_PL_PSA_6M </stp>
        <stp>[Copy of 02_cpr_main.xlsx]data!R500C15</stp>
        <tr r="O500" s="2"/>
      </tp>
      <tp>
        <v>5.6</v>
        <stp/>
        <stp>##V3_BDPV12</stp>
        <stp>31414FPH8 Mtge</stp>
        <stp xml:space="preserve">MTG_PL_PSA_3M </stp>
        <stp>[Copy of 02_cpr_main.xlsx]data!R438C14</stp>
        <tr r="N438" s="2"/>
      </tp>
      <tp>
        <v>5.8</v>
        <stp/>
        <stp>##V3_BDPV12</stp>
        <stp>31414FPH8 Mtge</stp>
        <stp xml:space="preserve">MTG_PL_PSA_1M </stp>
        <stp>[Copy of 02_cpr_main.xlsx]data!R438C13</stp>
        <tr r="M438" s="2"/>
      </tp>
      <tp>
        <v>5.5</v>
        <stp/>
        <stp>##V3_BDPV12</stp>
        <stp>31414FPH8 Mtge</stp>
        <stp xml:space="preserve">MTG_PL_PSA_6M </stp>
        <stp>[Copy of 02_cpr_main.xlsx]data!R438C15</stp>
        <tr r="O438" s="2"/>
      </tp>
      <tp>
        <v>209</v>
        <stp/>
        <stp>##V3_BDPV12</stp>
        <stp>01F060444 Mtge</stp>
        <stp>MTG_PREPAY_SPEED</stp>
        <stp>[Copy of 02_cpr_main.xlsx]data!R10C12</stp>
        <tr r="L10" s="2"/>
      </tp>
      <tp>
        <v>1662.5</v>
        <stp/>
        <stp>##V3_BDPV12</stp>
        <stp>31374F2P3 Mtge</stp>
        <stp xml:space="preserve">MTG_PL_PSA_3M </stp>
        <stp>[Copy of 02_cpr_main.xlsx]data!R182C14</stp>
        <tr r="N182" s="2"/>
      </tp>
      <tp>
        <v>57.7</v>
        <stp/>
        <stp>##V3_BDPV12</stp>
        <stp>31410F2Z7 Mtge</stp>
        <stp xml:space="preserve">MTG_PL_PSA_6M </stp>
        <stp>[Copy of 02_cpr_main.xlsx]data!R362C15</stp>
        <tr r="O362" s="2"/>
      </tp>
      <tp>
        <v>309.39999999999998</v>
        <stp/>
        <stp>##V3_BDPV12</stp>
        <stp>36225A3K4 Mtge</stp>
        <stp xml:space="preserve">MTG_PL_PSA_6M </stp>
        <stp>[Copy of 02_cpr_main.xlsx]data!R489C15</stp>
        <tr r="O489" s="2"/>
      </tp>
      <tp>
        <v>1665.8</v>
        <stp/>
        <stp>##V3_BDPV12</stp>
        <stp>31403F6S8 Mtge</stp>
        <stp xml:space="preserve">MTG_PL_PSA_3M </stp>
        <stp>[Copy of 02_cpr_main.xlsx]data!R306C14</stp>
        <tr r="N306" s="2"/>
      </tp>
      <tp>
        <v>3.3</v>
        <stp/>
        <stp>##V3_BDPV12</stp>
        <stp>31410F6J9 Mtge</stp>
        <stp xml:space="preserve">MTG_PL_PSA_3M </stp>
        <stp>[Copy of 02_cpr_main.xlsx]data!R363C14</stp>
        <tr r="N363" s="2"/>
      </tp>
      <tp>
        <v>0</v>
        <stp/>
        <stp>##V3_BDPV12</stp>
        <stp>31374F2P3 Mtge</stp>
        <stp xml:space="preserve">MTG_PL_PSA_1M </stp>
        <stp>[Copy of 02_cpr_main.xlsx]data!R182C13</stp>
        <tr r="M182" s="2"/>
      </tp>
      <tp>
        <v>0</v>
        <stp/>
        <stp>##V3_BDPV12</stp>
        <stp>31403F6S8 Mtge</stp>
        <stp xml:space="preserve">MTG_PL_PSA_1M </stp>
        <stp>[Copy of 02_cpr_main.xlsx]data!R306C13</stp>
        <tr r="M306" s="2"/>
      </tp>
      <tp>
        <v>3.4</v>
        <stp/>
        <stp>##V3_BDPV12</stp>
        <stp>31410F6J9 Mtge</stp>
        <stp xml:space="preserve">MTG_PL_PSA_1M </stp>
        <stp>[Copy of 02_cpr_main.xlsx]data!R363C13</stp>
        <tr r="M363" s="2"/>
      </tp>
      <tp>
        <v>1625.8</v>
        <stp/>
        <stp>##V3_BDPV12</stp>
        <stp>31403F6S8 Mtge</stp>
        <stp xml:space="preserve">MTG_PL_PSA_6M </stp>
        <stp>[Copy of 02_cpr_main.xlsx]data!R306C15</stp>
        <tr r="O306" s="2"/>
      </tp>
      <tp>
        <v>3.2</v>
        <stp/>
        <stp>##V3_BDPV12</stp>
        <stp>31410F6J9 Mtge</stp>
        <stp xml:space="preserve">MTG_PL_PSA_6M </stp>
        <stp>[Copy of 02_cpr_main.xlsx]data!R363C15</stp>
        <tr r="O363" s="2"/>
      </tp>
      <tp>
        <v>1615</v>
        <stp/>
        <stp>##V3_BDPV12</stp>
        <stp>31374F2P3 Mtge</stp>
        <stp xml:space="preserve">MTG_PL_PSA_6M </stp>
        <stp>[Copy of 02_cpr_main.xlsx]data!R182C15</stp>
        <tr r="O182" s="2"/>
      </tp>
      <tp>
        <v>11.1</v>
        <stp/>
        <stp>##V3_BDPV12</stp>
        <stp>31410F2Z7 Mtge</stp>
        <stp xml:space="preserve">MTG_PL_PSA_3M </stp>
        <stp>[Copy of 02_cpr_main.xlsx]data!R362C14</stp>
        <tr r="N362" s="2"/>
      </tp>
      <tp>
        <v>362.8</v>
        <stp/>
        <stp>##V3_BDPV12</stp>
        <stp>36225A3K4 Mtge</stp>
        <stp xml:space="preserve">MTG_PL_PSA_3M </stp>
        <stp>[Copy of 02_cpr_main.xlsx]data!R489C14</stp>
        <tr r="N489" s="2"/>
      </tp>
      <tp>
        <v>9.8000000000000007</v>
        <stp/>
        <stp>##V3_BDPV12</stp>
        <stp>31410F2Z7 Mtge</stp>
        <stp xml:space="preserve">MTG_PL_PSA_1M </stp>
        <stp>[Copy of 02_cpr_main.xlsx]data!R362C13</stp>
        <tr r="M362" s="2"/>
      </tp>
      <tp>
        <v>281.39999999999998</v>
        <stp/>
        <stp>##V3_BDPV12</stp>
        <stp>36225A3K4 Mtge</stp>
        <stp xml:space="preserve">MTG_PL_PSA_1M </stp>
        <stp>[Copy of 02_cpr_main.xlsx]data!R489C13</stp>
        <tr r="M489" s="2"/>
      </tp>
      <tp>
        <v>743.9</v>
        <stp/>
        <stp>##V3_BDPV12</stp>
        <stp>31404GGN5 Mtge</stp>
        <stp xml:space="preserve">MTG_PL_PSA_3M </stp>
        <stp>[Copy of 02_cpr_main.xlsx]data!R313C14</stp>
        <tr r="N313" s="2"/>
      </tp>
      <tp>
        <v>0</v>
        <stp/>
        <stp>##V3_BDPV12</stp>
        <stp>31410GE66 Mtge</stp>
        <stp xml:space="preserve">MTG_PL_PSA_1M </stp>
        <stp>[Copy of 02_cpr_main.xlsx]data!R365C13</stp>
        <tr r="M365" s="2"/>
      </tp>
      <tp>
        <v>144.4</v>
        <stp/>
        <stp>##V3_BDPV12</stp>
        <stp>31406GDY2 Mtge</stp>
        <stp xml:space="preserve">MTG_PL_PSA_1M </stp>
        <stp>[Copy of 02_cpr_main.xlsx]data!R336C13</stp>
        <tr r="M336" s="2"/>
      </tp>
      <tp>
        <v>70.400000000000006</v>
        <stp/>
        <stp>##V3_BDPV12</stp>
        <stp>31410GFV0 Mtge</stp>
        <stp xml:space="preserve">MTG_PL_PSA_3M </stp>
        <stp>[Copy of 02_cpr_main.xlsx]data!R366C14</stp>
        <tr r="N366" s="2"/>
      </tp>
      <tp>
        <v>1666.7</v>
        <stp/>
        <stp>##V3_BDPV12</stp>
        <stp>31411GDL3 Mtge</stp>
        <stp xml:space="preserve">MTG_PL_PSA_1M </stp>
        <stp>[Copy of 02_cpr_main.xlsx]data!R391C13</stp>
        <tr r="M391" s="2"/>
      </tp>
      <tp>
        <v>0</v>
        <stp/>
        <stp>##V3_BDPV12</stp>
        <stp>31404GGN5 Mtge</stp>
        <stp xml:space="preserve">MTG_PL_PSA_1M </stp>
        <stp>[Copy of 02_cpr_main.xlsx]data!R313C13</stp>
        <tr r="M313" s="2"/>
      </tp>
      <tp>
        <v>1605.4</v>
        <stp/>
        <stp>##V3_BDPV12</stp>
        <stp>31410GE66 Mtge</stp>
        <stp xml:space="preserve">MTG_PL_PSA_3M </stp>
        <stp>[Copy of 02_cpr_main.xlsx]data!R365C14</stp>
        <tr r="N365" s="2"/>
      </tp>
      <tp>
        <v>140.69999999999999</v>
        <stp/>
        <stp>##V3_BDPV12</stp>
        <stp>31406GDY2 Mtge</stp>
        <stp xml:space="preserve">MTG_PL_PSA_3M </stp>
        <stp>[Copy of 02_cpr_main.xlsx]data!R336C14</stp>
        <tr r="N336" s="2"/>
      </tp>
      <tp>
        <v>66.900000000000006</v>
        <stp/>
        <stp>##V3_BDPV12</stp>
        <stp>31410GFV0 Mtge</stp>
        <stp xml:space="preserve">MTG_PL_PSA_1M </stp>
        <stp>[Copy of 02_cpr_main.xlsx]data!R366C13</stp>
        <tr r="M366" s="2"/>
      </tp>
      <tp>
        <v>1666.7</v>
        <stp/>
        <stp>##V3_BDPV12</stp>
        <stp>31411GDL3 Mtge</stp>
        <stp xml:space="preserve">MTG_PL_PSA_3M </stp>
        <stp>[Copy of 02_cpr_main.xlsx]data!R391C14</stp>
        <tr r="N391" s="2"/>
      </tp>
      <tp>
        <v>86.4</v>
        <stp/>
        <stp>##V3_BDPV12</stp>
        <stp>31410GFV0 Mtge</stp>
        <stp xml:space="preserve">MTG_PL_PSA_6M </stp>
        <stp>[Copy of 02_cpr_main.xlsx]data!R366C15</stp>
        <tr r="O366" s="2"/>
      </tp>
      <tp>
        <v>1064.7</v>
        <stp/>
        <stp>##V3_BDPV12</stp>
        <stp>31404GGN5 Mtge</stp>
        <stp xml:space="preserve">MTG_PL_PSA_6M </stp>
        <stp>[Copy of 02_cpr_main.xlsx]data!R313C15</stp>
        <tr r="O313" s="2"/>
      </tp>
      <tp>
        <v>135.4</v>
        <stp/>
        <stp>##V3_BDPV12</stp>
        <stp>31406GDY2 Mtge</stp>
        <stp xml:space="preserve">MTG_PL_PSA_6M </stp>
        <stp>[Copy of 02_cpr_main.xlsx]data!R336C15</stp>
        <tr r="O336" s="2"/>
      </tp>
      <tp>
        <v>1666.7</v>
        <stp/>
        <stp>##V3_BDPV12</stp>
        <stp>31411GDL3 Mtge</stp>
        <stp xml:space="preserve">MTG_PL_PSA_6M </stp>
        <stp>[Copy of 02_cpr_main.xlsx]data!R391C15</stp>
        <tr r="O391" s="2"/>
      </tp>
      <tp>
        <v>1656.4</v>
        <stp/>
        <stp>##V3_BDPV12</stp>
        <stp>31410GE66 Mtge</stp>
        <stp xml:space="preserve">MTG_PL_PSA_6M </stp>
        <stp>[Copy of 02_cpr_main.xlsx]data!R365C15</stp>
        <tr r="O365" s="2"/>
      </tp>
      <tp>
        <v>1666.7</v>
        <stp/>
        <stp>##V3_BDPV12</stp>
        <stp>31413GMM9 Mtge</stp>
        <stp xml:space="preserve">MTG_PL_PSA_6M </stp>
        <stp>[Copy of 02_cpr_main.xlsx]data!R420C15</stp>
        <tr r="O420" s="2"/>
      </tp>
      <tp>
        <v>0</v>
        <stp/>
        <stp>##V3_BDPV12</stp>
        <stp>31401GLF9 Mtge</stp>
        <stp xml:space="preserve">MTG_PL_PSA_1M </stp>
        <stp>[Copy of 02_cpr_main.xlsx]data!R253C13</stp>
        <tr r="M253" s="2"/>
      </tp>
      <tp>
        <v>1427.7</v>
        <stp/>
        <stp>##V3_BDPV12</stp>
        <stp>31410GJB0 Mtge</stp>
        <stp xml:space="preserve">MTG_PL_PSA_6M </stp>
        <stp>[Copy of 02_cpr_main.xlsx]data!R369C15</stp>
        <tr r="O369" s="2"/>
      </tp>
      <tp t="s">
        <v>#N/A N/A</v>
        <stp/>
        <stp>##V3_BDPV12</stp>
        <stp>3128GDAZ3 Mtge</stp>
        <stp>MTG_PREPAY_SPEED</stp>
        <stp>[Copy of 02_cpr_main.xlsx]data!R44C12</stp>
        <tr r="L44" s="2"/>
      </tp>
      <tp>
        <v>520.79999999999995</v>
        <stp/>
        <stp>##V3_BDPV12</stp>
        <stp>31380GNU9 Mtge</stp>
        <stp xml:space="preserve">MTG_PL_PSA_6M </stp>
        <stp>[Copy of 02_cpr_main.xlsx]data!R191C15</stp>
        <tr r="O191" s="2"/>
      </tp>
      <tp>
        <v>1095.9000000000001</v>
        <stp/>
        <stp>##V3_BDPV12</stp>
        <stp>31374GNK9 Mtge</stp>
        <stp xml:space="preserve">MTG_PL_PSA_6M </stp>
        <stp>[Copy of 02_cpr_main.xlsx]data!R184C15</stp>
        <tr r="O184" s="2"/>
      </tp>
      <tp>
        <v>96.4</v>
        <stp/>
        <stp>##V3_BDPV12</stp>
        <stp>31410GHN6 Mtge</stp>
        <stp xml:space="preserve">MTG_PL_PSA_6M </stp>
        <stp>[Copy of 02_cpr_main.xlsx]data!R368C15</stp>
        <tr r="O368" s="2"/>
      </tp>
      <tp>
        <v>1391.7</v>
        <stp/>
        <stp>##V3_BDPV12</stp>
        <stp>31401GLF9 Mtge</stp>
        <stp xml:space="preserve">MTG_PL_PSA_3M </stp>
        <stp>[Copy of 02_cpr_main.xlsx]data!R253C14</stp>
        <tr r="N253" s="2"/>
      </tp>
      <tp>
        <v>170</v>
        <stp/>
        <stp>##V3_BDPV12</stp>
        <stp>3128M6AX6 Mtge</stp>
        <stp>MTG_PREPAY_SPEED</stp>
        <stp>[Copy of 02_cpr_main.xlsx]data!R87C12</stp>
        <tr r="L87" s="2"/>
      </tp>
      <tp>
        <v>1329.8</v>
        <stp/>
        <stp>##V3_BDPV12</stp>
        <stp>31410GH97 Mtge</stp>
        <stp xml:space="preserve">MTG_PL_PSA_6M </stp>
        <stp>[Copy of 02_cpr_main.xlsx]data!R367C15</stp>
        <tr r="O367" s="2"/>
      </tp>
      <tp>
        <v>751</v>
        <stp/>
        <stp>##V3_BDPV12</stp>
        <stp>31374GLZ8 Mtge</stp>
        <stp xml:space="preserve">MTG_PL_PSA_6M </stp>
        <stp>[Copy of 02_cpr_main.xlsx]data!R183C15</stp>
        <tr r="O183" s="2"/>
      </tp>
      <tp>
        <v>5</v>
        <stp/>
        <stp>##V3_BDPV12</stp>
        <stp>3128QGMM1 Mtge</stp>
        <stp xml:space="preserve">MTG_PL_PSA_6M </stp>
        <stp>[Copy of 02_cpr_main.xlsx]data!R107C15</stp>
        <tr r="O107" s="2"/>
      </tp>
      <tp>
        <v>186</v>
        <stp/>
        <stp>##V3_BDPV12</stp>
        <stp>3128KDAY1 Mtge</stp>
        <stp>MTG_PREPAY_SPEED</stp>
        <stp>[Copy of 02_cpr_main.xlsx]data!R74C12</stp>
        <tr r="L74" s="2"/>
      </tp>
      <tp>
        <v>860.5</v>
        <stp/>
        <stp>##V3_BDPV12</stp>
        <stp>31374GLZ8 Mtge</stp>
        <stp xml:space="preserve">MTG_PL_PSA_1M </stp>
        <stp>[Copy of 02_cpr_main.xlsx]data!R183C13</stp>
        <tr r="M183" s="2"/>
      </tp>
      <tp>
        <v>258.60000000000002</v>
        <stp/>
        <stp>##V3_BDPV12</stp>
        <stp>31380GNU9 Mtge</stp>
        <stp xml:space="preserve">MTG_PL_PSA_3M </stp>
        <stp>[Copy of 02_cpr_main.xlsx]data!R191C14</stp>
        <tr r="N191" s="2"/>
      </tp>
      <tp>
        <v>0.4</v>
        <stp/>
        <stp>##V3_BDPV12</stp>
        <stp>3128QGMM1 Mtge</stp>
        <stp xml:space="preserve">MTG_PL_PSA_1M </stp>
        <stp>[Copy of 02_cpr_main.xlsx]data!R107C13</stp>
        <tr r="M107" s="2"/>
      </tp>
      <tp>
        <v>1377.2</v>
        <stp/>
        <stp>##V3_BDPV12</stp>
        <stp>31374GNK9 Mtge</stp>
        <stp xml:space="preserve">MTG_PL_PSA_3M </stp>
        <stp>[Copy of 02_cpr_main.xlsx]data!R184C14</stp>
        <tr r="N184" s="2"/>
      </tp>
      <tp>
        <v>1666.7</v>
        <stp/>
        <stp>##V3_BDPV12</stp>
        <stp>31413GMM9 Mtge</stp>
        <stp xml:space="preserve">MTG_PL_PSA_3M </stp>
        <stp>[Copy of 02_cpr_main.xlsx]data!R420C14</stp>
        <tr r="N420" s="2"/>
      </tp>
      <tp>
        <v>86.8</v>
        <stp/>
        <stp>##V3_BDPV12</stp>
        <stp>31410GHN6 Mtge</stp>
        <stp xml:space="preserve">MTG_PL_PSA_1M </stp>
        <stp>[Copy of 02_cpr_main.xlsx]data!R368C13</stp>
        <tr r="M368" s="2"/>
      </tp>
      <tp>
        <v>1147</v>
        <stp/>
        <stp>##V3_BDPV12</stp>
        <stp>31410GJB0 Mtge</stp>
        <stp xml:space="preserve">MTG_PL_PSA_3M </stp>
        <stp>[Copy of 02_cpr_main.xlsx]data!R369C14</stp>
        <tr r="N369" s="2"/>
      </tp>
      <tp>
        <v>0</v>
        <stp/>
        <stp>##V3_BDPV12</stp>
        <stp>31410GH97 Mtge</stp>
        <stp xml:space="preserve">MTG_PL_PSA_1M </stp>
        <stp>[Copy of 02_cpr_main.xlsx]data!R367C13</stp>
        <tr r="M367" s="2"/>
      </tp>
      <tp>
        <v>0</v>
        <stp/>
        <stp>##V3_BDPV12</stp>
        <stp>31380GNU9 Mtge</stp>
        <stp xml:space="preserve">MTG_PL_PSA_1M </stp>
        <stp>[Copy of 02_cpr_main.xlsx]data!R191C13</stp>
        <tr r="M191" s="2"/>
      </tp>
      <tp>
        <v>881.7</v>
        <stp/>
        <stp>##V3_BDPV12</stp>
        <stp>31374GLZ8 Mtge</stp>
        <stp xml:space="preserve">MTG_PL_PSA_3M </stp>
        <stp>[Copy of 02_cpr_main.xlsx]data!R183C14</stp>
        <tr r="N183" s="2"/>
      </tp>
      <tp>
        <v>563.29999999999995</v>
        <stp/>
        <stp>##V3_BDPV12</stp>
        <stp>31374GNK9 Mtge</stp>
        <stp xml:space="preserve">MTG_PL_PSA_1M </stp>
        <stp>[Copy of 02_cpr_main.xlsx]data!R184C13</stp>
        <tr r="M184" s="2"/>
      </tp>
      <tp>
        <v>9.9</v>
        <stp/>
        <stp>##V3_BDPV12</stp>
        <stp>3128QGMM1 Mtge</stp>
        <stp xml:space="preserve">MTG_PL_PSA_3M </stp>
        <stp>[Copy of 02_cpr_main.xlsx]data!R107C14</stp>
        <tr r="N107" s="2"/>
      </tp>
      <tp>
        <v>1666.7</v>
        <stp/>
        <stp>##V3_BDPV12</stp>
        <stp>31413GMM9 Mtge</stp>
        <stp xml:space="preserve">MTG_PL_PSA_1M </stp>
        <stp>[Copy of 02_cpr_main.xlsx]data!R420C13</stp>
        <tr r="M420" s="2"/>
      </tp>
      <tp>
        <v>78.5</v>
        <stp/>
        <stp>##V3_BDPV12</stp>
        <stp>31410GHN6 Mtge</stp>
        <stp xml:space="preserve">MTG_PL_PSA_3M </stp>
        <stp>[Copy of 02_cpr_main.xlsx]data!R368C14</stp>
        <tr r="N368" s="2"/>
      </tp>
      <tp>
        <v>1253.0999999999999</v>
        <stp/>
        <stp>##V3_BDPV12</stp>
        <stp>31401GLF9 Mtge</stp>
        <stp xml:space="preserve">MTG_PL_PSA_6M </stp>
        <stp>[Copy of 02_cpr_main.xlsx]data!R253C15</stp>
        <tr r="O253" s="2"/>
      </tp>
      <tp>
        <v>0</v>
        <stp/>
        <stp>##V3_BDPV12</stp>
        <stp>31410GJB0 Mtge</stp>
        <stp xml:space="preserve">MTG_PL_PSA_1M </stp>
        <stp>[Copy of 02_cpr_main.xlsx]data!R369C13</stp>
        <tr r="M369" s="2"/>
      </tp>
      <tp>
        <v>899.8</v>
        <stp/>
        <stp>##V3_BDPV12</stp>
        <stp>31410GH97 Mtge</stp>
        <stp xml:space="preserve">MTG_PL_PSA_3M </stp>
        <stp>[Copy of 02_cpr_main.xlsx]data!R367C14</stp>
        <tr r="N367" s="2"/>
      </tp>
      <tp>
        <v>176.3</v>
        <stp/>
        <stp>##V3_BDPV12</stp>
        <stp>31410GRM7 Mtge</stp>
        <stp xml:space="preserve">MTG_PL_PSA_6M </stp>
        <stp>[Copy of 02_cpr_main.xlsx]data!R371C15</stp>
        <tr r="O371" s="2"/>
      </tp>
      <tp>
        <v>138.69999999999999</v>
        <stp/>
        <stp>##V3_BDPV12</stp>
        <stp>31410GRN5 Mtge</stp>
        <stp xml:space="preserve">MTG_PL_PSA_6M </stp>
        <stp>[Copy of 02_cpr_main.xlsx]data!R372C15</stp>
        <tr r="O372" s="2"/>
      </tp>
      <tp>
        <v>1666.7</v>
        <stp/>
        <stp>##V3_BDPV12</stp>
        <stp>31412GSR3 Mtge</stp>
        <stp xml:space="preserve">MTG_PL_PSA_1M </stp>
        <stp>[Copy of 02_cpr_main.xlsx]data!R407C13</stp>
        <tr r="M407" s="2"/>
      </tp>
      <tp>
        <v>1666.7</v>
        <stp/>
        <stp>##V3_BDPV12</stp>
        <stp>31411GP30 Mtge</stp>
        <stp xml:space="preserve">MTG_PL_PSA_6M </stp>
        <stp>[Copy of 02_cpr_main.xlsx]data!R392C15</stp>
        <tr r="O392" s="2"/>
      </tp>
      <tp>
        <v>1666.7</v>
        <stp/>
        <stp>##V3_BDPV12</stp>
        <stp>31412GSR3 Mtge</stp>
        <stp xml:space="preserve">MTG_PL_PSA_3M </stp>
        <stp>[Copy of 02_cpr_main.xlsx]data!R407C14</stp>
        <tr r="N407" s="2"/>
      </tp>
      <tp>
        <v>139.1</v>
        <stp/>
        <stp>##V3_BDPV12</stp>
        <stp>31410GQ55 Mtge</stp>
        <stp xml:space="preserve">MTG_PL_PSA_6M </stp>
        <stp>[Copy of 02_cpr_main.xlsx]data!R370C15</stp>
        <tr r="O370" s="2"/>
      </tp>
      <tp>
        <v>105.6</v>
        <stp/>
        <stp>##V3_BDPV12</stp>
        <stp>31410GQ55 Mtge</stp>
        <stp xml:space="preserve">MTG_PL_PSA_1M </stp>
        <stp>[Copy of 02_cpr_main.xlsx]data!R370C13</stp>
        <tr r="M370" s="2"/>
      </tp>
      <tp>
        <v>39.4</v>
        <stp/>
        <stp>##V3_BDPV12</stp>
        <stp>31410GRM7 Mtge</stp>
        <stp xml:space="preserve">MTG_PL_PSA_3M </stp>
        <stp>[Copy of 02_cpr_main.xlsx]data!R371C14</stp>
        <tr r="N371" s="2"/>
      </tp>
      <tp>
        <v>151.9</v>
        <stp/>
        <stp>##V3_BDPV12</stp>
        <stp>31410GRN5 Mtge</stp>
        <stp xml:space="preserve">MTG_PL_PSA_3M </stp>
        <stp>[Copy of 02_cpr_main.xlsx]data!R372C14</stp>
        <tr r="N372" s="2"/>
      </tp>
      <tp>
        <v>1666.7</v>
        <stp/>
        <stp>##V3_BDPV12</stp>
        <stp>31411GP30 Mtge</stp>
        <stp xml:space="preserve">MTG_PL_PSA_1M </stp>
        <stp>[Copy of 02_cpr_main.xlsx]data!R392C13</stp>
        <tr r="M392" s="2"/>
      </tp>
      <tp>
        <v>1666.7</v>
        <stp/>
        <stp>##V3_BDPV12</stp>
        <stp>31412GSR3 Mtge</stp>
        <stp xml:space="preserve">MTG_PL_PSA_6M </stp>
        <stp>[Copy of 02_cpr_main.xlsx]data!R407C15</stp>
        <tr r="O407" s="2"/>
      </tp>
      <tp>
        <v>151.4</v>
        <stp/>
        <stp>##V3_BDPV12</stp>
        <stp>31410GQ55 Mtge</stp>
        <stp xml:space="preserve">MTG_PL_PSA_3M </stp>
        <stp>[Copy of 02_cpr_main.xlsx]data!R370C14</stp>
        <tr r="N370" s="2"/>
      </tp>
      <tp>
        <v>299.10000000000002</v>
        <stp/>
        <stp>##V3_BDPV12</stp>
        <stp>31410GRN5 Mtge</stp>
        <stp xml:space="preserve">MTG_PL_PSA_1M </stp>
        <stp>[Copy of 02_cpr_main.xlsx]data!R372C13</stp>
        <tr r="M372" s="2"/>
      </tp>
      <tp>
        <v>68.099999999999994</v>
        <stp/>
        <stp>##V3_BDPV12</stp>
        <stp>31410GRM7 Mtge</stp>
        <stp xml:space="preserve">MTG_PL_PSA_1M </stp>
        <stp>[Copy of 02_cpr_main.xlsx]data!R371C13</stp>
        <tr r="M371" s="2"/>
      </tp>
      <tp>
        <v>1666.7</v>
        <stp/>
        <stp>##V3_BDPV12</stp>
        <stp>31411GP30 Mtge</stp>
        <stp xml:space="preserve">MTG_PL_PSA_3M </stp>
        <stp>[Copy of 02_cpr_main.xlsx]data!R392C14</stp>
        <tr r="N392" s="2"/>
      </tp>
      <tp>
        <v>26.6</v>
        <stp/>
        <stp>##V3_BDPV12</stp>
        <stp>31292GYA8 Mtge</stp>
        <stp xml:space="preserve">MTG_PL_PSA_1M </stp>
        <stp>[Copy of 02_cpr_main.xlsx]data!R117C13</stp>
        <tr r="M117" s="2"/>
      </tp>
      <tp t="s">
        <v>#N/A N/A</v>
        <stp/>
        <stp>##V3_BDPV12</stp>
        <stp>3128GEAJ7 Mtge</stp>
        <stp>MTG_PREPAY_SPEED</stp>
        <stp>[Copy of 02_cpr_main.xlsx]data!R51C12</stp>
        <tr r="L51" s="2"/>
      </tp>
      <tp>
        <v>144.69999999999999</v>
        <stp/>
        <stp>##V3_BDPV12</stp>
        <stp>31292GY34 Mtge</stp>
        <stp xml:space="preserve">MTG_PL_PSA_1M </stp>
        <stp>[Copy of 02_cpr_main.xlsx]data!R116C13</stp>
        <tr r="M116" s="2"/>
      </tp>
      <tp>
        <v>4.7</v>
        <stp/>
        <stp>##V3_BDPV12</stp>
        <stp>31297GXZ9 Mtge</stp>
        <stp xml:space="preserve">MTG_PL_PSA_1M </stp>
        <stp>[Copy of 02_cpr_main.xlsx]data!R148C13</stp>
        <tr r="M148" s="2"/>
      </tp>
      <tp>
        <v>24.7</v>
        <stp/>
        <stp>##V3_BDPV12</stp>
        <stp>31292GYA8 Mtge</stp>
        <stp xml:space="preserve">MTG_PL_PSA_3M </stp>
        <stp>[Copy of 02_cpr_main.xlsx]data!R117C14</stp>
        <tr r="N117" s="2"/>
      </tp>
      <tp>
        <v>384.7</v>
        <stp/>
        <stp>##V3_BDPV12</stp>
        <stp>31292GY34 Mtge</stp>
        <stp xml:space="preserve">MTG_PL_PSA_3M </stp>
        <stp>[Copy of 02_cpr_main.xlsx]data!R116C14</stp>
        <tr r="N116" s="2"/>
      </tp>
      <tp>
        <v>4.2</v>
        <stp/>
        <stp>##V3_BDPV12</stp>
        <stp>31297GXZ9 Mtge</stp>
        <stp xml:space="preserve">MTG_PL_PSA_3M </stp>
        <stp>[Copy of 02_cpr_main.xlsx]data!R148C14</stp>
        <tr r="N148" s="2"/>
      </tp>
      <tp>
        <v>4</v>
        <stp/>
        <stp>##V3_BDPV12</stp>
        <stp>31297GXZ9 Mtge</stp>
        <stp xml:space="preserve">MTG_PL_PSA_6M </stp>
        <stp>[Copy of 02_cpr_main.xlsx]data!R148C15</stp>
        <tr r="O148" s="2"/>
      </tp>
      <tp>
        <v>1254.8</v>
        <stp/>
        <stp>##V3_BDPV12</stp>
        <stp>31292GYA8 Mtge</stp>
        <stp xml:space="preserve">MTG_PL_PSA_6M </stp>
        <stp>[Copy of 02_cpr_main.xlsx]data!R117C15</stp>
        <tr r="O117" s="2"/>
      </tp>
      <tp>
        <v>419.8</v>
        <stp/>
        <stp>##V3_BDPV12</stp>
        <stp>31292GY34 Mtge</stp>
        <stp xml:space="preserve">MTG_PL_PSA_6M </stp>
        <stp>[Copy of 02_cpr_main.xlsx]data!R116C15</stp>
        <tr r="O116" s="2"/>
      </tp>
      <tp t="s">
        <v>#N/A N/A</v>
        <stp/>
        <stp>##V3_BDPV12</stp>
        <stp>3128GFA62 Mtge</stp>
        <stp>MTG_PREPAY_SPEED</stp>
        <stp>[Copy of 02_cpr_main.xlsx]data!R53C12</stp>
        <tr r="L53" s="2"/>
      </tp>
      <tp t="s">
        <v>#N/A N/A</v>
        <stp/>
        <stp>##V3_BDPV12</stp>
        <stp>3128GGA78 Mtge</stp>
        <stp>MTG_PREPAY_SPEED</stp>
        <stp>[Copy of 02_cpr_main.xlsx]data!R54C12</stp>
        <tr r="L54" s="2"/>
      </tp>
      <tp>
        <v>513.29999999999995</v>
        <stp/>
        <stp>##V3_BDPV12</stp>
        <stp>31292G6T8 Mtge</stp>
        <stp xml:space="preserve">MTG_PL_PSA_6M </stp>
        <stp>[Copy of 02_cpr_main.xlsx]data!R115C15</stp>
        <tr r="O115" s="2"/>
      </tp>
      <tp>
        <v>1666.7</v>
        <stp/>
        <stp>##V3_BDPV12</stp>
        <stp>31412G4H1 Mtge</stp>
        <stp xml:space="preserve">MTG_PL_PSA_6M </stp>
        <stp>[Copy of 02_cpr_main.xlsx]data!R406C15</stp>
        <tr r="O406" s="2"/>
      </tp>
      <tp>
        <v>89.9</v>
        <stp/>
        <stp>##V3_BDPV12</stp>
        <stp>31292G2K1 Mtge</stp>
        <stp xml:space="preserve">MTG_PL_PSA_3M </stp>
        <stp>[Copy of 02_cpr_main.xlsx]data!R113C14</stp>
        <tr r="N113" s="2"/>
      </tp>
      <tp>
        <v>1666.7</v>
        <stp/>
        <stp>##V3_BDPV12</stp>
        <stp>31410G6A6 Mtge</stp>
        <stp xml:space="preserve">MTG_PL_PSA_3M </stp>
        <stp>[Copy of 02_cpr_main.xlsx]data!R364C14</stp>
        <tr r="N364" s="2"/>
      </tp>
      <tp>
        <v>329.5</v>
        <stp/>
        <stp>##V3_BDPV12</stp>
        <stp>31292G4V5 Mtge</stp>
        <stp xml:space="preserve">MTG_PL_PSA_6M </stp>
        <stp>[Copy of 02_cpr_main.xlsx]data!R114C15</stp>
        <tr r="O114" s="2"/>
      </tp>
      <tp>
        <v>1666.7</v>
        <stp/>
        <stp>##V3_BDPV12</stp>
        <stp>31410G6A6 Mtge</stp>
        <stp xml:space="preserve">MTG_PL_PSA_1M </stp>
        <stp>[Copy of 02_cpr_main.xlsx]data!R364C13</stp>
        <tr r="M364" s="2"/>
      </tp>
      <tp>
        <v>106.6</v>
        <stp/>
        <stp>##V3_BDPV12</stp>
        <stp>31292G2K1 Mtge</stp>
        <stp xml:space="preserve">MTG_PL_PSA_1M </stp>
        <stp>[Copy of 02_cpr_main.xlsx]data!R113C13</stp>
        <tr r="M113" s="2"/>
      </tp>
      <tp>
        <v>1666.7</v>
        <stp/>
        <stp>##V3_BDPV12</stp>
        <stp>31412G4H1 Mtge</stp>
        <stp xml:space="preserve">MTG_PL_PSA_3M </stp>
        <stp>[Copy of 02_cpr_main.xlsx]data!R406C14</stp>
        <tr r="N406" s="2"/>
      </tp>
      <tp>
        <v>310</v>
        <stp/>
        <stp>##V3_BDPV12</stp>
        <stp>31292G2K1 Mtge</stp>
        <stp xml:space="preserve">MTG_PL_PSA_6M </stp>
        <stp>[Copy of 02_cpr_main.xlsx]data!R113C15</stp>
        <tr r="O113" s="2"/>
      </tp>
      <tp>
        <v>1666.7</v>
        <stp/>
        <stp>##V3_BDPV12</stp>
        <stp>31410G6A6 Mtge</stp>
        <stp xml:space="preserve">MTG_PL_PSA_6M </stp>
        <stp>[Copy of 02_cpr_main.xlsx]data!R364C15</stp>
        <tr r="O364" s="2"/>
      </tp>
      <tp>
        <v>56.1</v>
        <stp/>
        <stp>##V3_BDPV12</stp>
        <stp>31292G4V5 Mtge</stp>
        <stp xml:space="preserve">MTG_PL_PSA_1M </stp>
        <stp>[Copy of 02_cpr_main.xlsx]data!R114C13</stp>
        <tr r="M114" s="2"/>
      </tp>
      <tp>
        <v>488.4</v>
        <stp/>
        <stp>##V3_BDPV12</stp>
        <stp>31292G6T8 Mtge</stp>
        <stp xml:space="preserve">MTG_PL_PSA_3M </stp>
        <stp>[Copy of 02_cpr_main.xlsx]data!R115C14</stp>
        <tr r="N115" s="2"/>
      </tp>
      <tp>
        <v>1666.7</v>
        <stp/>
        <stp>##V3_BDPV12</stp>
        <stp>31412G4H1 Mtge</stp>
        <stp xml:space="preserve">MTG_PL_PSA_1M </stp>
        <stp>[Copy of 02_cpr_main.xlsx]data!R406C13</stp>
        <tr r="M406" s="2"/>
      </tp>
      <tp>
        <v>136.1</v>
        <stp/>
        <stp>##V3_BDPV12</stp>
        <stp>31292G6T8 Mtge</stp>
        <stp xml:space="preserve">MTG_PL_PSA_1M </stp>
        <stp>[Copy of 02_cpr_main.xlsx]data!R115C13</stp>
        <tr r="M115" s="2"/>
      </tp>
      <tp>
        <v>233.7</v>
        <stp/>
        <stp>##V3_BDPV12</stp>
        <stp>31292G4V5 Mtge</stp>
        <stp xml:space="preserve">MTG_PL_PSA_3M </stp>
        <stp>[Copy of 02_cpr_main.xlsx]data!R114C14</stp>
        <tr r="N114" s="2"/>
      </tp>
      <tp>
        <v>102.2</v>
        <stp/>
        <stp>##V3_BDPV12</stp>
        <stp>31403DDR7 Mtge</stp>
        <stp xml:space="preserve">MTG_PL_PSA_1M </stp>
        <stp>[Copy of 02_cpr_main.xlsx]data!R297C13</stp>
        <tr r="M297" s="2"/>
      </tp>
      <tp>
        <v>0</v>
        <stp/>
        <stp>##V3_BDPV12</stp>
        <stp>31402DDK3 Mtge</stp>
        <stp xml:space="preserve">MTG_PL_PSA_1M </stp>
        <stp>[Copy of 02_cpr_main.xlsx]data!R269C13</stp>
        <tr r="M269" s="2"/>
      </tp>
      <tp>
        <v>0</v>
        <stp/>
        <stp>##V3_BDPV12</stp>
        <stp>31403DDL0 Mtge</stp>
        <stp xml:space="preserve">MTG_PL_PSA_1M </stp>
        <stp>[Copy of 02_cpr_main.xlsx]data!R296C13</stp>
        <tr r="M296" s="2"/>
      </tp>
      <tp>
        <v>0</v>
        <stp/>
        <stp>##V3_BDPV12</stp>
        <stp>31403DDK2 Mtge</stp>
        <stp xml:space="preserve">MTG_PL_PSA_1M </stp>
        <stp>[Copy of 02_cpr_main.xlsx]data!R295C13</stp>
        <tr r="M295" s="2"/>
      </tp>
      <tp>
        <v>55</v>
        <stp/>
        <stp>##V3_BDPV12</stp>
        <stp>31403DET2 Mtge</stp>
        <stp xml:space="preserve">MTG_PL_PSA_1M </stp>
        <stp>[Copy of 02_cpr_main.xlsx]data!R298C13</stp>
        <tr r="M298" s="2"/>
      </tp>
      <tp>
        <v>1666.7</v>
        <stp/>
        <stp>##V3_BDPV12</stp>
        <stp>31403DGG8 Mtge</stp>
        <stp xml:space="preserve">MTG_PL_PSA_3M </stp>
        <stp>[Copy of 02_cpr_main.xlsx]data!R299C14</stp>
        <tr r="N299" s="2"/>
      </tp>
      <tp>
        <v>230.5</v>
        <stp/>
        <stp>##V3_BDPV12</stp>
        <stp>31403DDR7 Mtge</stp>
        <stp xml:space="preserve">MTG_PL_PSA_3M </stp>
        <stp>[Copy of 02_cpr_main.xlsx]data!R297C14</stp>
        <tr r="N297" s="2"/>
      </tp>
      <tp>
        <v>1451.3</v>
        <stp/>
        <stp>##V3_BDPV12</stp>
        <stp>31402DDK3 Mtge</stp>
        <stp xml:space="preserve">MTG_PL_PSA_3M </stp>
        <stp>[Copy of 02_cpr_main.xlsx]data!R269C14</stp>
        <tr r="N269" s="2"/>
      </tp>
      <tp>
        <v>1466.7</v>
        <stp/>
        <stp>##V3_BDPV12</stp>
        <stp>31403DDK2 Mtge</stp>
        <stp xml:space="preserve">MTG_PL_PSA_3M </stp>
        <stp>[Copy of 02_cpr_main.xlsx]data!R295C14</stp>
        <tr r="N295" s="2"/>
      </tp>
      <tp>
        <v>1657.2</v>
        <stp/>
        <stp>##V3_BDPV12</stp>
        <stp>31403DDL0 Mtge</stp>
        <stp xml:space="preserve">MTG_PL_PSA_3M </stp>
        <stp>[Copy of 02_cpr_main.xlsx]data!R296C14</stp>
        <tr r="N296" s="2"/>
      </tp>
      <tp>
        <v>84.1</v>
        <stp/>
        <stp>##V3_BDPV12</stp>
        <stp>31413DGE1 Mtge</stp>
        <stp xml:space="preserve">MTG_PL_PSA_6M </stp>
        <stp>[Copy of 02_cpr_main.xlsx]data!R419C15</stp>
        <tr r="O419" s="2"/>
      </tp>
      <tp>
        <v>54.8</v>
        <stp/>
        <stp>##V3_BDPV12</stp>
        <stp>31403DET2 Mtge</stp>
        <stp xml:space="preserve">MTG_PL_PSA_3M </stp>
        <stp>[Copy of 02_cpr_main.xlsx]data!R298C14</stp>
        <tr r="N298" s="2"/>
      </tp>
      <tp>
        <v>1666.7</v>
        <stp/>
        <stp>##V3_BDPV12</stp>
        <stp>31403DGG8 Mtge</stp>
        <stp xml:space="preserve">MTG_PL_PSA_1M </stp>
        <stp>[Copy of 02_cpr_main.xlsx]data!R299C13</stp>
        <tr r="M299" s="2"/>
      </tp>
      <tp>
        <v>1666.7</v>
        <stp/>
        <stp>##V3_BDPV12</stp>
        <stp>31403DGG8 Mtge</stp>
        <stp xml:space="preserve">MTG_PL_PSA_6M </stp>
        <stp>[Copy of 02_cpr_main.xlsx]data!R299C15</stp>
        <tr r="O299" s="2"/>
      </tp>
      <tp>
        <v>93.3</v>
        <stp/>
        <stp>##V3_BDPV12</stp>
        <stp>31413DGE1 Mtge</stp>
        <stp xml:space="preserve">MTG_PL_PSA_1M </stp>
        <stp>[Copy of 02_cpr_main.xlsx]data!R419C13</stp>
        <tr r="M419" s="2"/>
      </tp>
      <tp>
        <v>53.8</v>
        <stp/>
        <stp>##V3_BDPV12</stp>
        <stp>31403DET2 Mtge</stp>
        <stp xml:space="preserve">MTG_PL_PSA_6M </stp>
        <stp>[Copy of 02_cpr_main.xlsx]data!R298C15</stp>
        <tr r="O298" s="2"/>
      </tp>
      <tp>
        <v>168.2</v>
        <stp/>
        <stp>##V3_BDPV12</stp>
        <stp>31403DDR7 Mtge</stp>
        <stp xml:space="preserve">MTG_PL_PSA_6M </stp>
        <stp>[Copy of 02_cpr_main.xlsx]data!R297C15</stp>
        <tr r="O297" s="2"/>
      </tp>
      <tp>
        <v>1623.1</v>
        <stp/>
        <stp>##V3_BDPV12</stp>
        <stp>31402DDK3 Mtge</stp>
        <stp xml:space="preserve">MTG_PL_PSA_6M </stp>
        <stp>[Copy of 02_cpr_main.xlsx]data!R269C15</stp>
        <tr r="O269" s="2"/>
      </tp>
      <tp>
        <v>1341.2</v>
        <stp/>
        <stp>##V3_BDPV12</stp>
        <stp>31403DDK2 Mtge</stp>
        <stp xml:space="preserve">MTG_PL_PSA_6M </stp>
        <stp>[Copy of 02_cpr_main.xlsx]data!R295C15</stp>
        <tr r="O295" s="2"/>
      </tp>
      <tp>
        <v>92.4</v>
        <stp/>
        <stp>##V3_BDPV12</stp>
        <stp>31413DGE1 Mtge</stp>
        <stp xml:space="preserve">MTG_PL_PSA_3M </stp>
        <stp>[Copy of 02_cpr_main.xlsx]data!R419C14</stp>
        <tr r="N419" s="2"/>
      </tp>
      <tp>
        <v>1658.7</v>
        <stp/>
        <stp>##V3_BDPV12</stp>
        <stp>31403DDL0 Mtge</stp>
        <stp xml:space="preserve">MTG_PL_PSA_6M </stp>
        <stp>[Copy of 02_cpr_main.xlsx]data!R296C15</stp>
        <tr r="O296" s="2"/>
      </tp>
      <tp>
        <v>50.3</v>
        <stp/>
        <stp>##V3_BDPV12</stp>
        <stp>31406DJX5 Mtge</stp>
        <stp xml:space="preserve">MTG_PL_PSA_6M </stp>
        <stp>[Copy of 02_cpr_main.xlsx]data!R335C15</stp>
        <tr r="O335" s="2"/>
      </tp>
      <tp>
        <v>8.8000000000000007</v>
        <stp/>
        <stp>##V3_BDPV12</stp>
        <stp>31406DJV9 Mtge</stp>
        <stp xml:space="preserve">MTG_PL_PSA_6M </stp>
        <stp>[Copy of 02_cpr_main.xlsx]data!R334C15</stp>
        <tr r="O334" s="2"/>
      </tp>
      <tp>
        <v>77.3</v>
        <stp/>
        <stp>##V3_BDPV12</stp>
        <stp>31406DJX5 Mtge</stp>
        <stp xml:space="preserve">MTG_PL_PSA_3M </stp>
        <stp>[Copy of 02_cpr_main.xlsx]data!R335C14</stp>
        <tr r="N335" s="2"/>
      </tp>
      <tp>
        <v>10.6</v>
        <stp/>
        <stp>##V3_BDPV12</stp>
        <stp>31406DJV9 Mtge</stp>
        <stp xml:space="preserve">MTG_PL_PSA_3M </stp>
        <stp>[Copy of 02_cpr_main.xlsx]data!R334C14</stp>
        <tr r="N334" s="2"/>
      </tp>
      <tp>
        <v>54.8</v>
        <stp/>
        <stp>##V3_BDPV12</stp>
        <stp>31406DJX5 Mtge</stp>
        <stp xml:space="preserve">MTG_PL_PSA_1M </stp>
        <stp>[Copy of 02_cpr_main.xlsx]data!R335C13</stp>
        <tr r="M335" s="2"/>
      </tp>
      <tp>
        <v>1.2</v>
        <stp/>
        <stp>##V3_BDPV12</stp>
        <stp>31406DJV9 Mtge</stp>
        <stp xml:space="preserve">MTG_PL_PSA_1M </stp>
        <stp>[Copy of 02_cpr_main.xlsx]data!R334C13</stp>
        <tr r="M334" s="2"/>
      </tp>
      <tp>
        <v>126.7</v>
        <stp/>
        <stp>##V3_BDPV12</stp>
        <stp>31403DWU9 Mtge</stp>
        <stp xml:space="preserve">MTG_PL_PSA_3M </stp>
        <stp>[Copy of 02_cpr_main.xlsx]data!R304C14</stp>
        <tr r="N304" s="2"/>
      </tp>
      <tp>
        <v>1630.6</v>
        <stp/>
        <stp>##V3_BDPV12</stp>
        <stp>31403DR68 Mtge</stp>
        <stp xml:space="preserve">MTG_PL_PSA_6M </stp>
        <stp>[Copy of 02_cpr_main.xlsx]data!R301C15</stp>
        <tr r="O301" s="2"/>
      </tp>
      <tp>
        <v>96.1</v>
        <stp/>
        <stp>##V3_BDPV12</stp>
        <stp>31403DTT6 Mtge</stp>
        <stp xml:space="preserve">MTG_PL_PSA_1M </stp>
        <stp>[Copy of 02_cpr_main.xlsx]data!R302C13</stp>
        <tr r="M302" s="2"/>
      </tp>
      <tp>
        <v>0</v>
        <stp/>
        <stp>##V3_BDPV12</stp>
        <stp>31410DVM9 Mtge</stp>
        <stp xml:space="preserve">MTG_PL_PSA_3M </stp>
        <stp>[Copy of 02_cpr_main.xlsx]data!R359C14</stp>
        <tr r="N359" s="2"/>
      </tp>
      <tp>
        <v>0</v>
        <stp/>
        <stp>##V3_BDPV12</stp>
        <stp>31382DQ98 Mtge</stp>
        <stp xml:space="preserve">MTG_PL_PSA_1M </stp>
        <stp>[Copy of 02_cpr_main.xlsx]data!R195C13</stp>
        <tr r="M195" s="2"/>
      </tp>
      <tp>
        <v>379.9</v>
        <stp/>
        <stp>##V3_BDPV12</stp>
        <stp>31403DV22 Mtge</stp>
        <stp xml:space="preserve">MTG_PL_PSA_3M </stp>
        <stp>[Copy of 02_cpr_main.xlsx]data!R303C14</stp>
        <tr r="N303" s="2"/>
      </tp>
      <tp>
        <v>205.3</v>
        <stp/>
        <stp>##V3_BDPV12</stp>
        <stp>31403DWU9 Mtge</stp>
        <stp xml:space="preserve">MTG_PL_PSA_1M </stp>
        <stp>[Copy of 02_cpr_main.xlsx]data!R304C13</stp>
        <tr r="M304" s="2"/>
      </tp>
      <tp>
        <v>169</v>
        <stp/>
        <stp>##V3_BDPV12</stp>
        <stp>31403DQT9 Mtge</stp>
        <stp xml:space="preserve">MTG_PL_PSA_6M </stp>
        <stp>[Copy of 02_cpr_main.xlsx]data!R300C15</stp>
        <tr r="O300" s="2"/>
      </tp>
      <tp>
        <v>518.1</v>
        <stp/>
        <stp>##V3_BDPV12</stp>
        <stp>31403DTT6 Mtge</stp>
        <stp xml:space="preserve">MTG_PL_PSA_3M </stp>
        <stp>[Copy of 02_cpr_main.xlsx]data!R302C14</stp>
        <tr r="N302" s="2"/>
      </tp>
      <tp>
        <v>0</v>
        <stp/>
        <stp>##V3_BDPV12</stp>
        <stp>31410DVM9 Mtge</stp>
        <stp xml:space="preserve">MTG_PL_PSA_1M </stp>
        <stp>[Copy of 02_cpr_main.xlsx]data!R359C13</stp>
        <tr r="M359" s="2"/>
      </tp>
      <tp t="s">
        <v>#N/A N/A</v>
        <stp/>
        <stp>##V3_BDPV12</stp>
        <stp>3128GEBA5 Mtge</stp>
        <stp>MTG_PREPAY_SPEED</stp>
        <stp>[Copy of 02_cpr_main.xlsx]data!R52C12</stp>
        <tr r="L52" s="2"/>
      </tp>
      <tp>
        <v>1627.6</v>
        <stp/>
        <stp>##V3_BDPV12</stp>
        <stp>31382DQ98 Mtge</stp>
        <stp xml:space="preserve">MTG_PL_PSA_3M </stp>
        <stp>[Copy of 02_cpr_main.xlsx]data!R195C14</stp>
        <tr r="N195" s="2"/>
      </tp>
      <tp>
        <v>148.69999999999999</v>
        <stp/>
        <stp>##V3_BDPV12</stp>
        <stp>31402DP79 Mtge</stp>
        <stp xml:space="preserve">MTG_PL_PSA_6M </stp>
        <stp>[Copy of 02_cpr_main.xlsx]data!R270C15</stp>
        <tr r="O270" s="2"/>
      </tp>
      <tp>
        <v>874.8</v>
        <stp/>
        <stp>##V3_BDPV12</stp>
        <stp>31403DV22 Mtge</stp>
        <stp xml:space="preserve">MTG_PL_PSA_1M </stp>
        <stp>[Copy of 02_cpr_main.xlsx]data!R303C13</stp>
        <tr r="M303" s="2"/>
      </tp>
      <tp>
        <v>70.400000000000006</v>
        <stp/>
        <stp>##V3_BDPV12</stp>
        <stp>31403DQT9 Mtge</stp>
        <stp xml:space="preserve">MTG_PL_PSA_1M </stp>
        <stp>[Copy of 02_cpr_main.xlsx]data!R300C13</stp>
        <tr r="M300" s="2"/>
      </tp>
      <tp>
        <v>0</v>
        <stp/>
        <stp>##V3_BDPV12</stp>
        <stp>31410DVM9 Mtge</stp>
        <stp xml:space="preserve">MTG_PL_PSA_6M </stp>
        <stp>[Copy of 02_cpr_main.xlsx]data!R359C15</stp>
        <tr r="O359" s="2"/>
      </tp>
      <tp>
        <v>357.4</v>
        <stp/>
        <stp>##V3_BDPV12</stp>
        <stp>31403DV22 Mtge</stp>
        <stp xml:space="preserve">MTG_PL_PSA_6M </stp>
        <stp>[Copy of 02_cpr_main.xlsx]data!R303C15</stp>
        <tr r="O303" s="2"/>
      </tp>
      <tp>
        <v>172.2</v>
        <stp/>
        <stp>##V3_BDPV12</stp>
        <stp>31402DP79 Mtge</stp>
        <stp xml:space="preserve">MTG_PL_PSA_1M </stp>
        <stp>[Copy of 02_cpr_main.xlsx]data!R270C13</stp>
        <tr r="M270" s="2"/>
      </tp>
      <tp>
        <v>130.30000000000001</v>
        <stp/>
        <stp>##V3_BDPV12</stp>
        <stp>31403DWU9 Mtge</stp>
        <stp xml:space="preserve">MTG_PL_PSA_6M </stp>
        <stp>[Copy of 02_cpr_main.xlsx]data!R304C15</stp>
        <tr r="O304" s="2"/>
      </tp>
      <tp>
        <v>1658.7</v>
        <stp/>
        <stp>##V3_BDPV12</stp>
        <stp>31403DR68 Mtge</stp>
        <stp xml:space="preserve">MTG_PL_PSA_3M </stp>
        <stp>[Copy of 02_cpr_main.xlsx]data!R301C14</stp>
        <tr r="N301" s="2"/>
      </tp>
      <tp>
        <v>294.2</v>
        <stp/>
        <stp>##V3_BDPV12</stp>
        <stp>31403DTT6 Mtge</stp>
        <stp xml:space="preserve">MTG_PL_PSA_6M </stp>
        <stp>[Copy of 02_cpr_main.xlsx]data!R302C15</stp>
        <tr r="O302" s="2"/>
      </tp>
      <tp>
        <v>94</v>
        <stp/>
        <stp>##V3_BDPV12</stp>
        <stp>31403DQT9 Mtge</stp>
        <stp xml:space="preserve">MTG_PL_PSA_3M </stp>
        <stp>[Copy of 02_cpr_main.xlsx]data!R300C14</stp>
        <tr r="N300" s="2"/>
      </tp>
      <tp>
        <v>1464.1</v>
        <stp/>
        <stp>##V3_BDPV12</stp>
        <stp>31382DQ98 Mtge</stp>
        <stp xml:space="preserve">MTG_PL_PSA_6M </stp>
        <stp>[Copy of 02_cpr_main.xlsx]data!R195C15</stp>
        <tr r="O195" s="2"/>
      </tp>
      <tp>
        <v>166.2</v>
        <stp/>
        <stp>##V3_BDPV12</stp>
        <stp>31402DP79 Mtge</stp>
        <stp xml:space="preserve">MTG_PL_PSA_3M </stp>
        <stp>[Copy of 02_cpr_main.xlsx]data!R270C14</stp>
        <tr r="N270" s="2"/>
      </tp>
      <tp>
        <v>0</v>
        <stp/>
        <stp>##V3_BDPV12</stp>
        <stp>31403DR68 Mtge</stp>
        <stp xml:space="preserve">MTG_PL_PSA_1M </stp>
        <stp>[Copy of 02_cpr_main.xlsx]data!R301C13</stp>
        <tr r="M301" s="2"/>
      </tp>
      <tp>
        <v>0.7</v>
        <stp/>
        <stp>##V3_BDPV12</stp>
        <stp>31412DYV4 Mtge</stp>
        <stp xml:space="preserve">MTG_PL_PSA_3M </stp>
        <stp>[Copy of 02_cpr_main.xlsx]data!R404C14</stp>
        <tr r="N404" s="2"/>
      </tp>
      <tp>
        <v>1666.7</v>
        <stp/>
        <stp>##V3_BDPV12</stp>
        <stp>31410DXZ8 Mtge</stp>
        <stp xml:space="preserve">MTG_PL_PSA_6M </stp>
        <stp>[Copy of 02_cpr_main.xlsx]data!R360C15</stp>
        <tr r="O360" s="2"/>
      </tp>
      <tp>
        <v>0.7</v>
        <stp/>
        <stp>##V3_BDPV12</stp>
        <stp>31412DYV4 Mtge</stp>
        <stp xml:space="preserve">MTG_PL_PSA_1M </stp>
        <stp>[Copy of 02_cpr_main.xlsx]data!R404C13</stp>
        <tr r="M404" s="2"/>
      </tp>
      <tp>
        <v>0.6</v>
        <stp/>
        <stp>##V3_BDPV12</stp>
        <stp>31412DYV4 Mtge</stp>
        <stp xml:space="preserve">MTG_PL_PSA_6M </stp>
        <stp>[Copy of 02_cpr_main.xlsx]data!R404C15</stp>
        <tr r="O404" s="2"/>
      </tp>
      <tp>
        <v>0.33</v>
        <stp/>
        <stp>##V3_BDPV12</stp>
        <stp>3128JNBN4 Mtge</stp>
        <stp>MTG_PREPAY_SPEED</stp>
        <stp>[Copy of 02_cpr_main.xlsx]data!R70C12</stp>
        <tr r="L70" s="2"/>
      </tp>
      <tp>
        <v>1666.7</v>
        <stp/>
        <stp>##V3_BDPV12</stp>
        <stp>31410DXZ8 Mtge</stp>
        <stp xml:space="preserve">MTG_PL_PSA_1M </stp>
        <stp>[Copy of 02_cpr_main.xlsx]data!R360C13</stp>
        <tr r="M360" s="2"/>
      </tp>
      <tp>
        <v>1666.7</v>
        <stp/>
        <stp>##V3_BDPV12</stp>
        <stp>31410DXZ8 Mtge</stp>
        <stp xml:space="preserve">MTG_PL_PSA_3M </stp>
        <stp>[Copy of 02_cpr_main.xlsx]data!R360C14</stp>
        <tr r="N360" s="2"/>
      </tp>
      <tp t="s">
        <v>PSA</v>
        <stp/>
        <stp>##V3_BDPV12</stp>
        <stp>36201YC95 Mtge</stp>
        <stp>MTG_PREPAY_TYP</stp>
        <stp>[Copy of 02_cpr_main.xlsx]data!R474C11</stp>
        <tr r="K474" s="2"/>
      </tp>
      <tp t="s">
        <v>PSA</v>
        <stp/>
        <stp>##V3_BDPV12</stp>
        <stp>36208YF46 Mtge</stp>
        <stp>MTG_PREPAY_TYP</stp>
        <stp>[Copy of 02_cpr_main.xlsx]data!R480C11</stp>
        <tr r="K480" s="2"/>
      </tp>
      <tp t="s">
        <v>#N/A N/A</v>
        <stp/>
        <stp>##V3_BDPV12</stp>
        <stp>3128M1B81 Mtge</stp>
        <stp>MTG_PREPAY_SPEED</stp>
        <stp>[Copy of 02_cpr_main.xlsx]data!R82C12</stp>
        <tr r="L82" s="2"/>
      </tp>
      <tp>
        <v>205</v>
        <stp/>
        <stp>##V3_BDPV12</stp>
        <stp>01F062648 Mtge</stp>
        <stp>MTG_PREPAY_SPEED</stp>
        <stp>[Copy of 02_cpr_main.xlsx]data!R12C12</stp>
        <tr r="L12" s="2"/>
      </tp>
      <tp>
        <v>174</v>
        <stp/>
        <stp>##V3_BDPV12</stp>
        <stp>01F060642 Mtge</stp>
        <stp>MTG_PREPAY_SPEED</stp>
        <stp>[Copy of 02_cpr_main.xlsx]data!R11C12</stp>
        <tr r="L11" s="2"/>
      </tp>
      <tp>
        <v>205</v>
        <stp/>
        <stp>##V3_BDPV12</stp>
        <stp>01F062655 Mtge</stp>
        <stp>MTG_PREPAY_SPEED</stp>
        <stp>[Copy of 02_cpr_main.xlsx]data!R13C12</stp>
        <tr r="L13" s="2"/>
      </tp>
      <tp>
        <v>1666.7</v>
        <stp/>
        <stp>##V3_BDPV12</stp>
        <stp>31409D2C6 Mtge</stp>
        <stp xml:space="preserve">MTG_PL_PSA_6M </stp>
        <stp>[Copy of 02_cpr_main.xlsx]data!R352C15</stp>
        <tr r="O352" s="2"/>
      </tp>
      <tp>
        <v>655.1</v>
        <stp/>
        <stp>##V3_BDPV12</stp>
        <stp>31402D7K0 Mtge</stp>
        <stp xml:space="preserve">MTG_PL_PSA_3M </stp>
        <stp>[Copy of 02_cpr_main.xlsx]data!R268C14</stp>
        <tr r="N268" s="2"/>
      </tp>
      <tp>
        <v>531.1</v>
        <stp/>
        <stp>##V3_BDPV12</stp>
        <stp>3133XD5F4 Mtge</stp>
        <stp xml:space="preserve">MTG_PL_PSA_6M </stp>
        <stp>[Copy of 02_cpr_main.xlsx]data!R156C15</stp>
        <tr r="O156" s="2"/>
      </tp>
      <tp>
        <v>0</v>
        <stp/>
        <stp>##V3_BDPV12</stp>
        <stp>31402D7K0 Mtge</stp>
        <stp xml:space="preserve">MTG_PL_PSA_1M </stp>
        <stp>[Copy of 02_cpr_main.xlsx]data!R268C13</stp>
        <tr r="M268" s="2"/>
      </tp>
      <tp>
        <v>854.3</v>
        <stp/>
        <stp>##V3_BDPV12</stp>
        <stp>31402D7K0 Mtge</stp>
        <stp xml:space="preserve">MTG_PL_PSA_6M </stp>
        <stp>[Copy of 02_cpr_main.xlsx]data!R268C15</stp>
        <tr r="O268" s="2"/>
      </tp>
      <tp>
        <v>554.1</v>
        <stp/>
        <stp>##V3_BDPV12</stp>
        <stp>3133XD5F4 Mtge</stp>
        <stp xml:space="preserve">MTG_PL_PSA_1M </stp>
        <stp>[Copy of 02_cpr_main.xlsx]data!R156C13</stp>
        <tr r="M156" s="2"/>
      </tp>
      <tp>
        <v>1666.7</v>
        <stp/>
        <stp>##V3_BDPV12</stp>
        <stp>31409D2C6 Mtge</stp>
        <stp xml:space="preserve">MTG_PL_PSA_3M </stp>
        <stp>[Copy of 02_cpr_main.xlsx]data!R352C14</stp>
        <tr r="N352" s="2"/>
      </tp>
      <tp>
        <v>1666.7</v>
        <stp/>
        <stp>##V3_BDPV12</stp>
        <stp>31409D2C6 Mtge</stp>
        <stp xml:space="preserve">MTG_PL_PSA_1M </stp>
        <stp>[Copy of 02_cpr_main.xlsx]data!R352C13</stp>
        <tr r="M352" s="2"/>
      </tp>
      <tp>
        <v>537.6</v>
        <stp/>
        <stp>##V3_BDPV12</stp>
        <stp>3133XD5F4 Mtge</stp>
        <stp xml:space="preserve">MTG_PL_PSA_3M </stp>
        <stp>[Copy of 02_cpr_main.xlsx]data!R156C14</stp>
        <tr r="N156" s="2"/>
      </tp>
      <tp>
        <v>9.1</v>
        <stp/>
        <stp>##V3_BDPV12</stp>
        <stp>31403EDC8 Mtge</stp>
        <stp xml:space="preserve">MTG_PL_PSA_1M </stp>
        <stp>[Copy of 02_cpr_main.xlsx]data!R305C13</stp>
        <tr r="M305" s="2"/>
      </tp>
      <tp>
        <v>98.9</v>
        <stp/>
        <stp>##V3_BDPV12</stp>
        <stp>36225BB31 Mtge</stp>
        <stp xml:space="preserve">MTG_PL_PSA_6M </stp>
        <stp>[Copy of 02_cpr_main.xlsx]data!R491C15</stp>
        <tr r="O491" s="2"/>
      </tp>
      <tp>
        <v>231.7</v>
        <stp/>
        <stp>##V3_BDPV12</stp>
        <stp>36225BG93 Mtge</stp>
        <stp xml:space="preserve">MTG_PL_PSA_3M </stp>
        <stp>[Copy of 02_cpr_main.xlsx]data!R492C14</stp>
        <tr r="N492" s="2"/>
      </tp>
      <tp>
        <v>475.4</v>
        <stp/>
        <stp>##V3_BDPV12</stp>
        <stp>36225BAP3 Mtge</stp>
        <stp xml:space="preserve">MTG_PL_PSA_6M </stp>
        <stp>[Copy of 02_cpr_main.xlsx]data!R490C15</stp>
        <tr r="O490" s="2"/>
      </tp>
      <tp>
        <v>12.2</v>
        <stp/>
        <stp>##V3_BDPV12</stp>
        <stp>31403EDC8 Mtge</stp>
        <stp xml:space="preserve">MTG_PL_PSA_3M </stp>
        <stp>[Copy of 02_cpr_main.xlsx]data!R305C14</stp>
        <tr r="N305" s="2"/>
      </tp>
      <tp>
        <v>136.4</v>
        <stp/>
        <stp>##V3_BDPV12</stp>
        <stp>36225BG93 Mtge</stp>
        <stp xml:space="preserve">MTG_PL_PSA_1M </stp>
        <stp>[Copy of 02_cpr_main.xlsx]data!R492C13</stp>
        <tr r="M492" s="2"/>
      </tp>
      <tp>
        <v>103.8</v>
        <stp/>
        <stp>##V3_BDPV12</stp>
        <stp>36225BB31 Mtge</stp>
        <stp xml:space="preserve">MTG_PL_PSA_3M </stp>
        <stp>[Copy of 02_cpr_main.xlsx]data!R491C14</stp>
        <tr r="N491" s="2"/>
      </tp>
      <tp>
        <v>234.6</v>
        <stp/>
        <stp>##V3_BDPV12</stp>
        <stp>36225BG93 Mtge</stp>
        <stp xml:space="preserve">MTG_PL_PSA_6M </stp>
        <stp>[Copy of 02_cpr_main.xlsx]data!R492C15</stp>
        <tr r="O492" s="2"/>
      </tp>
      <tp>
        <v>839.8</v>
        <stp/>
        <stp>##V3_BDPV12</stp>
        <stp>36225BAP3 Mtge</stp>
        <stp xml:space="preserve">MTG_PL_PSA_1M </stp>
        <stp>[Copy of 02_cpr_main.xlsx]data!R490C13</stp>
        <tr r="M490" s="2"/>
      </tp>
      <tp>
        <v>12.1</v>
        <stp/>
        <stp>##V3_BDPV12</stp>
        <stp>31403EDC8 Mtge</stp>
        <stp xml:space="preserve">MTG_PL_PSA_6M </stp>
        <stp>[Copy of 02_cpr_main.xlsx]data!R305C15</stp>
        <tr r="O305" s="2"/>
      </tp>
      <tp>
        <v>113.2</v>
        <stp/>
        <stp>##V3_BDPV12</stp>
        <stp>36225BB31 Mtge</stp>
        <stp xml:space="preserve">MTG_PL_PSA_1M </stp>
        <stp>[Copy of 02_cpr_main.xlsx]data!R491C13</stp>
        <tr r="M491" s="2"/>
      </tp>
      <tp>
        <v>605</v>
        <stp/>
        <stp>##V3_BDPV12</stp>
        <stp>36225BAP3 Mtge</stp>
        <stp xml:space="preserve">MTG_PL_PSA_3M </stp>
        <stp>[Copy of 02_cpr_main.xlsx]data!R490C14</stp>
        <tr r="N490" s="2"/>
      </tp>
      <tp>
        <v>79</v>
        <stp/>
        <stp>##V3_BDPV12</stp>
        <stp>31390EJB9 Mtge</stp>
        <stp xml:space="preserve">MTG_PL_PSA_1M </stp>
        <stp>[Copy of 02_cpr_main.xlsx]data!R231C13</stp>
        <tr r="M231" s="2"/>
      </tp>
      <tp>
        <v>0</v>
        <stp/>
        <stp>##V3_BDPV12</stp>
        <stp>31408EN81 Mtge</stp>
        <stp xml:space="preserve">MTG_PL_PSA_3M </stp>
        <stp>[Copy of 02_cpr_main.xlsx]data!R349C14</stp>
        <tr r="N349" s="2"/>
      </tp>
      <tp>
        <v>109.6</v>
        <stp/>
        <stp>##V3_BDPV12</stp>
        <stp>31390EJB9 Mtge</stp>
        <stp xml:space="preserve">MTG_PL_PSA_3M </stp>
        <stp>[Copy of 02_cpr_main.xlsx]data!R231C14</stp>
        <tr r="N231" s="2"/>
      </tp>
      <tp>
        <v>0</v>
        <stp/>
        <stp>##V3_BDPV12</stp>
        <stp>31408EN81 Mtge</stp>
        <stp xml:space="preserve">MTG_PL_PSA_1M </stp>
        <stp>[Copy of 02_cpr_main.xlsx]data!R349C13</stp>
        <tr r="M349" s="2"/>
      </tp>
      <tp>
        <v>0</v>
        <stp/>
        <stp>##V3_BDPV12</stp>
        <stp>31408EN81 Mtge</stp>
        <stp xml:space="preserve">MTG_PL_PSA_6M </stp>
        <stp>[Copy of 02_cpr_main.xlsx]data!R349C15</stp>
        <tr r="O349" s="2"/>
      </tp>
      <tp>
        <v>129</v>
        <stp/>
        <stp>##V3_BDPV12</stp>
        <stp>31390EJB9 Mtge</stp>
        <stp xml:space="preserve">MTG_PL_PSA_6M </stp>
        <stp>[Copy of 02_cpr_main.xlsx]data!R231C15</stp>
        <tr r="O231" s="2"/>
      </tp>
      <tp>
        <v>13.3</v>
        <stp/>
        <stp>##V3_BDPV12</stp>
        <stp>36210BTC9 Mtge</stp>
        <stp xml:space="preserve">MTG_PL_PSA_1M </stp>
        <stp>[Copy of 02_cpr_main.xlsx]data!R483C13</stp>
        <tr r="M483" s="2"/>
      </tp>
      <tp>
        <v>0</v>
        <stp/>
        <stp>##V3_BDPV12</stp>
        <stp>31409EW80 Mtge</stp>
        <stp xml:space="preserve">MTG_PL_PSA_3M </stp>
        <stp>[Copy of 02_cpr_main.xlsx]data!R353C14</stp>
        <tr r="N353" s="2"/>
      </tp>
      <tp>
        <v>1666.7</v>
        <stp/>
        <stp>##V3_BDPV12</stp>
        <stp>31412ETK2 Mtge</stp>
        <stp xml:space="preserve">MTG_PL_PSA_6M </stp>
        <stp>[Copy of 02_cpr_main.xlsx]data!R405C15</stp>
        <tr r="O405" s="2"/>
      </tp>
      <tp>
        <v>234.2</v>
        <stp/>
        <stp>##V3_BDPV12</stp>
        <stp>36225BWH7 Mtge</stp>
        <stp xml:space="preserve">MTG_PL_PSA_3M </stp>
        <stp>[Copy of 02_cpr_main.xlsx]data!R494C14</stp>
        <tr r="N494" s="2"/>
      </tp>
      <tp>
        <v>0</v>
        <stp/>
        <stp>##V3_BDPV12</stp>
        <stp>31404EVB9 Mtge</stp>
        <stp xml:space="preserve">MTG_PL_PSA_3M </stp>
        <stp>[Copy of 02_cpr_main.xlsx]data!R312C14</stp>
        <tr r="N312" s="2"/>
      </tp>
      <tp>
        <v>12.4</v>
        <stp/>
        <stp>##V3_BDPV12</stp>
        <stp>36210BTC9 Mtge</stp>
        <stp xml:space="preserve">MTG_PL_PSA_3M </stp>
        <stp>[Copy of 02_cpr_main.xlsx]data!R483C14</stp>
        <tr r="N483" s="2"/>
      </tp>
      <tp>
        <v>7.8</v>
        <stp/>
        <stp>##V3_BDPV12</stp>
        <stp>31410EPE2 Mtge</stp>
        <stp xml:space="preserve">MTG_PL_PSA_6M </stp>
        <stp>[Copy of 02_cpr_main.xlsx]data!R361C15</stp>
        <tr r="O361" s="2"/>
      </tp>
      <tp>
        <v>0</v>
        <stp/>
        <stp>##V3_BDPV12</stp>
        <stp>31409EW80 Mtge</stp>
        <stp xml:space="preserve">MTG_PL_PSA_1M </stp>
        <stp>[Copy of 02_cpr_main.xlsx]data!R353C13</stp>
        <tr r="M353" s="2"/>
      </tp>
      <tp>
        <v>199.3</v>
        <stp/>
        <stp>##V3_BDPV12</stp>
        <stp>36225BPM4 Mtge</stp>
        <stp xml:space="preserve">MTG_PL_PSA_6M </stp>
        <stp>[Copy of 02_cpr_main.xlsx]data!R493C15</stp>
        <tr r="O493" s="2"/>
      </tp>
      <tp>
        <v>177.6</v>
        <stp/>
        <stp>##V3_BDPV12</stp>
        <stp>36225BWH7 Mtge</stp>
        <stp xml:space="preserve">MTG_PL_PSA_1M </stp>
        <stp>[Copy of 02_cpr_main.xlsx]data!R494C13</stp>
        <tr r="M494" s="2"/>
      </tp>
      <tp>
        <v>0</v>
        <stp/>
        <stp>##V3_BDPV12</stp>
        <stp>31404EVB9 Mtge</stp>
        <stp xml:space="preserve">MTG_PL_PSA_1M </stp>
        <stp>[Copy of 02_cpr_main.xlsx]data!R312C13</stp>
        <tr r="M312" s="2"/>
      </tp>
      <tp>
        <v>1666.7</v>
        <stp/>
        <stp>##V3_BDPV12</stp>
        <stp>31412ETK2 Mtge</stp>
        <stp xml:space="preserve">MTG_PL_PSA_3M </stp>
        <stp>[Copy of 02_cpr_main.xlsx]data!R405C14</stp>
        <tr r="N405" s="2"/>
      </tp>
      <tp>
        <v>273.10000000000002</v>
        <stp/>
        <stp>##V3_BDPV12</stp>
        <stp>36225BWH7 Mtge</stp>
        <stp xml:space="preserve">MTG_PL_PSA_6M </stp>
        <stp>[Copy of 02_cpr_main.xlsx]data!R494C15</stp>
        <tr r="O494" s="2"/>
      </tp>
      <tp>
        <v>1084</v>
        <stp/>
        <stp>##V3_BDPV12</stp>
        <stp>31404EVB9 Mtge</stp>
        <stp xml:space="preserve">MTG_PL_PSA_6M </stp>
        <stp>[Copy of 02_cpr_main.xlsx]data!R312C15</stp>
        <tr r="O312" s="2"/>
      </tp>
      <tp>
        <v>202.7</v>
        <stp/>
        <stp>##V3_BDPV12</stp>
        <stp>36225BPM4 Mtge</stp>
        <stp xml:space="preserve">MTG_PL_PSA_1M </stp>
        <stp>[Copy of 02_cpr_main.xlsx]data!R493C13</stp>
        <tr r="M493" s="2"/>
      </tp>
      <tp>
        <v>8.6</v>
        <stp/>
        <stp>##V3_BDPV12</stp>
        <stp>31410EPE2 Mtge</stp>
        <stp xml:space="preserve">MTG_PL_PSA_1M </stp>
        <stp>[Copy of 02_cpr_main.xlsx]data!R361C13</stp>
        <tr r="M361" s="2"/>
      </tp>
      <tp>
        <v>0</v>
        <stp/>
        <stp>##V3_BDPV12</stp>
        <stp>31409EW80 Mtge</stp>
        <stp xml:space="preserve">MTG_PL_PSA_6M </stp>
        <stp>[Copy of 02_cpr_main.xlsx]data!R353C15</stp>
        <tr r="O353" s="2"/>
      </tp>
      <tp>
        <v>1666.7</v>
        <stp/>
        <stp>##V3_BDPV12</stp>
        <stp>31412ETK2 Mtge</stp>
        <stp xml:space="preserve">MTG_PL_PSA_1M </stp>
        <stp>[Copy of 02_cpr_main.xlsx]data!R405C13</stp>
        <tr r="M405" s="2"/>
      </tp>
      <tp>
        <v>226.9</v>
        <stp/>
        <stp>##V3_BDPV12</stp>
        <stp>36225BPM4 Mtge</stp>
        <stp xml:space="preserve">MTG_PL_PSA_3M </stp>
        <stp>[Copy of 02_cpr_main.xlsx]data!R493C14</stp>
        <tr r="N493" s="2"/>
      </tp>
      <tp>
        <v>11.3</v>
        <stp/>
        <stp>##V3_BDPV12</stp>
        <stp>36210BTC9 Mtge</stp>
        <stp xml:space="preserve">MTG_PL_PSA_6M </stp>
        <stp>[Copy of 02_cpr_main.xlsx]data!R483C15</stp>
        <tr r="O483" s="2"/>
      </tp>
      <tp>
        <v>8</v>
        <stp/>
        <stp>##V3_BDPV12</stp>
        <stp>31410EPE2 Mtge</stp>
        <stp xml:space="preserve">MTG_PL_PSA_3M </stp>
        <stp>[Copy of 02_cpr_main.xlsx]data!R361C14</stp>
        <tr r="N361" s="2"/>
      </tp>
      <tp>
        <v>1666.7</v>
        <stp/>
        <stp>##V3_BDPV12</stp>
        <stp>31298EZD0 Mtge</stp>
        <stp xml:space="preserve">MTG_PL_PSA_3M </stp>
        <stp>[Copy of 02_cpr_main.xlsx]data!R152C14</stp>
        <tr r="N152" s="2"/>
      </tp>
      <tp>
        <v>278.5</v>
        <stp/>
        <stp>##V3_BDPV12</stp>
        <stp>36225BYJ1 Mtge</stp>
        <stp xml:space="preserve">MTG_PL_PSA_6M </stp>
        <stp>[Copy of 02_cpr_main.xlsx]data!R495C15</stp>
        <tr r="O495" s="2"/>
      </tp>
      <tp>
        <v>1666.7</v>
        <stp/>
        <stp>##V3_BDPV12</stp>
        <stp>31298EZD0 Mtge</stp>
        <stp xml:space="preserve">MTG_PL_PSA_1M </stp>
        <stp>[Copy of 02_cpr_main.xlsx]data!R152C13</stp>
        <tr r="M152" s="2"/>
      </tp>
      <tp>
        <v>1666.7</v>
        <stp/>
        <stp>##V3_BDPV12</stp>
        <stp>31298EZD0 Mtge</stp>
        <stp xml:space="preserve">MTG_PL_PSA_6M </stp>
        <stp>[Copy of 02_cpr_main.xlsx]data!R152C15</stp>
        <tr r="O152" s="2"/>
      </tp>
      <tp>
        <v>55</v>
        <stp/>
        <stp>##V3_BDPV12</stp>
        <stp>36225BYJ1 Mtge</stp>
        <stp xml:space="preserve">MTG_PL_PSA_1M </stp>
        <stp>[Copy of 02_cpr_main.xlsx]data!R495C13</stp>
        <tr r="M495" s="2"/>
      </tp>
      <tp t="s">
        <v>#N/A N/A</v>
        <stp/>
        <stp>##V3_BDPV12</stp>
        <stp>3128GHCL3 Mtge</stp>
        <stp>MTG_PREPAY_SPEED</stp>
        <stp>[Copy of 02_cpr_main.xlsx]data!R57C12</stp>
        <tr r="L57" s="2"/>
      </tp>
      <tp>
        <v>135.6</v>
        <stp/>
        <stp>##V3_BDPV12</stp>
        <stp>36225BYJ1 Mtge</stp>
        <stp xml:space="preserve">MTG_PL_PSA_3M </stp>
        <stp>[Copy of 02_cpr_main.xlsx]data!R495C14</stp>
        <tr r="N495" s="2"/>
      </tp>
      <tp t="s">
        <v>#N/A N/A</v>
        <stp/>
        <stp>##V3_BDPV12</stp>
        <stp>31288MC23 Mtge</stp>
        <stp>MTG_PREPAY_SPEED</stp>
        <stp>[Copy of 02_cpr_main.xlsx]data!R39C12</stp>
        <tr r="L39" s="2"/>
      </tp>
      <tp t="s">
        <v>#N/A N/A</v>
        <stp/>
        <stp>##V3_BDPV12</stp>
        <stp>31288MC31 Mtge</stp>
        <stp>MTG_PREPAY_SPEED</stp>
        <stp>[Copy of 02_cpr_main.xlsx]data!R40C12</stp>
        <tr r="L40" s="2"/>
      </tp>
      <tp>
        <v>4.7</v>
        <stp/>
        <stp>##V3_BDPV12</stp>
        <stp>31407JBC5 Mtge</stp>
        <stp xml:space="preserve">MTG_PL_PSA_6M </stp>
        <stp>[Copy of 02_cpr_main.xlsx]data!R342C15</stp>
        <tr r="O342" s="2"/>
      </tp>
      <tp>
        <v>1666.7</v>
        <stp/>
        <stp>##V3_BDPV12</stp>
        <stp>31385JD39 Mtge</stp>
        <stp xml:space="preserve">MTG_PL_PSA_6M </stp>
        <stp>[Copy of 02_cpr_main.xlsx]data!R214C15</stp>
        <tr r="O214" s="2"/>
      </tp>
      <tp>
        <v>1666.7</v>
        <stp/>
        <stp>##V3_BDPV12</stp>
        <stp>31400JBY4 Mtge</stp>
        <stp xml:space="preserve">MTG_PL_PSA_6M </stp>
        <stp>[Copy of 02_cpr_main.xlsx]data!R246C15</stp>
        <tr r="O246" s="2"/>
      </tp>
      <tp>
        <v>167.6</v>
        <stp/>
        <stp>##V3_BDPV12</stp>
        <stp>31400JA25 Mtge</stp>
        <stp xml:space="preserve">MTG_PL_PSA_6M </stp>
        <stp>[Copy of 02_cpr_main.xlsx]data!R245C15</stp>
        <tr r="O245" s="2"/>
      </tp>
      <tp>
        <v>1666.7</v>
        <stp/>
        <stp>##V3_BDPV12</stp>
        <stp>31400JBY4 Mtge</stp>
        <stp xml:space="preserve">MTG_PL_PSA_3M </stp>
        <stp>[Copy of 02_cpr_main.xlsx]data!R246C14</stp>
        <tr r="N246" s="2"/>
      </tp>
      <tp>
        <v>4.8</v>
        <stp/>
        <stp>##V3_BDPV12</stp>
        <stp>31407JBC5 Mtge</stp>
        <stp xml:space="preserve">MTG_PL_PSA_3M </stp>
        <stp>[Copy of 02_cpr_main.xlsx]data!R342C14</stp>
        <tr r="N342" s="2"/>
      </tp>
      <tp>
        <v>1666.7</v>
        <stp/>
        <stp>##V3_BDPV12</stp>
        <stp>31385JD39 Mtge</stp>
        <stp xml:space="preserve">MTG_PL_PSA_3M </stp>
        <stp>[Copy of 02_cpr_main.xlsx]data!R214C14</stp>
        <tr r="N214" s="2"/>
      </tp>
      <tp>
        <v>224.2</v>
        <stp/>
        <stp>##V3_BDPV12</stp>
        <stp>31400JA25 Mtge</stp>
        <stp xml:space="preserve">MTG_PL_PSA_1M </stp>
        <stp>[Copy of 02_cpr_main.xlsx]data!R245C13</stp>
        <tr r="M245" s="2"/>
      </tp>
      <tp>
        <v>1666.7</v>
        <stp/>
        <stp>##V3_BDPV12</stp>
        <stp>31400JBY4 Mtge</stp>
        <stp xml:space="preserve">MTG_PL_PSA_1M </stp>
        <stp>[Copy of 02_cpr_main.xlsx]data!R246C13</stp>
        <tr r="M246" s="2"/>
      </tp>
      <tp>
        <v>4.9000000000000004</v>
        <stp/>
        <stp>##V3_BDPV12</stp>
        <stp>31407JBC5 Mtge</stp>
        <stp xml:space="preserve">MTG_PL_PSA_1M </stp>
        <stp>[Copy of 02_cpr_main.xlsx]data!R342C13</stp>
        <tr r="M342" s="2"/>
      </tp>
      <tp>
        <v>1666.7</v>
        <stp/>
        <stp>##V3_BDPV12</stp>
        <stp>31385JD39 Mtge</stp>
        <stp xml:space="preserve">MTG_PL_PSA_1M </stp>
        <stp>[Copy of 02_cpr_main.xlsx]data!R214C13</stp>
        <tr r="M214" s="2"/>
      </tp>
      <tp>
        <v>177.2</v>
        <stp/>
        <stp>##V3_BDPV12</stp>
        <stp>31400JA25 Mtge</stp>
        <stp xml:space="preserve">MTG_PL_PSA_3M </stp>
        <stp>[Copy of 02_cpr_main.xlsx]data!R245C14</stp>
        <tr r="N245" s="2"/>
      </tp>
      <tp>
        <v>186</v>
        <stp/>
        <stp>##V3_BDPV12</stp>
        <stp>3128M6LZ9 Mtge</stp>
        <stp>MTG_PREPAY_SPEED</stp>
        <stp>[Copy of 02_cpr_main.xlsx]data!R88C12</stp>
        <tr r="L88" s="2"/>
      </tp>
      <tp>
        <v>18.399999999999999</v>
        <stp/>
        <stp>##V3_BDPV12</stp>
        <stp>31413JJ96 Mtge</stp>
        <stp xml:space="preserve">MTG_PL_PSA_1M </stp>
        <stp>[Copy of 02_cpr_main.xlsx]data!R421C13</stp>
        <tr r="M421" s="2"/>
      </tp>
      <tp>
        <v>352.2</v>
        <stp/>
        <stp>##V3_BDPV12</stp>
        <stp>31385JJF6 Mtge</stp>
        <stp xml:space="preserve">MTG_PL_PSA_1M </stp>
        <stp>[Copy of 02_cpr_main.xlsx]data!R215C13</stp>
        <tr r="M215" s="2"/>
      </tp>
      <tp>
        <v>34.6</v>
        <stp/>
        <stp>##V3_BDPV12</stp>
        <stp>31413JLB8 Mtge</stp>
        <stp xml:space="preserve">MTG_PL_PSA_6M </stp>
        <stp>[Copy of 02_cpr_main.xlsx]data!R422C15</stp>
        <tr r="O422" s="2"/>
      </tp>
      <tp>
        <v>1353.2</v>
        <stp/>
        <stp>##V3_BDPV12</stp>
        <stp>31404JHV0 Mtge</stp>
        <stp xml:space="preserve">MTG_PL_PSA_6M </stp>
        <stp>[Copy of 02_cpr_main.xlsx]data!R315C15</stp>
        <tr r="O315" s="2"/>
      </tp>
      <tp>
        <v>11.4</v>
        <stp/>
        <stp>##V3_BDPV12</stp>
        <stp>31413JJ96 Mtge</stp>
        <stp xml:space="preserve">MTG_PL_PSA_3M </stp>
        <stp>[Copy of 02_cpr_main.xlsx]data!R421C14</stp>
        <tr r="N421" s="2"/>
      </tp>
      <tp>
        <v>229.2</v>
        <stp/>
        <stp>##V3_BDPV12</stp>
        <stp>31385JJF6 Mtge</stp>
        <stp xml:space="preserve">MTG_PL_PSA_3M </stp>
        <stp>[Copy of 02_cpr_main.xlsx]data!R215C14</stp>
        <tr r="N215" s="2"/>
      </tp>
      <tp>
        <v>17.3</v>
        <stp/>
        <stp>##V3_BDPV12</stp>
        <stp>31413JLB8 Mtge</stp>
        <stp xml:space="preserve">MTG_PL_PSA_3M </stp>
        <stp>[Copy of 02_cpr_main.xlsx]data!R422C14</stp>
        <tr r="N422" s="2"/>
      </tp>
      <tp>
        <v>0</v>
        <stp/>
        <stp>##V3_BDPV12</stp>
        <stp>31404JHV0 Mtge</stp>
        <stp xml:space="preserve">MTG_PL_PSA_1M </stp>
        <stp>[Copy of 02_cpr_main.xlsx]data!R315C13</stp>
        <tr r="M315" s="2"/>
      </tp>
      <tp>
        <v>253.9</v>
        <stp/>
        <stp>##V3_BDPV12</stp>
        <stp>31385JJF6 Mtge</stp>
        <stp xml:space="preserve">MTG_PL_PSA_6M </stp>
        <stp>[Copy of 02_cpr_main.xlsx]data!R215C15</stp>
        <tr r="O215" s="2"/>
      </tp>
      <tp>
        <v>0.6</v>
        <stp/>
        <stp>##V3_BDPV12</stp>
        <stp>31413JLB8 Mtge</stp>
        <stp xml:space="preserve">MTG_PL_PSA_1M </stp>
        <stp>[Copy of 02_cpr_main.xlsx]data!R422C13</stp>
        <tr r="M422" s="2"/>
      </tp>
      <tp>
        <v>1112.5999999999999</v>
        <stp/>
        <stp>##V3_BDPV12</stp>
        <stp>31404JHV0 Mtge</stp>
        <stp xml:space="preserve">MTG_PL_PSA_3M </stp>
        <stp>[Copy of 02_cpr_main.xlsx]data!R315C14</stp>
        <tr r="N315" s="2"/>
      </tp>
      <tp>
        <v>11.1</v>
        <stp/>
        <stp>##V3_BDPV12</stp>
        <stp>31413JJ96 Mtge</stp>
        <stp xml:space="preserve">MTG_PL_PSA_6M </stp>
        <stp>[Copy of 02_cpr_main.xlsx]data!R421C15</stp>
        <tr r="O421" s="2"/>
      </tp>
      <tp>
        <v>0</v>
        <stp/>
        <stp>##V3_BDPV12</stp>
        <stp>31405JWZ3 Mtge</stp>
        <stp xml:space="preserve">MTG_PL_PSA_3M </stp>
        <stp>[Copy of 02_cpr_main.xlsx]data!R326C14</stp>
        <tr r="N326" s="2"/>
      </tp>
      <tp>
        <v>0</v>
        <stp/>
        <stp>##V3_BDPV12</stp>
        <stp>31381JRV6 Mtge</stp>
        <stp xml:space="preserve">MTG_PL_PSA_3M </stp>
        <stp>[Copy of 02_cpr_main.xlsx]data!R194C14</stp>
        <tr r="N194" s="2"/>
      </tp>
      <tp>
        <v>3.5</v>
        <stp/>
        <stp>##V3_BDPV12</stp>
        <stp>31390JTB7 Mtge</stp>
        <stp xml:space="preserve">MTG_PL_PSA_6M </stp>
        <stp>[Copy of 02_cpr_main.xlsx]data!R232C15</stp>
        <tr r="O232" s="2"/>
      </tp>
      <tp>
        <v>460.2</v>
        <stp/>
        <stp>##V3_BDPV12</stp>
        <stp>36200MTF0 Mtge</stp>
        <stp xml:space="preserve">MTG_PL_PSA_1M </stp>
        <stp>[Copy of 02_cpr_main.xlsx]data!R466C13</stp>
        <tr r="M466" s="2"/>
      </tp>
      <tp>
        <v>0</v>
        <stp/>
        <stp>##V3_BDPV12</stp>
        <stp>31401JTD0 Mtge</stp>
        <stp xml:space="preserve">MTG_PL_PSA_1M </stp>
        <stp>[Copy of 02_cpr_main.xlsx]data!R254C13</stp>
        <tr r="M254" s="2"/>
      </tp>
      <tp>
        <v>0</v>
        <stp/>
        <stp>##V3_BDPV12</stp>
        <stp>31401JUA4 Mtge</stp>
        <stp xml:space="preserve">MTG_PL_PSA_1M </stp>
        <stp>[Copy of 02_cpr_main.xlsx]data!R255C13</stp>
        <tr r="M255" s="2"/>
      </tp>
      <tp t="s">
        <v>#N/A N/A</v>
        <stp/>
        <stp>##V3_BDPV12</stp>
        <stp>36290W3Y6 Mtge</stp>
        <stp>MTG_PREPAY_TYP</stp>
        <stp>[Copy of 02_cpr_main.xlsx]data!R498C11</stp>
        <tr r="K498" s="2"/>
      </tp>
      <tp>
        <v>0</v>
        <stp/>
        <stp>##V3_BDPV12</stp>
        <stp>31405JWZ3 Mtge</stp>
        <stp xml:space="preserve">MTG_PL_PSA_1M </stp>
        <stp>[Copy of 02_cpr_main.xlsx]data!R326C13</stp>
        <tr r="M326" s="2"/>
      </tp>
      <tp>
        <v>0</v>
        <stp/>
        <stp>##V3_BDPV12</stp>
        <stp>31381JRV6 Mtge</stp>
        <stp xml:space="preserve">MTG_PL_PSA_1M </stp>
        <stp>[Copy of 02_cpr_main.xlsx]data!R194C13</stp>
        <tr r="M194" s="2"/>
      </tp>
      <tp>
        <v>1360.7</v>
        <stp/>
        <stp>##V3_BDPV12</stp>
        <stp>31401JTD0 Mtge</stp>
        <stp xml:space="preserve">MTG_PL_PSA_3M </stp>
        <stp>[Copy of 02_cpr_main.xlsx]data!R254C14</stp>
        <tr r="N254" s="2"/>
      </tp>
      <tp>
        <v>200.1</v>
        <stp/>
        <stp>##V3_BDPV12</stp>
        <stp>36200MTF0 Mtge</stp>
        <stp xml:space="preserve">MTG_PL_PSA_3M </stp>
        <stp>[Copy of 02_cpr_main.xlsx]data!R466C14</stp>
        <tr r="N466" s="2"/>
      </tp>
      <tp>
        <v>1629.2</v>
        <stp/>
        <stp>##V3_BDPV12</stp>
        <stp>31401JUA4 Mtge</stp>
        <stp xml:space="preserve">MTG_PL_PSA_3M </stp>
        <stp>[Copy of 02_cpr_main.xlsx]data!R255C14</stp>
        <tr r="N255" s="2"/>
      </tp>
      <tp>
        <v>0</v>
        <stp/>
        <stp>##V3_BDPV12</stp>
        <stp>31405JWZ3 Mtge</stp>
        <stp xml:space="preserve">MTG_PL_PSA_6M </stp>
        <stp>[Copy of 02_cpr_main.xlsx]data!R326C15</stp>
        <tr r="O326" s="2"/>
      </tp>
      <tp>
        <v>0</v>
        <stp/>
        <stp>##V3_BDPV12</stp>
        <stp>31381JRV6 Mtge</stp>
        <stp xml:space="preserve">MTG_PL_PSA_6M </stp>
        <stp>[Copy of 02_cpr_main.xlsx]data!R194C15</stp>
        <tr r="O194" s="2"/>
      </tp>
      <tp>
        <v>3.6</v>
        <stp/>
        <stp>##V3_BDPV12</stp>
        <stp>31390JTB7 Mtge</stp>
        <stp xml:space="preserve">MTG_PL_PSA_3M </stp>
        <stp>[Copy of 02_cpr_main.xlsx]data!R232C14</stp>
        <tr r="N232" s="2"/>
      </tp>
      <tp>
        <v>191</v>
        <stp/>
        <stp>##V3_BDPV12</stp>
        <stp>31283HLG8 Mtge</stp>
        <stp>MTG_PREPAY_SPEED</stp>
        <stp>[Copy of 02_cpr_main.xlsx]data!R30C12</stp>
        <tr r="L30" s="2"/>
      </tp>
      <tp>
        <v>1498.2</v>
        <stp/>
        <stp>##V3_BDPV12</stp>
        <stp>31401JUA4 Mtge</stp>
        <stp xml:space="preserve">MTG_PL_PSA_6M </stp>
        <stp>[Copy of 02_cpr_main.xlsx]data!R255C15</stp>
        <tr r="O255" s="2"/>
      </tp>
      <tp>
        <v>3.7</v>
        <stp/>
        <stp>##V3_BDPV12</stp>
        <stp>31390JTB7 Mtge</stp>
        <stp xml:space="preserve">MTG_PL_PSA_1M </stp>
        <stp>[Copy of 02_cpr_main.xlsx]data!R232C13</stp>
        <tr r="M232" s="2"/>
      </tp>
      <tp>
        <v>170.7</v>
        <stp/>
        <stp>##V3_BDPV12</stp>
        <stp>36200MTF0 Mtge</stp>
        <stp xml:space="preserve">MTG_PL_PSA_6M </stp>
        <stp>[Copy of 02_cpr_main.xlsx]data!R466C15</stp>
        <tr r="O466" s="2"/>
      </tp>
      <tp>
        <v>1139</v>
        <stp/>
        <stp>##V3_BDPV12</stp>
        <stp>31401JTD0 Mtge</stp>
        <stp xml:space="preserve">MTG_PL_PSA_6M </stp>
        <stp>[Copy of 02_cpr_main.xlsx]data!R254C15</stp>
        <tr r="O254" s="2"/>
      </tp>
      <tp>
        <v>0</v>
        <stp/>
        <stp>##V3_BDPV12</stp>
        <stp>31294JYS1 Mtge</stp>
        <stp xml:space="preserve">MTG_PL_PSA_1M </stp>
        <stp>[Copy of 02_cpr_main.xlsx]data!R129C13</stp>
        <tr r="M129" s="2"/>
      </tp>
      <tp>
        <v>0</v>
        <stp/>
        <stp>##V3_BDPV12</stp>
        <stp>31294JYR3 Mtge</stp>
        <stp xml:space="preserve">MTG_PL_PSA_1M </stp>
        <stp>[Copy of 02_cpr_main.xlsx]data!R128C13</stp>
        <tr r="M128" s="2"/>
      </tp>
      <tp>
        <v>1505.7</v>
        <stp/>
        <stp>##V3_BDPV12</stp>
        <stp>31294JYR3 Mtge</stp>
        <stp xml:space="preserve">MTG_PL_PSA_3M </stp>
        <stp>[Copy of 02_cpr_main.xlsx]data!R128C14</stp>
        <tr r="N128" s="2"/>
      </tp>
      <tp>
        <v>1255.5999999999999</v>
        <stp/>
        <stp>##V3_BDPV12</stp>
        <stp>31294JYS1 Mtge</stp>
        <stp xml:space="preserve">MTG_PL_PSA_3M </stp>
        <stp>[Copy of 02_cpr_main.xlsx]data!R129C14</stp>
        <tr r="N129" s="2"/>
      </tp>
      <tp>
        <v>1120.7</v>
        <stp/>
        <stp>##V3_BDPV12</stp>
        <stp>31294JYS1 Mtge</stp>
        <stp xml:space="preserve">MTG_PL_PSA_6M </stp>
        <stp>[Copy of 02_cpr_main.xlsx]data!R129C15</stp>
        <tr r="O129" s="2"/>
      </tp>
      <tp>
        <v>1306.5999999999999</v>
        <stp/>
        <stp>##V3_BDPV12</stp>
        <stp>31294JYR3 Mtge</stp>
        <stp xml:space="preserve">MTG_PL_PSA_6M </stp>
        <stp>[Copy of 02_cpr_main.xlsx]data!R128C15</stp>
        <tr r="O128" s="2"/>
      </tp>
      <tp t="s">
        <v>PSA</v>
        <stp/>
        <stp>##V3_BDPV12</stp>
        <stp>31415PGB8 Mtge</stp>
        <stp>MTG_PREPAY_TYP</stp>
        <stp>[Copy of 02_cpr_main.xlsx]data!R449C11</stp>
        <tr r="K449" s="2"/>
      </tp>
      <tp t="s">
        <v>#N/A N/A</v>
        <stp/>
        <stp>##V3_BDPV12</stp>
        <stp>31412PEV9 Mtge</stp>
        <stp>MTG_PREPAY_TYP</stp>
        <stp>[Copy of 02_cpr_main.xlsx]data!R412C11</stp>
        <tr r="K412" s="2"/>
      </tp>
      <tp t="s">
        <v>#N/A N/A</v>
        <stp/>
        <stp>##V3_BDPV12</stp>
        <stp>31412PBG5 Mtge</stp>
        <stp>MTG_PREPAY_TYP</stp>
        <stp>[Copy of 02_cpr_main.xlsx]data!R411C11</stp>
        <tr r="K411" s="2"/>
      </tp>
      <tp t="s">
        <v>#N/A N/A</v>
        <stp/>
        <stp>##V3_BDPV12</stp>
        <stp>3128NFL70 Mtge</stp>
        <stp>MTG_PREPAY_SPEED</stp>
        <stp>[Copy of 02_cpr_main.xlsx]data!R97C12</stp>
        <tr r="L97" s="2"/>
      </tp>
      <tp t="s">
        <v>#N/A N/A</v>
        <stp/>
        <stp>##V3_BDPV12</stp>
        <stp>36202WGD5 Mtge</stp>
        <stp>MTG_PREPAY_TYP</stp>
        <stp>[Copy of 02_cpr_main.xlsx]data!R476C11</stp>
        <tr r="K476" s="2"/>
      </tp>
      <tp t="s">
        <v>PSA</v>
        <stp/>
        <stp>##V3_BDPV12</stp>
        <stp>36202WH69 Mtge</stp>
        <stp>MTG_PREPAY_TYP</stp>
        <stp>[Copy of 02_cpr_main.xlsx]data!R477C11</stp>
        <tr r="K477" s="2"/>
      </tp>
      <tp t="s">
        <v>PSA</v>
        <stp/>
        <stp>##V3_BDPV12</stp>
        <stp>31415PMH8 Mtge</stp>
        <stp>MTG_PREPAY_TYP</stp>
        <stp>[Copy of 02_cpr_main.xlsx]data!R450C11</stp>
        <tr r="K450" s="2"/>
      </tp>
      <tp t="s">
        <v>#N/A N/A</v>
        <stp/>
        <stp>##V3_BDPV12</stp>
        <stp>3128M1L80 Mtge</stp>
        <stp>MTG_PREPAY_SPEED</stp>
        <stp>[Copy of 02_cpr_main.xlsx]data!R83C12</stp>
        <tr r="L83" s="2"/>
      </tp>
      <tp t="s">
        <v>PSA</v>
        <stp/>
        <stp>##V3_BDPV12</stp>
        <stp>36200WJE2 Mtge</stp>
        <stp>MTG_PREPAY_TYP</stp>
        <stp>[Copy of 02_cpr_main.xlsx]data!R470C11</stp>
        <tr r="K470" s="2"/>
      </tp>
      <tp>
        <v>187</v>
        <stp/>
        <stp>##V3_BDPV12</stp>
        <stp>21H060648 Mtge</stp>
        <stp>MTG_PREPAY_SPEED</stp>
        <stp>[Copy of 02_cpr_main.xlsx]data!R27C12</stp>
        <tr r="L27" s="2"/>
      </tp>
      <tp>
        <v>160</v>
        <stp/>
        <stp>##V3_BDPV12</stp>
        <stp>21H052645 Mtge</stp>
        <stp>MTG_PREPAY_SPEED</stp>
        <stp>[Copy of 02_cpr_main.xlsx]data!R26C12</stp>
        <tr r="L26" s="2"/>
      </tp>
      <tp>
        <v>187</v>
        <stp/>
        <stp>##V3_BDPV12</stp>
        <stp>21H060655 Mtge</stp>
        <stp>MTG_PREPAY_SPEED</stp>
        <stp>[Copy of 02_cpr_main.xlsx]data!R28C12</stp>
        <tr r="L28" s="2"/>
      </tp>
      <tp>
        <v>1611.9</v>
        <stp/>
        <stp>##V3_BDPV12</stp>
        <stp>31376J2W8 Mtge</stp>
        <stp xml:space="preserve">MTG_PL_PSA_3M </stp>
        <stp>[Copy of 02_cpr_main.xlsx]data!R186C14</stp>
        <tr r="N186" s="2"/>
      </tp>
      <tp>
        <v>0.2</v>
        <stp/>
        <stp>##V3_BDPV12</stp>
        <stp>31404J2J3 Mtge</stp>
        <stp xml:space="preserve">MTG_PL_PSA_6M </stp>
        <stp>[Copy of 02_cpr_main.xlsx]data!R314C15</stp>
        <tr r="O314" s="2"/>
      </tp>
      <tp>
        <v>195.5</v>
        <stp/>
        <stp>##V3_BDPV12</stp>
        <stp>36200M6G3 Mtge</stp>
        <stp xml:space="preserve">MTG_PL_PSA_3M </stp>
        <stp>[Copy of 02_cpr_main.xlsx]data!R465C14</stp>
        <tr r="N465" s="2"/>
      </tp>
      <tp t="s">
        <v>PSA</v>
        <stp/>
        <stp>##V3_BDPV12</stp>
        <stp>36209WQL9 Mtge</stp>
        <stp>MTG_PREPAY_TYP</stp>
        <stp>[Copy of 02_cpr_main.xlsx]data!R482C11</stp>
        <tr r="K482" s="2"/>
      </tp>
      <tp>
        <v>1666.7</v>
        <stp/>
        <stp>##V3_BDPV12</stp>
        <stp>31294J3N6 Mtge</stp>
        <stp xml:space="preserve">MTG_PL_PSA_3M </stp>
        <stp>[Copy of 02_cpr_main.xlsx]data!R126C14</stp>
        <tr r="N126" s="2"/>
      </tp>
      <tp>
        <v>2.7</v>
        <stp/>
        <stp>##V3_BDPV12</stp>
        <stp>31376J2J7 Mtge</stp>
        <stp xml:space="preserve">MTG_PL_PSA_3M </stp>
        <stp>[Copy of 02_cpr_main.xlsx]data!R185C14</stp>
        <tr r="N185" s="2"/>
      </tp>
      <tp>
        <v>0</v>
        <stp/>
        <stp>##V3_BDPV12</stp>
        <stp>31376J2W8 Mtge</stp>
        <stp xml:space="preserve">MTG_PL_PSA_1M </stp>
        <stp>[Copy of 02_cpr_main.xlsx]data!R186C13</stp>
        <tr r="M186" s="2"/>
      </tp>
      <tp>
        <v>1666.7</v>
        <stp/>
        <stp>##V3_BDPV12</stp>
        <stp>31294J3N6 Mtge</stp>
        <stp xml:space="preserve">MTG_PL_PSA_1M </stp>
        <stp>[Copy of 02_cpr_main.xlsx]data!R126C13</stp>
        <tr r="M126" s="2"/>
      </tp>
      <tp>
        <v>2.6</v>
        <stp/>
        <stp>##V3_BDPV12</stp>
        <stp>31376J2J7 Mtge</stp>
        <stp xml:space="preserve">MTG_PL_PSA_1M </stp>
        <stp>[Copy of 02_cpr_main.xlsx]data!R185C13</stp>
        <tr r="M185" s="2"/>
      </tp>
      <tp>
        <v>33.4</v>
        <stp/>
        <stp>##V3_BDPV12</stp>
        <stp>36200M6G3 Mtge</stp>
        <stp xml:space="preserve">MTG_PL_PSA_1M </stp>
        <stp>[Copy of 02_cpr_main.xlsx]data!R465C13</stp>
        <tr r="M465" s="2"/>
      </tp>
      <tp>
        <v>291.60000000000002</v>
        <stp/>
        <stp>##V3_BDPV12</stp>
        <stp>3128QJ4M5 Mtge</stp>
        <stp xml:space="preserve">MTG_PL_PSA_6M </stp>
        <stp>[Copy of 02_cpr_main.xlsx]data!R109C15</stp>
        <tr r="O109" s="2"/>
      </tp>
      <tp>
        <v>86</v>
        <stp/>
        <stp>##V3_BDPV12</stp>
        <stp>31292J5V8 Mtge</stp>
        <stp xml:space="preserve">MTG_PL_PSA_6M </stp>
        <stp>[Copy of 02_cpr_main.xlsx]data!R120C15</stp>
        <tr r="O120" s="2"/>
      </tp>
      <tp>
        <v>8.8000000000000007</v>
        <stp/>
        <stp>##V3_BDPV12</stp>
        <stp>31292J5A4 Mtge</stp>
        <stp xml:space="preserve">MTG_PL_PSA_6M </stp>
        <stp>[Copy of 02_cpr_main.xlsx]data!R119C15</stp>
        <tr r="O119" s="2"/>
      </tp>
      <tp t="s">
        <v>#N/A N/A</v>
        <stp/>
        <stp>##V3_BDPV12</stp>
        <stp>31414PTH2 Mtge</stp>
        <stp>MTG_PREPAY_TYP</stp>
        <stp>[Copy of 02_cpr_main.xlsx]data!R442C11</stp>
        <tr r="K442" s="2"/>
      </tp>
      <tp>
        <v>122.3</v>
        <stp/>
        <stp>##V3_BDPV12</stp>
        <stp>31294J5G9 Mtge</stp>
        <stp xml:space="preserve">MTG_PL_PSA_6M </stp>
        <stp>[Copy of 02_cpr_main.xlsx]data!R127C15</stp>
        <tr r="O127" s="2"/>
      </tp>
      <tp>
        <v>106.7</v>
        <stp/>
        <stp>##V3_BDPV12</stp>
        <stp>31292J5V8 Mtge</stp>
        <stp xml:space="preserve">MTG_PL_PSA_1M </stp>
        <stp>[Copy of 02_cpr_main.xlsx]data!R120C13</stp>
        <tr r="M120" s="2"/>
      </tp>
      <tp>
        <v>0</v>
        <stp/>
        <stp>##V3_BDPV12</stp>
        <stp>31294J5G9 Mtge</stp>
        <stp xml:space="preserve">MTG_PL_PSA_1M </stp>
        <stp>[Copy of 02_cpr_main.xlsx]data!R127C13</stp>
        <tr r="M127" s="2"/>
      </tp>
      <tp>
        <v>9.1999999999999993</v>
        <stp/>
        <stp>##V3_BDPV12</stp>
        <stp>31292J5A4 Mtge</stp>
        <stp xml:space="preserve">MTG_PL_PSA_1M </stp>
        <stp>[Copy of 02_cpr_main.xlsx]data!R119C13</stp>
        <tr r="M119" s="2"/>
      </tp>
      <tp>
        <v>1389</v>
        <stp/>
        <stp>##V3_BDPV12</stp>
        <stp>31376J2W8 Mtge</stp>
        <stp xml:space="preserve">MTG_PL_PSA_6M </stp>
        <stp>[Copy of 02_cpr_main.xlsx]data!R186C15</stp>
        <tr r="O186" s="2"/>
      </tp>
      <tp>
        <v>0.3</v>
        <stp/>
        <stp>##V3_BDPV12</stp>
        <stp>31404J2J3 Mtge</stp>
        <stp xml:space="preserve">MTG_PL_PSA_3M </stp>
        <stp>[Copy of 02_cpr_main.xlsx]data!R314C14</stp>
        <tr r="N314" s="2"/>
      </tp>
      <tp>
        <v>0</v>
        <stp/>
        <stp>##V3_BDPV12</stp>
        <stp>3128QJ4M5 Mtge</stp>
        <stp xml:space="preserve">MTG_PL_PSA_1M </stp>
        <stp>[Copy of 02_cpr_main.xlsx]data!R109C13</stp>
        <tr r="M109" s="2"/>
      </tp>
      <tp>
        <v>114.6</v>
        <stp/>
        <stp>##V3_BDPV12</stp>
        <stp>36200M6G3 Mtge</stp>
        <stp xml:space="preserve">MTG_PL_PSA_6M </stp>
        <stp>[Copy of 02_cpr_main.xlsx]data!R465C15</stp>
        <tr r="O465" s="2"/>
      </tp>
      <tp>
        <v>1666.7</v>
        <stp/>
        <stp>##V3_BDPV12</stp>
        <stp>31294J3N6 Mtge</stp>
        <stp xml:space="preserve">MTG_PL_PSA_6M </stp>
        <stp>[Copy of 02_cpr_main.xlsx]data!R126C15</stp>
        <tr r="O126" s="2"/>
      </tp>
      <tp>
        <v>2.6</v>
        <stp/>
        <stp>##V3_BDPV12</stp>
        <stp>31376J2J7 Mtge</stp>
        <stp xml:space="preserve">MTG_PL_PSA_6M </stp>
        <stp>[Copy of 02_cpr_main.xlsx]data!R185C15</stp>
        <tr r="O185" s="2"/>
      </tp>
      <tp>
        <v>104.9</v>
        <stp/>
        <stp>##V3_BDPV12</stp>
        <stp>31292J5V8 Mtge</stp>
        <stp xml:space="preserve">MTG_PL_PSA_3M </stp>
        <stp>[Copy of 02_cpr_main.xlsx]data!R120C14</stp>
        <tr r="N120" s="2"/>
      </tp>
      <tp>
        <v>9</v>
        <stp/>
        <stp>##V3_BDPV12</stp>
        <stp>31292J5A4 Mtge</stp>
        <stp xml:space="preserve">MTG_PL_PSA_3M </stp>
        <stp>[Copy of 02_cpr_main.xlsx]data!R119C14</stp>
        <tr r="N119" s="2"/>
      </tp>
      <tp>
        <v>169.6</v>
        <stp/>
        <stp>##V3_BDPV12</stp>
        <stp>31294J5G9 Mtge</stp>
        <stp xml:space="preserve">MTG_PL_PSA_3M </stp>
        <stp>[Copy of 02_cpr_main.xlsx]data!R127C14</stp>
        <tr r="N127" s="2"/>
      </tp>
      <tp>
        <v>0.6</v>
        <stp/>
        <stp>##V3_BDPV12</stp>
        <stp>31404J2J3 Mtge</stp>
        <stp xml:space="preserve">MTG_PL_PSA_1M </stp>
        <stp>[Copy of 02_cpr_main.xlsx]data!R314C13</stp>
        <tr r="M314" s="2"/>
      </tp>
      <tp>
        <v>165.8</v>
        <stp/>
        <stp>##V3_BDPV12</stp>
        <stp>3128QJ4M5 Mtge</stp>
        <stp xml:space="preserve">MTG_PL_PSA_3M </stp>
        <stp>[Copy of 02_cpr_main.xlsx]data!R109C14</stp>
        <tr r="N109" s="2"/>
      </tp>
      <tp t="s">
        <v>#N/A N/A</v>
        <stp/>
        <stp>##V3_BDPV12</stp>
        <stp>31410PYM9 Mtge</stp>
        <stp>MTG_PREPAY_TYP</stp>
        <stp>[Copy of 02_cpr_main.xlsx]data!R380C11</stp>
        <tr r="K380" s="2"/>
      </tp>
      <tp>
        <v>0.7</v>
        <stp/>
        <stp>##V3_BDPV12</stp>
        <stp>31413KBU4 Mtge</stp>
        <stp xml:space="preserve">MTG_PL_PSA_1M </stp>
        <stp>[Copy of 02_cpr_main.xlsx]data!R424C13</stp>
        <tr r="M424" s="2"/>
      </tp>
      <tp>
        <v>26</v>
        <stp/>
        <stp>##V3_BDPV12</stp>
        <stp>31371KGN5 Mtge</stp>
        <stp xml:space="preserve">MTG_PL_PSA_6M </stp>
        <stp>[Copy of 02_cpr_main.xlsx]data!R171C15</stp>
        <tr r="O171" s="2"/>
      </tp>
      <tp>
        <v>99.7</v>
        <stp/>
        <stp>##V3_BDPV12</stp>
        <stp>31407KGJ2 Mtge</stp>
        <stp xml:space="preserve">MTG_PL_PSA_3M </stp>
        <stp>[Copy of 02_cpr_main.xlsx]data!R343C14</stp>
        <tr r="N343" s="2"/>
      </tp>
      <tp>
        <v>1358.7</v>
        <stp/>
        <stp>##V3_BDPV12</stp>
        <stp>31401KCF0 Mtge</stp>
        <stp xml:space="preserve">MTG_PL_PSA_6M </stp>
        <stp>[Copy of 02_cpr_main.xlsx]data!R256C15</stp>
        <tr r="O256" s="2"/>
      </tp>
      <tp>
        <v>1661.3</v>
        <stp/>
        <stp>##V3_BDPV12</stp>
        <stp>31391KAL1 Mtge</stp>
        <stp xml:space="preserve">MTG_PL_PSA_3M </stp>
        <stp>[Copy of 02_cpr_main.xlsx]data!R237C14</stp>
        <tr r="N237" s="2"/>
      </tp>
      <tp>
        <v>0.2</v>
        <stp/>
        <stp>##V3_BDPV12</stp>
        <stp>31414KAV2 Mtge</stp>
        <stp xml:space="preserve">MTG_PL_PSA_3M </stp>
        <stp>[Copy of 02_cpr_main.xlsx]data!R440C14</stp>
        <tr r="N440" s="2"/>
      </tp>
      <tp>
        <v>0.7</v>
        <stp/>
        <stp>##V3_BDPV12</stp>
        <stp>31413KBU4 Mtge</stp>
        <stp xml:space="preserve">MTG_PL_PSA_3M </stp>
        <stp>[Copy of 02_cpr_main.xlsx]data!R424C14</stp>
        <tr r="N424" s="2"/>
      </tp>
      <tp>
        <v>102.1</v>
        <stp/>
        <stp>##V3_BDPV12</stp>
        <stp>31407KGJ2 Mtge</stp>
        <stp xml:space="preserve">MTG_PL_PSA_1M </stp>
        <stp>[Copy of 02_cpr_main.xlsx]data!R343C13</stp>
        <tr r="M343" s="2"/>
      </tp>
      <tp>
        <v>0</v>
        <stp/>
        <stp>##V3_BDPV12</stp>
        <stp>31391KAL1 Mtge</stp>
        <stp xml:space="preserve">MTG_PL_PSA_1M </stp>
        <stp>[Copy of 02_cpr_main.xlsx]data!R237C13</stp>
        <tr r="M237" s="2"/>
      </tp>
      <tp>
        <v>0.2</v>
        <stp/>
        <stp>##V3_BDPV12</stp>
        <stp>31414KAV2 Mtge</stp>
        <stp xml:space="preserve">MTG_PL_PSA_1M </stp>
        <stp>[Copy of 02_cpr_main.xlsx]data!R440C13</stp>
        <tr r="M440" s="2"/>
      </tp>
      <tp>
        <v>1666.7</v>
        <stp/>
        <stp>##V3_BDPV12</stp>
        <stp>31371KDF5 Mtge</stp>
        <stp xml:space="preserve">MTG_PL_PSA_6M </stp>
        <stp>[Copy of 02_cpr_main.xlsx]data!R170C15</stp>
        <tr r="O170" s="2"/>
      </tp>
      <tp>
        <v>0.2</v>
        <stp/>
        <stp>##V3_BDPV12</stp>
        <stp>31414KAV2 Mtge</stp>
        <stp xml:space="preserve">MTG_PL_PSA_6M </stp>
        <stp>[Copy of 02_cpr_main.xlsx]data!R440C15</stp>
        <tr r="O440" s="2"/>
      </tp>
      <tp>
        <v>1666.7</v>
        <stp/>
        <stp>##V3_BDPV12</stp>
        <stp>31371KDF5 Mtge</stp>
        <stp xml:space="preserve">MTG_PL_PSA_1M </stp>
        <stp>[Copy of 02_cpr_main.xlsx]data!R170C13</stp>
        <tr r="M170" s="2"/>
      </tp>
      <tp>
        <v>458.8</v>
        <stp/>
        <stp>##V3_BDPV12</stp>
        <stp>31407KGJ2 Mtge</stp>
        <stp xml:space="preserve">MTG_PL_PSA_6M </stp>
        <stp>[Copy of 02_cpr_main.xlsx]data!R343C15</stp>
        <tr r="O343" s="2"/>
      </tp>
      <tp>
        <v>18.7</v>
        <stp/>
        <stp>##V3_BDPV12</stp>
        <stp>31371KGN5 Mtge</stp>
        <stp xml:space="preserve">MTG_PL_PSA_3M </stp>
        <stp>[Copy of 02_cpr_main.xlsx]data!R171C14</stp>
        <tr r="N171" s="2"/>
      </tp>
      <tp>
        <v>2.1</v>
        <stp/>
        <stp>##V3_BDPV12</stp>
        <stp>31401KCF0 Mtge</stp>
        <stp xml:space="preserve">MTG_PL_PSA_3M </stp>
        <stp>[Copy of 02_cpr_main.xlsx]data!R256C14</stp>
        <tr r="N256" s="2"/>
      </tp>
      <tp>
        <v>1612.8</v>
        <stp/>
        <stp>##V3_BDPV12</stp>
        <stp>31391KAL1 Mtge</stp>
        <stp xml:space="preserve">MTG_PL_PSA_6M </stp>
        <stp>[Copy of 02_cpr_main.xlsx]data!R237C15</stp>
        <tr r="O237" s="2"/>
      </tp>
      <tp>
        <v>186</v>
        <stp/>
        <stp>##V3_BDPV12</stp>
        <stp>3128KWMW0 Mtge</stp>
        <stp>MTG_PREPAY_SPEED</stp>
        <stp>[Copy of 02_cpr_main.xlsx]data!R75C12</stp>
        <tr r="L75" s="2"/>
      </tp>
      <tp>
        <v>1666.7</v>
        <stp/>
        <stp>##V3_BDPV12</stp>
        <stp>31371KDF5 Mtge</stp>
        <stp xml:space="preserve">MTG_PL_PSA_3M </stp>
        <stp>[Copy of 02_cpr_main.xlsx]data!R170C14</stp>
        <tr r="N170" s="2"/>
      </tp>
      <tp>
        <v>0.6</v>
        <stp/>
        <stp>##V3_BDPV12</stp>
        <stp>31413KBU4 Mtge</stp>
        <stp xml:space="preserve">MTG_PL_PSA_6M </stp>
        <stp>[Copy of 02_cpr_main.xlsx]data!R424C15</stp>
        <tr r="O424" s="2"/>
      </tp>
      <tp>
        <v>20.2</v>
        <stp/>
        <stp>##V3_BDPV12</stp>
        <stp>31371KGN5 Mtge</stp>
        <stp xml:space="preserve">MTG_PL_PSA_1M </stp>
        <stp>[Copy of 02_cpr_main.xlsx]data!R171C13</stp>
        <tr r="M171" s="2"/>
      </tp>
      <tp>
        <v>0</v>
        <stp/>
        <stp>##V3_BDPV12</stp>
        <stp>31401KCF0 Mtge</stp>
        <stp xml:space="preserve">MTG_PL_PSA_1M </stp>
        <stp>[Copy of 02_cpr_main.xlsx]data!R256C13</stp>
        <tr r="M256" s="2"/>
      </tp>
      <tp>
        <v>-1772.1</v>
        <stp/>
        <stp>##V3_BDPV12</stp>
        <stp>31294KJS5 Mtge</stp>
        <stp xml:space="preserve">MTG_PL_PSA_3M </stp>
        <stp>[Copy of 02_cpr_main.xlsx]data!R130C14</stp>
        <tr r="N130" s="2"/>
      </tp>
      <tp>
        <v>1427.7</v>
        <stp/>
        <stp>##V3_BDPV12</stp>
        <stp>31371KNW7 Mtge</stp>
        <stp xml:space="preserve">MTG_PL_PSA_6M </stp>
        <stp>[Copy of 02_cpr_main.xlsx]data!R172C15</stp>
        <tr r="O172" s="2"/>
      </tp>
      <tp>
        <v>30</v>
        <stp/>
        <stp>##V3_BDPV12</stp>
        <stp>31377KKG9 Mtge</stp>
        <stp xml:space="preserve">MTG_PL_PSA_3M </stp>
        <stp>[Copy of 02_cpr_main.xlsx]data!R187C14</stp>
        <tr r="N187" s="2"/>
      </tp>
      <tp>
        <v>1666.7</v>
        <stp/>
        <stp>##V3_BDPV12</stp>
        <stp>31413KKF7 Mtge</stp>
        <stp xml:space="preserve">MTG_PL_PSA_1M </stp>
        <stp>[Copy of 02_cpr_main.xlsx]data!R425C13</stp>
        <tr r="M425" s="2"/>
      </tp>
      <tp>
        <v>1666.7</v>
        <stp/>
        <stp>##V3_BDPV12</stp>
        <stp>31413KL33 Mtge</stp>
        <stp xml:space="preserve">MTG_PL_PSA_6M </stp>
        <stp>[Copy of 02_cpr_main.xlsx]data!R426C15</stp>
        <tr r="O426" s="2"/>
      </tp>
      <tp>
        <v>869</v>
        <stp/>
        <stp>##V3_BDPV12</stp>
        <stp>31294KLK9 Mtge</stp>
        <stp xml:space="preserve">MTG_PL_PSA_6M </stp>
        <stp>[Copy of 02_cpr_main.xlsx]data!R131C15</stp>
        <tr r="O131" s="2"/>
      </tp>
      <tp>
        <v>0</v>
        <stp/>
        <stp>##V3_BDPV12</stp>
        <stp>31294KJS5 Mtge</stp>
        <stp xml:space="preserve">MTG_PL_PSA_1M </stp>
        <stp>[Copy of 02_cpr_main.xlsx]data!R130C13</stp>
        <tr r="M130" s="2"/>
      </tp>
      <tp>
        <v>34.5</v>
        <stp/>
        <stp>##V3_BDPV12</stp>
        <stp>31377KKG9 Mtge</stp>
        <stp xml:space="preserve">MTG_PL_PSA_1M </stp>
        <stp>[Copy of 02_cpr_main.xlsx]data!R187C13</stp>
        <tr r="M187" s="2"/>
      </tp>
      <tp>
        <v>1666.7</v>
        <stp/>
        <stp>##V3_BDPV12</stp>
        <stp>31413KKF7 Mtge</stp>
        <stp xml:space="preserve">MTG_PL_PSA_3M </stp>
        <stp>[Copy of 02_cpr_main.xlsx]data!R425C14</stp>
        <tr r="N425" s="2"/>
      </tp>
      <tp>
        <v>-14.1</v>
        <stp/>
        <stp>##V3_BDPV12</stp>
        <stp>31294KM51 Mtge</stp>
        <stp xml:space="preserve">MTG_PL_PSA_6M </stp>
        <stp>[Copy of 02_cpr_main.xlsx]data!R132C15</stp>
        <tr r="O132" s="2"/>
      </tp>
      <tp>
        <v>129.1</v>
        <stp/>
        <stp>##V3_BDPV12</stp>
        <stp>31294KJS5 Mtge</stp>
        <stp xml:space="preserve">MTG_PL_PSA_6M </stp>
        <stp>[Copy of 02_cpr_main.xlsx]data!R130C15</stp>
        <tr r="O130" s="2"/>
      </tp>
      <tp>
        <v>1595.7</v>
        <stp/>
        <stp>##V3_BDPV12</stp>
        <stp>31371KNW7 Mtge</stp>
        <stp xml:space="preserve">MTG_PL_PSA_3M </stp>
        <stp>[Copy of 02_cpr_main.xlsx]data!R172C14</stp>
        <tr r="N172" s="2"/>
      </tp>
      <tp>
        <v>25.3</v>
        <stp/>
        <stp>##V3_BDPV12</stp>
        <stp>31377KKG9 Mtge</stp>
        <stp xml:space="preserve">MTG_PL_PSA_6M </stp>
        <stp>[Copy of 02_cpr_main.xlsx]data!R187C15</stp>
        <tr r="O187" s="2"/>
      </tp>
      <tp>
        <v>0</v>
        <stp/>
        <stp>##V3_BDPV12</stp>
        <stp>31294KM51 Mtge</stp>
        <stp xml:space="preserve">MTG_PL_PSA_1M </stp>
        <stp>[Copy of 02_cpr_main.xlsx]data!R132C13</stp>
        <tr r="M132" s="2"/>
      </tp>
      <tp>
        <v>1666.7</v>
        <stp/>
        <stp>##V3_BDPV12</stp>
        <stp>31413KL33 Mtge</stp>
        <stp xml:space="preserve">MTG_PL_PSA_3M </stp>
        <stp>[Copy of 02_cpr_main.xlsx]data!R426C14</stp>
        <tr r="N426" s="2"/>
      </tp>
      <tp>
        <v>0</v>
        <stp/>
        <stp>##V3_BDPV12</stp>
        <stp>31294KLK9 Mtge</stp>
        <stp xml:space="preserve">MTG_PL_PSA_1M </stp>
        <stp>[Copy of 02_cpr_main.xlsx]data!R131C13</stp>
        <tr r="M131" s="2"/>
      </tp>
      <tp>
        <v>0</v>
        <stp/>
        <stp>##V3_BDPV12</stp>
        <stp>31371KNW7 Mtge</stp>
        <stp xml:space="preserve">MTG_PL_PSA_1M </stp>
        <stp>[Copy of 02_cpr_main.xlsx]data!R172C13</stp>
        <tr r="M172" s="2"/>
      </tp>
      <tp>
        <v>1694.9</v>
        <stp/>
        <stp>##V3_BDPV12</stp>
        <stp>31413KKF7 Mtge</stp>
        <stp xml:space="preserve">MTG_PL_PSA_6M </stp>
        <stp>[Copy of 02_cpr_main.xlsx]data!R425C15</stp>
        <tr r="O425" s="2"/>
      </tp>
      <tp>
        <v>-602.29999999999995</v>
        <stp/>
        <stp>##V3_BDPV12</stp>
        <stp>31294KM51 Mtge</stp>
        <stp xml:space="preserve">MTG_PL_PSA_3M </stp>
        <stp>[Copy of 02_cpr_main.xlsx]data!R132C14</stp>
        <tr r="N132" s="2"/>
      </tp>
      <tp>
        <v>1666.7</v>
        <stp/>
        <stp>##V3_BDPV12</stp>
        <stp>31413KL33 Mtge</stp>
        <stp xml:space="preserve">MTG_PL_PSA_1M </stp>
        <stp>[Copy of 02_cpr_main.xlsx]data!R426C13</stp>
        <tr r="M426" s="2"/>
      </tp>
      <tp>
        <v>801.9</v>
        <stp/>
        <stp>##V3_BDPV12</stp>
        <stp>31294KLK9 Mtge</stp>
        <stp xml:space="preserve">MTG_PL_PSA_3M </stp>
        <stp>[Copy of 02_cpr_main.xlsx]data!R131C14</stp>
        <tr r="N131" s="2"/>
      </tp>
      <tp>
        <v>157.80000000000001</v>
        <stp/>
        <stp>##V3_BDPV12</stp>
        <stp>31410KRX4 Mtge</stp>
        <stp xml:space="preserve">MTG_PL_PSA_6M </stp>
        <stp>[Copy of 02_cpr_main.xlsx]data!R375C15</stp>
        <tr r="O375" s="2"/>
      </tp>
      <tp>
        <v>227</v>
        <stp/>
        <stp>##V3_BDPV12</stp>
        <stp>31371KWH0 Mtge</stp>
        <stp xml:space="preserve">MTG_PL_PSA_6M </stp>
        <stp>[Copy of 02_cpr_main.xlsx]data!R173C15</stp>
        <tr r="O173" s="2"/>
      </tp>
      <tp>
        <v>1666.7</v>
        <stp/>
        <stp>##V3_BDPV12</stp>
        <stp>31410KUN2 Mtge</stp>
        <stp xml:space="preserve">MTG_PL_PSA_1M </stp>
        <stp>[Copy of 02_cpr_main.xlsx]data!R377C13</stp>
        <tr r="M377" s="2"/>
      </tp>
      <tp>
        <v>190.5</v>
        <stp/>
        <stp>##V3_BDPV12</stp>
        <stp>31403KRB1 Mtge</stp>
        <stp xml:space="preserve">MTG_PL_PSA_6M </stp>
        <stp>[Copy of 02_cpr_main.xlsx]data!R308C15</stp>
        <tr r="O308" s="2"/>
      </tp>
      <tp>
        <v>1422.2</v>
        <stp/>
        <stp>##V3_BDPV12</stp>
        <stp>31294KSM8 Mtge</stp>
        <stp xml:space="preserve">MTG_PL_PSA_3M </stp>
        <stp>[Copy of 02_cpr_main.xlsx]data!R134C14</stp>
        <tr r="N134" s="2"/>
      </tp>
      <tp>
        <v>1334.9</v>
        <stp/>
        <stp>##V3_BDPV12</stp>
        <stp>31382KR26 Mtge</stp>
        <stp xml:space="preserve">MTG_PL_PSA_3M </stp>
        <stp>[Copy of 02_cpr_main.xlsx]data!R198C14</stp>
        <tr r="N198" s="2"/>
      </tp>
      <tp>
        <v>1666.7</v>
        <stp/>
        <stp>##V3_BDPV12</stp>
        <stp>31410KR22 Mtge</stp>
        <stp xml:space="preserve">MTG_PL_PSA_6M </stp>
        <stp>[Copy of 02_cpr_main.xlsx]data!R374C15</stp>
        <tr r="O374" s="2"/>
      </tp>
      <tp>
        <v>1570.2</v>
        <stp/>
        <stp>##V3_BDPV12</stp>
        <stp>31294KRY3 Mtge</stp>
        <stp xml:space="preserve">MTG_PL_PSA_3M </stp>
        <stp>[Copy of 02_cpr_main.xlsx]data!R133C14</stp>
        <tr r="N133" s="2"/>
      </tp>
      <tp>
        <v>185.9</v>
        <stp/>
        <stp>##V3_BDPV12</stp>
        <stp>31410KTH7 Mtge</stp>
        <stp xml:space="preserve">MTG_PL_PSA_1M </stp>
        <stp>[Copy of 02_cpr_main.xlsx]data!R376C13</stp>
        <tr r="M376" s="2"/>
      </tp>
      <tp>
        <v>0</v>
        <stp/>
        <stp>##V3_BDPV12</stp>
        <stp>31382KQ43 Mtge</stp>
        <stp xml:space="preserve">MTG_PL_PSA_1M </stp>
        <stp>[Copy of 02_cpr_main.xlsx]data!R197C13</stp>
        <tr r="M197" s="2"/>
      </tp>
      <tp>
        <v>1313.2</v>
        <stp/>
        <stp>##V3_BDPV12</stp>
        <stp>31401KR49 Mtge</stp>
        <stp xml:space="preserve">MTG_PL_PSA_6M </stp>
        <stp>[Copy of 02_cpr_main.xlsx]data!R257C15</stp>
        <tr r="O257" s="2"/>
      </tp>
      <tp>
        <v>1666.7</v>
        <stp/>
        <stp>##V3_BDPV12</stp>
        <stp>31410KUN2 Mtge</stp>
        <stp xml:space="preserve">MTG_PL_PSA_3M </stp>
        <stp>[Copy of 02_cpr_main.xlsx]data!R377C14</stp>
        <tr r="N377" s="2"/>
      </tp>
      <tp>
        <v>0</v>
        <stp/>
        <stp>##V3_BDPV12</stp>
        <stp>31294KSM8 Mtge</stp>
        <stp xml:space="preserve">MTG_PL_PSA_1M </stp>
        <stp>[Copy of 02_cpr_main.xlsx]data!R134C13</stp>
        <tr r="M134" s="2"/>
      </tp>
      <tp>
        <v>1666.7</v>
        <stp/>
        <stp>##V3_BDPV12</stp>
        <stp>31400KQ66 Mtge</stp>
        <stp xml:space="preserve">MTG_PL_PSA_6M </stp>
        <stp>[Copy of 02_cpr_main.xlsx]data!R247C15</stp>
        <tr r="O247" s="2"/>
      </tp>
      <tp>
        <v>0</v>
        <stp/>
        <stp>##V3_BDPV12</stp>
        <stp>31382KR26 Mtge</stp>
        <stp xml:space="preserve">MTG_PL_PSA_1M </stp>
        <stp>[Copy of 02_cpr_main.xlsx]data!R198C13</stp>
        <tr r="M198" s="2"/>
      </tp>
      <tp>
        <v>0</v>
        <stp/>
        <stp>##V3_BDPV12</stp>
        <stp>31294KRY3 Mtge</stp>
        <stp xml:space="preserve">MTG_PL_PSA_1M </stp>
        <stp>[Copy of 02_cpr_main.xlsx]data!R133C13</stp>
        <tr r="M133" s="2"/>
      </tp>
      <tp>
        <v>206.7</v>
        <stp/>
        <stp>##V3_BDPV12</stp>
        <stp>31410KTH7 Mtge</stp>
        <stp xml:space="preserve">MTG_PL_PSA_3M </stp>
        <stp>[Copy of 02_cpr_main.xlsx]data!R376C14</stp>
        <tr r="N376" s="2"/>
      </tp>
      <tp>
        <v>1666.7</v>
        <stp/>
        <stp>##V3_BDPV12</stp>
        <stp>36210LPE7 Mtge</stp>
        <stp xml:space="preserve">MTG_PL_PSA_6M </stp>
        <stp>[Copy of 02_cpr_main.xlsx]data!R484C15</stp>
        <tr r="O484" s="2"/>
      </tp>
      <tp>
        <v>186.2</v>
        <stp/>
        <stp>##V3_BDPV12</stp>
        <stp>31410KQJ6 Mtge</stp>
        <stp xml:space="preserve">MTG_PL_PSA_6M </stp>
        <stp>[Copy of 02_cpr_main.xlsx]data!R373C15</stp>
        <tr r="O373" s="2"/>
      </tp>
      <tp>
        <v>423.6</v>
        <stp/>
        <stp>##V3_BDPV12</stp>
        <stp>31382KQ43 Mtge</stp>
        <stp xml:space="preserve">MTG_PL_PSA_3M </stp>
        <stp>[Copy of 02_cpr_main.xlsx]data!R197C14</stp>
        <tr r="N197" s="2"/>
      </tp>
      <tp>
        <v>1298.3</v>
        <stp/>
        <stp>##V3_BDPV12</stp>
        <stp>31294KRY3 Mtge</stp>
        <stp xml:space="preserve">MTG_PL_PSA_6M </stp>
        <stp>[Copy of 02_cpr_main.xlsx]data!R133C15</stp>
        <tr r="O133" s="2"/>
      </tp>
      <tp>
        <v>1666.7</v>
        <stp/>
        <stp>##V3_BDPV12</stp>
        <stp>36210LPE7 Mtge</stp>
        <stp xml:space="preserve">MTG_PL_PSA_1M </stp>
        <stp>[Copy of 02_cpr_main.xlsx]data!R484C13</stp>
        <tr r="M484" s="2"/>
      </tp>
      <tp>
        <v>123.2</v>
        <stp/>
        <stp>##V3_BDPV12</stp>
        <stp>31410KQJ6 Mtge</stp>
        <stp xml:space="preserve">MTG_PL_PSA_1M </stp>
        <stp>[Copy of 02_cpr_main.xlsx]data!R373C13</stp>
        <tr r="M373" s="2"/>
      </tp>
      <tp t="s">
        <v>PSA</v>
        <stp/>
        <stp>##V3_BDPV12</stp>
        <stp>36290V5G5 Mtge</stp>
        <stp>MTG_PREPAY_TYP</stp>
        <stp>[Copy of 02_cpr_main.xlsx]data!R497C11</stp>
        <tr r="K497" s="2"/>
      </tp>
      <tp>
        <v>1415.2</v>
        <stp/>
        <stp>##V3_BDPV12</stp>
        <stp>31401KR49 Mtge</stp>
        <stp xml:space="preserve">MTG_PL_PSA_3M </stp>
        <stp>[Copy of 02_cpr_main.xlsx]data!R257C14</stp>
        <tr r="N257" s="2"/>
      </tp>
      <tp>
        <v>195</v>
        <stp/>
        <stp>##V3_BDPV12</stp>
        <stp>31410KRX4 Mtge</stp>
        <stp xml:space="preserve">MTG_PL_PSA_3M </stp>
        <stp>[Copy of 02_cpr_main.xlsx]data!R375C14</stp>
        <tr r="N375" s="2"/>
      </tp>
      <tp>
        <v>198.2</v>
        <stp/>
        <stp>##V3_BDPV12</stp>
        <stp>31371KWH0 Mtge</stp>
        <stp xml:space="preserve">MTG_PL_PSA_3M </stp>
        <stp>[Copy of 02_cpr_main.xlsx]data!R173C14</stp>
        <tr r="N173" s="2"/>
      </tp>
      <tp>
        <v>32.799999999999997</v>
        <stp/>
        <stp>##V3_BDPV12</stp>
        <stp>31403KRB1 Mtge</stp>
        <stp xml:space="preserve">MTG_PL_PSA_3M </stp>
        <stp>[Copy of 02_cpr_main.xlsx]data!R308C14</stp>
        <tr r="N308" s="2"/>
      </tp>
      <tp>
        <v>1210.9000000000001</v>
        <stp/>
        <stp>##V3_BDPV12</stp>
        <stp>31294KSM8 Mtge</stp>
        <stp xml:space="preserve">MTG_PL_PSA_6M </stp>
        <stp>[Copy of 02_cpr_main.xlsx]data!R134C15</stp>
        <tr r="O134" s="2"/>
      </tp>
      <tp>
        <v>1324</v>
        <stp/>
        <stp>##V3_BDPV12</stp>
        <stp>31382KR26 Mtge</stp>
        <stp xml:space="preserve">MTG_PL_PSA_6M </stp>
        <stp>[Copy of 02_cpr_main.xlsx]data!R198C15</stp>
        <tr r="O198" s="2"/>
      </tp>
      <tp>
        <v>1666.7</v>
        <stp/>
        <stp>##V3_BDPV12</stp>
        <stp>31400KQ66 Mtge</stp>
        <stp xml:space="preserve">MTG_PL_PSA_1M </stp>
        <stp>[Copy of 02_cpr_main.xlsx]data!R247C13</stp>
        <tr r="M247" s="2"/>
      </tp>
      <tp>
        <v>1666.7</v>
        <stp/>
        <stp>##V3_BDPV12</stp>
        <stp>31410KR22 Mtge</stp>
        <stp xml:space="preserve">MTG_PL_PSA_3M </stp>
        <stp>[Copy of 02_cpr_main.xlsx]data!R374C14</stp>
        <tr r="N374" s="2"/>
      </tp>
      <tp>
        <v>180.9</v>
        <stp/>
        <stp>##V3_BDPV12</stp>
        <stp>31410KTH7 Mtge</stp>
        <stp xml:space="preserve">MTG_PL_PSA_6M </stp>
        <stp>[Copy of 02_cpr_main.xlsx]data!R376C15</stp>
        <tr r="O376" s="2"/>
      </tp>
      <tp>
        <v>1666.7</v>
        <stp/>
        <stp>##V3_BDPV12</stp>
        <stp>36210LPE7 Mtge</stp>
        <stp xml:space="preserve">MTG_PL_PSA_3M </stp>
        <stp>[Copy of 02_cpr_main.xlsx]data!R484C14</stp>
        <tr r="N484" s="2"/>
      </tp>
      <tp>
        <v>126.9</v>
        <stp/>
        <stp>##V3_BDPV12</stp>
        <stp>31410KQJ6 Mtge</stp>
        <stp xml:space="preserve">MTG_PL_PSA_3M </stp>
        <stp>[Copy of 02_cpr_main.xlsx]data!R373C14</stp>
        <tr r="N373" s="2"/>
      </tp>
      <tp>
        <v>0</v>
        <stp/>
        <stp>##V3_BDPV12</stp>
        <stp>31401KR49 Mtge</stp>
        <stp xml:space="preserve">MTG_PL_PSA_1M </stp>
        <stp>[Copy of 02_cpr_main.xlsx]data!R257C13</stp>
        <tr r="M257" s="2"/>
      </tp>
      <tp>
        <v>1000.8</v>
        <stp/>
        <stp>##V3_BDPV12</stp>
        <stp>31382KQ43 Mtge</stp>
        <stp xml:space="preserve">MTG_PL_PSA_6M </stp>
        <stp>[Copy of 02_cpr_main.xlsx]data!R197C15</stp>
        <tr r="O197" s="2"/>
      </tp>
      <tp>
        <v>170.2</v>
        <stp/>
        <stp>##V3_BDPV12</stp>
        <stp>31410KRX4 Mtge</stp>
        <stp xml:space="preserve">MTG_PL_PSA_1M </stp>
        <stp>[Copy of 02_cpr_main.xlsx]data!R375C13</stp>
        <tr r="M375" s="2"/>
      </tp>
      <tp>
        <v>1666.7</v>
        <stp/>
        <stp>##V3_BDPV12</stp>
        <stp>31410KUN2 Mtge</stp>
        <stp xml:space="preserve">MTG_PL_PSA_6M </stp>
        <stp>[Copy of 02_cpr_main.xlsx]data!R377C15</stp>
        <tr r="O377" s="2"/>
      </tp>
      <tp>
        <v>234.7</v>
        <stp/>
        <stp>##V3_BDPV12</stp>
        <stp>31371KWH0 Mtge</stp>
        <stp xml:space="preserve">MTG_PL_PSA_1M </stp>
        <stp>[Copy of 02_cpr_main.xlsx]data!R173C13</stp>
        <tr r="M173" s="2"/>
      </tp>
      <tp>
        <v>54.8</v>
        <stp/>
        <stp>##V3_BDPV12</stp>
        <stp>31403KRB1 Mtge</stp>
        <stp xml:space="preserve">MTG_PL_PSA_1M </stp>
        <stp>[Copy of 02_cpr_main.xlsx]data!R308C13</stp>
        <tr r="M308" s="2"/>
      </tp>
      <tp>
        <v>1666.7</v>
        <stp/>
        <stp>##V3_BDPV12</stp>
        <stp>31410KR22 Mtge</stp>
        <stp xml:space="preserve">MTG_PL_PSA_1M </stp>
        <stp>[Copy of 02_cpr_main.xlsx]data!R374C13</stp>
        <tr r="M374" s="2"/>
      </tp>
      <tp>
        <v>1666.7</v>
        <stp/>
        <stp>##V3_BDPV12</stp>
        <stp>31400KQ66 Mtge</stp>
        <stp xml:space="preserve">MTG_PL_PSA_3M </stp>
        <stp>[Copy of 02_cpr_main.xlsx]data!R247C14</stp>
        <tr r="N247" s="2"/>
      </tp>
      <tp>
        <v>0</v>
        <stp/>
        <stp>##V3_BDPV12</stp>
        <stp>31405KZ20 Mtge</stp>
        <stp xml:space="preserve">MTG_PL_PSA_6M </stp>
        <stp>[Copy of 02_cpr_main.xlsx]data!R327C15</stp>
        <tr r="O327" s="2"/>
      </tp>
      <tp>
        <v>1443.9</v>
        <stp/>
        <stp>##V3_BDPV12</stp>
        <stp>31294KZL2 Mtge</stp>
        <stp xml:space="preserve">MTG_PL_PSA_3M </stp>
        <stp>[Copy of 02_cpr_main.xlsx]data!R135C14</stp>
        <tr r="N135" s="2"/>
      </tp>
      <tp>
        <v>0</v>
        <stp/>
        <stp>##V3_BDPV12</stp>
        <stp>31294KZL2 Mtge</stp>
        <stp xml:space="preserve">MTG_PL_PSA_1M </stp>
        <stp>[Copy of 02_cpr_main.xlsx]data!R135C13</stp>
        <tr r="M135" s="2"/>
      </tp>
      <tp>
        <v>1308.7</v>
        <stp/>
        <stp>##V3_BDPV12</stp>
        <stp>31294KZL2 Mtge</stp>
        <stp xml:space="preserve">MTG_PL_PSA_6M </stp>
        <stp>[Copy of 02_cpr_main.xlsx]data!R135C15</stp>
        <tr r="O135" s="2"/>
      </tp>
      <tp>
        <v>170</v>
        <stp/>
        <stp>##V3_BDPV12</stp>
        <stp>3128LDMN1 Mtge</stp>
        <stp>MTG_PREPAY_SPEED</stp>
        <stp>[Copy of 02_cpr_main.xlsx]data!R78C12</stp>
        <tr r="L78" s="2"/>
      </tp>
      <tp>
        <v>0</v>
        <stp/>
        <stp>##V3_BDPV12</stp>
        <stp>31405KZ20 Mtge</stp>
        <stp xml:space="preserve">MTG_PL_PSA_3M </stp>
        <stp>[Copy of 02_cpr_main.xlsx]data!R327C14</stp>
        <tr r="N327" s="2"/>
      </tp>
      <tp>
        <v>0</v>
        <stp/>
        <stp>##V3_BDPV12</stp>
        <stp>31405KZ20 Mtge</stp>
        <stp xml:space="preserve">MTG_PL_PSA_1M </stp>
        <stp>[Copy of 02_cpr_main.xlsx]data!R327C13</stp>
        <tr r="M327" s="2"/>
      </tp>
      <tp t="s">
        <v>PSA</v>
        <stp/>
        <stp>##V3_BDPV12</stp>
        <stp>31415QGG5 Mtge</stp>
        <stp>MTG_PREPAY_TYP</stp>
        <stp>[Copy of 02_cpr_main.xlsx]data!R451C11</stp>
        <tr r="K451" s="2"/>
      </tp>
      <tp t="s">
        <v>CPR</v>
        <stp/>
        <stp>##V3_BDPV12</stp>
        <stp>31404QA74 Mtge</stp>
        <stp>MTG_PREPAY_TYP</stp>
        <stp>[Copy of 02_cpr_main.xlsx]data!R318C11</stp>
        <tr r="K318" s="2"/>
      </tp>
      <tp t="s">
        <v>PSA</v>
        <stp/>
        <stp>##V3_BDPV12</stp>
        <stp>31414QAE7 Mtge</stp>
        <stp>MTG_PREPAY_TYP</stp>
        <stp>[Copy of 02_cpr_main.xlsx]data!R443C11</stp>
        <tr r="K443" s="2"/>
      </tp>
      <tp t="s">
        <v>CPR</v>
        <stp/>
        <stp>##V3_BDPV12</stp>
        <stp>31406QGE1 Mtge</stp>
        <stp>MTG_PREPAY_TYP</stp>
        <stp>[Copy of 02_cpr_main.xlsx]data!R338C11</stp>
        <tr r="K338" s="2"/>
      </tp>
      <tp t="s">
        <v>#N/A N/A</v>
        <stp/>
        <stp>##V3_BDPV12</stp>
        <stp>31410QPT2 Mtge</stp>
        <stp>MTG_PREPAY_TYP</stp>
        <stp>[Copy of 02_cpr_main.xlsx]data!R381C11</stp>
        <tr r="K381" s="2"/>
      </tp>
      <tp>
        <v>0.8</v>
        <stp/>
        <stp>##V3_BDPV12</stp>
        <stp>31413K5A5 Mtge</stp>
        <stp xml:space="preserve">MTG_PL_PSA_6M </stp>
        <stp>[Copy of 02_cpr_main.xlsx]data!R423C15</stp>
        <tr r="O423" s="2"/>
      </tp>
      <tp>
        <v>0</v>
        <stp/>
        <stp>##V3_BDPV12</stp>
        <stp>31403K4Q3 Mtge</stp>
        <stp xml:space="preserve">MTG_PL_PSA_1M </stp>
        <stp>[Copy of 02_cpr_main.xlsx]data!R307C13</stp>
        <tr r="M307" s="2"/>
      </tp>
      <tp>
        <v>1610.8</v>
        <stp/>
        <stp>##V3_BDPV12</stp>
        <stp>31371K6K2 Mtge</stp>
        <stp xml:space="preserve">MTG_PL_PSA_6M </stp>
        <stp>[Copy of 02_cpr_main.xlsx]data!R169C15</stp>
        <tr r="O169" s="2"/>
      </tp>
      <tp>
        <v>226.2</v>
        <stp/>
        <stp>##V3_BDPV12</stp>
        <stp>31371K3A7 Mtge</stp>
        <stp xml:space="preserve">MTG_PL_PSA_3M </stp>
        <stp>[Copy of 02_cpr_main.xlsx]data!R167C14</stp>
        <tr r="N167" s="2"/>
      </tp>
      <tp>
        <v>1319.2</v>
        <stp/>
        <stp>##V3_BDPV12</stp>
        <stp>31371K5T4 Mtge</stp>
        <stp xml:space="preserve">MTG_PL_PSA_6M </stp>
        <stp>[Copy of 02_cpr_main.xlsx]data!R168C15</stp>
        <tr r="O168" s="2"/>
      </tp>
      <tp t="s">
        <v>#N/A N/A</v>
        <stp/>
        <stp>##V3_BDPV12</stp>
        <stp>36210VRS2 Mtge</stp>
        <stp>MTG_PREPAY_TYP</stp>
        <stp>[Copy of 02_cpr_main.xlsx]data!R485C11</stp>
        <tr r="K485" s="2"/>
      </tp>
      <tp>
        <v>0</v>
        <stp/>
        <stp>##V3_BDPV12</stp>
        <stp>31403K4Q3 Mtge</stp>
        <stp xml:space="preserve">MTG_PL_PSA_3M </stp>
        <stp>[Copy of 02_cpr_main.xlsx]data!R307C14</stp>
        <tr r="N307" s="2"/>
      </tp>
      <tp>
        <v>28.2</v>
        <stp/>
        <stp>##V3_BDPV12</stp>
        <stp>31371K3A7 Mtge</stp>
        <stp xml:space="preserve">MTG_PL_PSA_1M </stp>
        <stp>[Copy of 02_cpr_main.xlsx]data!R167C13</stp>
        <tr r="M167" s="2"/>
      </tp>
      <tp>
        <v>1661.8</v>
        <stp/>
        <stp>##V3_BDPV12</stp>
        <stp>31371K6K2 Mtge</stp>
        <stp xml:space="preserve">MTG_PL_PSA_3M </stp>
        <stp>[Copy of 02_cpr_main.xlsx]data!R169C14</stp>
        <tr r="N169" s="2"/>
      </tp>
      <tp>
        <v>250.7</v>
        <stp/>
        <stp>##V3_BDPV12</stp>
        <stp>31371K3A7 Mtge</stp>
        <stp xml:space="preserve">MTG_PL_PSA_6M </stp>
        <stp>[Copy of 02_cpr_main.xlsx]data!R167C15</stp>
        <tr r="O167" s="2"/>
      </tp>
      <tp t="s">
        <v>PSA</v>
        <stp/>
        <stp>##V3_BDPV12</stp>
        <stp>31413QS90 Mtge</stp>
        <stp>MTG_PREPAY_TYP</stp>
        <stp>[Copy of 02_cpr_main.xlsx]data!R431C11</stp>
        <tr r="K431" s="2"/>
      </tp>
      <tp>
        <v>0</v>
        <stp/>
        <stp>##V3_BDPV12</stp>
        <stp>31371K5T4 Mtge</stp>
        <stp xml:space="preserve">MTG_PL_PSA_1M </stp>
        <stp>[Copy of 02_cpr_main.xlsx]data!R168C13</stp>
        <tr r="M168" s="2"/>
      </tp>
      <tp>
        <v>0.9</v>
        <stp/>
        <stp>##V3_BDPV12</stp>
        <stp>31413K5A5 Mtge</stp>
        <stp xml:space="preserve">MTG_PL_PSA_3M </stp>
        <stp>[Copy of 02_cpr_main.xlsx]data!R423C14</stp>
        <tr r="N423" s="2"/>
      </tp>
      <tp>
        <v>0</v>
        <stp/>
        <stp>##V3_BDPV12</stp>
        <stp>31403K4Q3 Mtge</stp>
        <stp xml:space="preserve">MTG_PL_PSA_6M </stp>
        <stp>[Copy of 02_cpr_main.xlsx]data!R307C15</stp>
        <tr r="O307" s="2"/>
      </tp>
      <tp>
        <v>0</v>
        <stp/>
        <stp>##V3_BDPV12</stp>
        <stp>31371K6K2 Mtge</stp>
        <stp xml:space="preserve">MTG_PL_PSA_1M </stp>
        <stp>[Copy of 02_cpr_main.xlsx]data!R169C13</stp>
        <tr r="M169" s="2"/>
      </tp>
      <tp>
        <v>1405.9</v>
        <stp/>
        <stp>##V3_BDPV12</stp>
        <stp>31371K5T4 Mtge</stp>
        <stp xml:space="preserve">MTG_PL_PSA_3M </stp>
        <stp>[Copy of 02_cpr_main.xlsx]data!R168C14</stp>
        <tr r="N168" s="2"/>
      </tp>
      <tp>
        <v>0.9</v>
        <stp/>
        <stp>##V3_BDPV12</stp>
        <stp>31413K5A5 Mtge</stp>
        <stp xml:space="preserve">MTG_PL_PSA_1M </stp>
        <stp>[Copy of 02_cpr_main.xlsx]data!R423C13</stp>
        <tr r="M423" s="2"/>
      </tp>
      <tp>
        <v>1666.7</v>
        <stp/>
        <stp>##V3_BDPV12</stp>
        <stp>31382HBK0 Mtge</stp>
        <stp xml:space="preserve">MTG_PL_PSA_3M </stp>
        <stp>[Copy of 02_cpr_main.xlsx]data!R196C14</stp>
        <tr r="N196" s="2"/>
      </tp>
      <tp>
        <v>75.3</v>
        <stp/>
        <stp>##V3_BDPV12</stp>
        <stp>31414HDB0 Mtge</stp>
        <stp xml:space="preserve">MTG_PL_PSA_6M </stp>
        <stp>[Copy of 02_cpr_main.xlsx]data!R439C15</stp>
        <tr r="O439" s="2"/>
      </tp>
      <tp>
        <v>1216.5999999999999</v>
        <stp/>
        <stp>##V3_BDPV12</stp>
        <stp>31391HFQ2 Mtge</stp>
        <stp xml:space="preserve">MTG_PL_PSA_6M </stp>
        <stp>[Copy of 02_cpr_main.xlsx]data!R236C15</stp>
        <tr r="O236" s="2"/>
      </tp>
      <tp>
        <v>1666.7</v>
        <stp/>
        <stp>##V3_BDPV12</stp>
        <stp>31382HBK0 Mtge</stp>
        <stp xml:space="preserve">MTG_PL_PSA_1M </stp>
        <stp>[Copy of 02_cpr_main.xlsx]data!R196C13</stp>
        <tr r="M196" s="2"/>
      </tp>
      <tp>
        <v>78.8</v>
        <stp/>
        <stp>##V3_BDPV12</stp>
        <stp>31414HDB0 Mtge</stp>
        <stp xml:space="preserve">MTG_PL_PSA_3M </stp>
        <stp>[Copy of 02_cpr_main.xlsx]data!R439C14</stp>
        <tr r="N439" s="2"/>
      </tp>
      <tp>
        <v>0</v>
        <stp/>
        <stp>##V3_BDPV12</stp>
        <stp>31391HFQ2 Mtge</stp>
        <stp xml:space="preserve">MTG_PL_PSA_1M </stp>
        <stp>[Copy of 02_cpr_main.xlsx]data!R236C13</stp>
        <tr r="M236" s="2"/>
      </tp>
      <tp>
        <v>1666.7</v>
        <stp/>
        <stp>##V3_BDPV12</stp>
        <stp>31382HBK0 Mtge</stp>
        <stp xml:space="preserve">MTG_PL_PSA_6M </stp>
        <stp>[Copy of 02_cpr_main.xlsx]data!R196C15</stp>
        <tr r="O196" s="2"/>
      </tp>
      <tp>
        <v>33.4</v>
        <stp/>
        <stp>##V3_BDPV12</stp>
        <stp>31414HDB0 Mtge</stp>
        <stp xml:space="preserve">MTG_PL_PSA_1M </stp>
        <stp>[Copy of 02_cpr_main.xlsx]data!R439C13</stp>
        <tr r="M439" s="2"/>
      </tp>
      <tp>
        <v>1215.8</v>
        <stp/>
        <stp>##V3_BDPV12</stp>
        <stp>31391HFQ2 Mtge</stp>
        <stp xml:space="preserve">MTG_PL_PSA_3M </stp>
        <stp>[Copy of 02_cpr_main.xlsx]data!R236C14</stp>
        <tr r="N236" s="2"/>
      </tp>
      <tp t="s">
        <v>#N/A N/A</v>
        <stp/>
        <stp>##V3_BDPV12</stp>
        <stp>31283KNU8 Mtge</stp>
        <stp>MTG_PREPAY_SPEED</stp>
        <stp>[Copy of 02_cpr_main.xlsx]data!R35C12</stp>
        <tr r="L35" s="2"/>
      </tp>
      <tp>
        <v>2.8</v>
        <stp/>
        <stp>##V3_BDPV12</stp>
        <stp>31408HJ55 Mtge</stp>
        <stp xml:space="preserve">MTG_PL_PSA_6M </stp>
        <stp>[Copy of 02_cpr_main.xlsx]data!R350C15</stp>
        <tr r="O350" s="2"/>
      </tp>
      <tp>
        <v>1531.7</v>
        <stp/>
        <stp>##V3_BDPV12</stp>
        <stp>31371HNJ3 Mtge</stp>
        <stp xml:space="preserve">MTG_PL_PSA_6M </stp>
        <stp>[Copy of 02_cpr_main.xlsx]data!R164C15</stp>
        <tr r="O164" s="2"/>
      </tp>
      <tp>
        <v>168.8</v>
        <stp/>
        <stp>##V3_BDPV12</stp>
        <stp>31368HMH3 Mtge</stp>
        <stp xml:space="preserve">MTG_PL_PSA_6M </stp>
        <stp>[Copy of 02_cpr_main.xlsx]data!R162C15</stp>
        <tr r="O162" s="2"/>
      </tp>
      <tp>
        <v>161.19999999999999</v>
        <stp/>
        <stp>##V3_BDPV12</stp>
        <stp>31368HMA8 Mtge</stp>
        <stp xml:space="preserve">MTG_PL_PSA_6M </stp>
        <stp>[Copy of 02_cpr_main.xlsx]data!R160C15</stp>
        <tr r="O160" s="2"/>
      </tp>
      <tp>
        <v>133.5</v>
        <stp/>
        <stp>##V3_BDPV12</stp>
        <stp>31368HME0 Mtge</stp>
        <stp xml:space="preserve">MTG_PL_PSA_6M </stp>
        <stp>[Copy of 02_cpr_main.xlsx]data!R161C15</stp>
        <tr r="O161" s="2"/>
      </tp>
      <tp>
        <v>745.4</v>
        <stp/>
        <stp>##V3_BDPV12</stp>
        <stp>31389HN79 Mtge</stp>
        <stp xml:space="preserve">MTG_PL_PSA_6M </stp>
        <stp>[Copy of 02_cpr_main.xlsx]data!R230C15</stp>
        <tr r="O230" s="2"/>
      </tp>
      <tp>
        <v>152.1</v>
        <stp/>
        <stp>##V3_BDPV12</stp>
        <stp>31368HM26 Mtge</stp>
        <stp xml:space="preserve">MTG_PL_PSA_6M </stp>
        <stp>[Copy of 02_cpr_main.xlsx]data!R159C15</stp>
        <tr r="O159" s="2"/>
      </tp>
      <tp>
        <v>1466.1</v>
        <stp/>
        <stp>##V3_BDPV12</stp>
        <stp>31371HLX4 Mtge</stp>
        <stp xml:space="preserve">MTG_PL_PSA_6M </stp>
        <stp>[Copy of 02_cpr_main.xlsx]data!R163C15</stp>
        <tr r="O163" s="2"/>
      </tp>
      <tp>
        <v>0</v>
        <stp/>
        <stp>##V3_BDPV12</stp>
        <stp>31371HLX4 Mtge</stp>
        <stp xml:space="preserve">MTG_PL_PSA_1M </stp>
        <stp>[Copy of 02_cpr_main.xlsx]data!R163C13</stp>
        <tr r="M163" s="2"/>
      </tp>
      <tp>
        <v>1641.2</v>
        <stp/>
        <stp>##V3_BDPV12</stp>
        <stp>31371HNJ3 Mtge</stp>
        <stp xml:space="preserve">MTG_PL_PSA_3M </stp>
        <stp>[Copy of 02_cpr_main.xlsx]data!R164C14</stp>
        <tr r="N164" s="2"/>
      </tp>
      <tp>
        <v>109.8</v>
        <stp/>
        <stp>##V3_BDPV12</stp>
        <stp>31368HMH3 Mtge</stp>
        <stp xml:space="preserve">MTG_PL_PSA_1M </stp>
        <stp>[Copy of 02_cpr_main.xlsx]data!R162C13</stp>
        <tr r="M162" s="2"/>
      </tp>
      <tp>
        <v>67.5</v>
        <stp/>
        <stp>##V3_BDPV12</stp>
        <stp>31368HME0 Mtge</stp>
        <stp xml:space="preserve">MTG_PL_PSA_1M </stp>
        <stp>[Copy of 02_cpr_main.xlsx]data!R161C13</stp>
        <tr r="M161" s="2"/>
      </tp>
      <tp>
        <v>103.1</v>
        <stp/>
        <stp>##V3_BDPV12</stp>
        <stp>31368HMA8 Mtge</stp>
        <stp xml:space="preserve">MTG_PL_PSA_1M </stp>
        <stp>[Copy of 02_cpr_main.xlsx]data!R160C13</stp>
        <tr r="M160" s="2"/>
      </tp>
      <tp>
        <v>0</v>
        <stp/>
        <stp>##V3_BDPV12</stp>
        <stp>31389HN79 Mtge</stp>
        <stp xml:space="preserve">MTG_PL_PSA_1M </stp>
        <stp>[Copy of 02_cpr_main.xlsx]data!R230C13</stp>
        <tr r="M230" s="2"/>
      </tp>
      <tp>
        <v>3</v>
        <stp/>
        <stp>##V3_BDPV12</stp>
        <stp>31408HJ55 Mtge</stp>
        <stp xml:space="preserve">MTG_PL_PSA_3M </stp>
        <stp>[Copy of 02_cpr_main.xlsx]data!R350C14</stp>
        <tr r="N350" s="2"/>
      </tp>
      <tp>
        <v>194.6</v>
        <stp/>
        <stp>##V3_BDPV12</stp>
        <stp>31368HM26 Mtge</stp>
        <stp xml:space="preserve">MTG_PL_PSA_1M </stp>
        <stp>[Copy of 02_cpr_main.xlsx]data!R159C13</stp>
        <tr r="M159" s="2"/>
      </tp>
      <tp>
        <v>1584.2</v>
        <stp/>
        <stp>##V3_BDPV12</stp>
        <stp>31371HLX4 Mtge</stp>
        <stp xml:space="preserve">MTG_PL_PSA_3M </stp>
        <stp>[Copy of 02_cpr_main.xlsx]data!R163C14</stp>
        <tr r="N163" s="2"/>
      </tp>
      <tp>
        <v>0</v>
        <stp/>
        <stp>##V3_BDPV12</stp>
        <stp>31371HNJ3 Mtge</stp>
        <stp xml:space="preserve">MTG_PL_PSA_1M </stp>
        <stp>[Copy of 02_cpr_main.xlsx]data!R164C13</stp>
        <tr r="M164" s="2"/>
      </tp>
      <tp>
        <v>210.1</v>
        <stp/>
        <stp>##V3_BDPV12</stp>
        <stp>31368HMH3 Mtge</stp>
        <stp xml:space="preserve">MTG_PL_PSA_3M </stp>
        <stp>[Copy of 02_cpr_main.xlsx]data!R162C14</stp>
        <tr r="N162" s="2"/>
      </tp>
      <tp>
        <v>196.2</v>
        <stp/>
        <stp>##V3_BDPV12</stp>
        <stp>31368HMA8 Mtge</stp>
        <stp xml:space="preserve">MTG_PL_PSA_3M </stp>
        <stp>[Copy of 02_cpr_main.xlsx]data!R160C14</stp>
        <tr r="N160" s="2"/>
      </tp>
      <tp>
        <v>119.5</v>
        <stp/>
        <stp>##V3_BDPV12</stp>
        <stp>31368HME0 Mtge</stp>
        <stp xml:space="preserve">MTG_PL_PSA_3M </stp>
        <stp>[Copy of 02_cpr_main.xlsx]data!R161C14</stp>
        <tr r="N161" s="2"/>
      </tp>
      <tp>
        <v>909</v>
        <stp/>
        <stp>##V3_BDPV12</stp>
        <stp>31389HN79 Mtge</stp>
        <stp xml:space="preserve">MTG_PL_PSA_3M </stp>
        <stp>[Copy of 02_cpr_main.xlsx]data!R230C14</stp>
        <tr r="N230" s="2"/>
      </tp>
      <tp>
        <v>141.6</v>
        <stp/>
        <stp>##V3_BDPV12</stp>
        <stp>31368HM26 Mtge</stp>
        <stp xml:space="preserve">MTG_PL_PSA_3M </stp>
        <stp>[Copy of 02_cpr_main.xlsx]data!R159C14</stp>
        <tr r="N159" s="2"/>
      </tp>
      <tp>
        <v>3.1</v>
        <stp/>
        <stp>##V3_BDPV12</stp>
        <stp>31408HJ55 Mtge</stp>
        <stp xml:space="preserve">MTG_PL_PSA_1M </stp>
        <stp>[Copy of 02_cpr_main.xlsx]data!R350C13</stp>
        <tr r="M350" s="2"/>
      </tp>
      <tp>
        <v>1666.7</v>
        <stp/>
        <stp>##V3_BDPV12</stp>
        <stp>3128QHVC1 Mtge</stp>
        <stp xml:space="preserve">MTG_PL_PSA_6M </stp>
        <stp>[Copy of 02_cpr_main.xlsx]data!R108C15</stp>
        <tr r="O108" s="2"/>
      </tp>
      <tp>
        <v>466.6</v>
        <stp/>
        <stp>##V3_BDPV12</stp>
        <stp>31371HQY7 Mtge</stp>
        <stp xml:space="preserve">MTG_PL_PSA_1M </stp>
        <stp>[Copy of 02_cpr_main.xlsx]data!R166C13</stp>
        <tr r="M166" s="2"/>
      </tp>
      <tp>
        <v>0</v>
        <stp/>
        <stp>##V3_BDPV12</stp>
        <stp>31371HQS0 Mtge</stp>
        <stp xml:space="preserve">MTG_PL_PSA_1M </stp>
        <stp>[Copy of 02_cpr_main.xlsx]data!R165C13</stp>
        <tr r="M165" s="2"/>
      </tp>
      <tp>
        <v>-89</v>
        <stp/>
        <stp>##V3_BDPV12</stp>
        <stp>3128NHP98 Mtge</stp>
        <stp xml:space="preserve">MTG_PL_PSA_1M </stp>
        <stp>[Copy of 02_cpr_main.xlsx]data!R100C13</stp>
        <tr r="M100" s="2"/>
      </tp>
      <tp>
        <v>1502.6</v>
        <stp/>
        <stp>##V3_BDPV12</stp>
        <stp>31335HUZ4 Mtge</stp>
        <stp xml:space="preserve">MTG_PL_PSA_6M </stp>
        <stp>[Copy of 02_cpr_main.xlsx]data!R155C15</stp>
        <tr r="O155" s="2"/>
      </tp>
      <tp t="s">
        <v>PSA</v>
        <stp/>
        <stp>##V3_BDPV12</stp>
        <stp>31403R2E7 Mtge</stp>
        <stp>MTG_PREPAY_TYP</stp>
        <stp>[Copy of 02_cpr_main.xlsx]data!R309C11</stp>
        <tr r="K309" s="2"/>
      </tp>
      <tp>
        <v>385.2</v>
        <stp/>
        <stp>##V3_BDPV12</stp>
        <stp>31371HQY7 Mtge</stp>
        <stp xml:space="preserve">MTG_PL_PSA_3M </stp>
        <stp>[Copy of 02_cpr_main.xlsx]data!R166C14</stp>
        <tr r="N166" s="2"/>
      </tp>
      <tp>
        <v>1625.8</v>
        <stp/>
        <stp>##V3_BDPV12</stp>
        <stp>31371HQS0 Mtge</stp>
        <stp xml:space="preserve">MTG_PL_PSA_3M </stp>
        <stp>[Copy of 02_cpr_main.xlsx]data!R165C14</stp>
        <tr r="N165" s="2"/>
      </tp>
      <tp>
        <v>0</v>
        <stp/>
        <stp>##V3_BDPV12</stp>
        <stp>3128NHUD3 Mtge</stp>
        <stp xml:space="preserve">MTG_PL_PSA_6M </stp>
        <stp>[Copy of 02_cpr_main.xlsx]data!R101C15</stp>
        <tr r="O101" s="2"/>
      </tp>
      <tp t="s">
        <v>#N/A N/A</v>
        <stp/>
        <stp>##V3_BDPV12</stp>
        <stp>31403R3B2 Mtge</stp>
        <stp>MTG_PREPAY_TYP</stp>
        <stp>[Copy of 02_cpr_main.xlsx]data!R310C11</stp>
        <tr r="K310" s="2"/>
      </tp>
      <tp>
        <v>39.799999999999997</v>
        <stp/>
        <stp>##V3_BDPV12</stp>
        <stp>3128NHP98 Mtge</stp>
        <stp xml:space="preserve">MTG_PL_PSA_3M </stp>
        <stp>[Copy of 02_cpr_main.xlsx]data!R100C14</stp>
        <tr r="N100" s="2"/>
      </tp>
      <tp>
        <v>0</v>
        <stp/>
        <stp>##V3_BDPV12</stp>
        <stp>3128NHUD3 Mtge</stp>
        <stp xml:space="preserve">MTG_PL_PSA_1M </stp>
        <stp>[Copy of 02_cpr_main.xlsx]data!R101C13</stp>
        <tr r="M101" s="2"/>
      </tp>
      <tp t="s">
        <v>#N/A N/A</v>
        <stp/>
        <stp>##V3_BDPV12</stp>
        <stp>31403R4H8 Mtge</stp>
        <stp>MTG_PREPAY_TYP</stp>
        <stp>[Copy of 02_cpr_main.xlsx]data!R311C11</stp>
        <tr r="K311" s="2"/>
      </tp>
      <tp>
        <v>0</v>
        <stp/>
        <stp>##V3_BDPV12</stp>
        <stp>31335HUZ4 Mtge</stp>
        <stp xml:space="preserve">MTG_PL_PSA_1M </stp>
        <stp>[Copy of 02_cpr_main.xlsx]data!R155C13</stp>
        <tr r="M155" s="2"/>
      </tp>
      <tp>
        <v>1666.7</v>
        <stp/>
        <stp>##V3_BDPV12</stp>
        <stp>3128QHVC1 Mtge</stp>
        <stp xml:space="preserve">MTG_PL_PSA_3M </stp>
        <stp>[Copy of 02_cpr_main.xlsx]data!R108C14</stp>
        <tr r="N108" s="2"/>
      </tp>
      <tp>
        <v>320.89999999999998</v>
        <stp/>
        <stp>##V3_BDPV12</stp>
        <stp>31371HQY7 Mtge</stp>
        <stp xml:space="preserve">MTG_PL_PSA_6M </stp>
        <stp>[Copy of 02_cpr_main.xlsx]data!R166C15</stp>
        <tr r="O166" s="2"/>
      </tp>
      <tp>
        <v>1509.5</v>
        <stp/>
        <stp>##V3_BDPV12</stp>
        <stp>31371HQS0 Mtge</stp>
        <stp xml:space="preserve">MTG_PL_PSA_6M </stp>
        <stp>[Copy of 02_cpr_main.xlsx]data!R165C15</stp>
        <tr r="O165" s="2"/>
      </tp>
      <tp>
        <v>0</v>
        <stp/>
        <stp>##V3_BDPV12</stp>
        <stp>3128NHUD3 Mtge</stp>
        <stp xml:space="preserve">MTG_PL_PSA_3M </stp>
        <stp>[Copy of 02_cpr_main.xlsx]data!R101C14</stp>
        <tr r="N101" s="2"/>
      </tp>
      <tp>
        <v>37.200000000000003</v>
        <stp/>
        <stp>##V3_BDPV12</stp>
        <stp>3128NHP98 Mtge</stp>
        <stp xml:space="preserve">MTG_PL_PSA_6M </stp>
        <stp>[Copy of 02_cpr_main.xlsx]data!R100C15</stp>
        <tr r="O100" s="2"/>
      </tp>
      <tp>
        <v>1624.1</v>
        <stp/>
        <stp>##V3_BDPV12</stp>
        <stp>31335HUZ4 Mtge</stp>
        <stp xml:space="preserve">MTG_PL_PSA_3M </stp>
        <stp>[Copy of 02_cpr_main.xlsx]data!R155C14</stp>
        <tr r="N155" s="2"/>
      </tp>
      <tp>
        <v>1666.7</v>
        <stp/>
        <stp>##V3_BDPV12</stp>
        <stp>3128QHVC1 Mtge</stp>
        <stp xml:space="preserve">MTG_PL_PSA_1M </stp>
        <stp>[Copy of 02_cpr_main.xlsx]data!R108C13</stp>
        <tr r="M108" s="2"/>
      </tp>
      <tp>
        <v>264.7</v>
        <stp/>
        <stp>##V3_BDPV12</stp>
        <stp>31292HYT5 Mtge</stp>
        <stp xml:space="preserve">MTG_PL_PSA_1M </stp>
        <stp>[Copy of 02_cpr_main.xlsx]data!R118C13</stp>
        <tr r="M118" s="2"/>
      </tp>
      <tp>
        <v>140</v>
        <stp/>
        <stp>##V3_BDPV12</stp>
        <stp>3128M4NJ8 Mtge</stp>
        <stp>MTG_PREPAY_SPEED</stp>
        <stp>[Copy of 02_cpr_main.xlsx]data!R84C12</stp>
        <tr r="L84" s="2"/>
      </tp>
      <tp>
        <v>161.5</v>
        <stp/>
        <stp>##V3_BDPV12</stp>
        <stp>31292HYT5 Mtge</stp>
        <stp xml:space="preserve">MTG_PL_PSA_3M </stp>
        <stp>[Copy of 02_cpr_main.xlsx]data!R118C14</stp>
        <tr r="N118" s="2"/>
      </tp>
      <tp>
        <v>0.9</v>
        <stp/>
        <stp>##V3_BDPV12</stp>
        <stp>31408HXP5 Mtge</stp>
        <stp xml:space="preserve">MTG_PL_PSA_6M </stp>
        <stp>[Copy of 02_cpr_main.xlsx]data!R351C15</stp>
        <tr r="O351" s="2"/>
      </tp>
      <tp>
        <v>1</v>
        <stp/>
        <stp>##V3_BDPV12</stp>
        <stp>31408HXP5 Mtge</stp>
        <stp xml:space="preserve">MTG_PL_PSA_1M </stp>
        <stp>[Copy of 02_cpr_main.xlsx]data!R351C13</stp>
        <tr r="M351" s="2"/>
      </tp>
      <tp>
        <v>159.30000000000001</v>
        <stp/>
        <stp>##V3_BDPV12</stp>
        <stp>31292HYT5 Mtge</stp>
        <stp xml:space="preserve">MTG_PL_PSA_6M </stp>
        <stp>[Copy of 02_cpr_main.xlsx]data!R118C15</stp>
        <tr r="O118" s="2"/>
      </tp>
      <tp>
        <v>1</v>
        <stp/>
        <stp>##V3_BDPV12</stp>
        <stp>31408HXP5 Mtge</stp>
        <stp xml:space="preserve">MTG_PL_PSA_3M </stp>
        <stp>[Copy of 02_cpr_main.xlsx]data!R351C14</stp>
        <tr r="N351" s="2"/>
      </tp>
      <tp t="s">
        <v>PSA</v>
        <stp/>
        <stp>##V3_BDPV12</stp>
        <stp>31415RFH2 Mtge</stp>
        <stp>MTG_PREPAY_TYP</stp>
        <stp>[Copy of 02_cpr_main.xlsx]data!R452C11</stp>
        <tr r="K452" s="2"/>
      </tp>
      <tp t="s">
        <v>#N/A N/A</v>
        <stp/>
        <stp>##V3_BDPV12</stp>
        <stp>31411RCQ9 Mtge</stp>
        <stp>MTG_PREPAY_TYP</stp>
        <stp>[Copy of 02_cpr_main.xlsx]data!R393C11</stp>
        <tr r="K393" s="2"/>
      </tp>
      <tp t="s">
        <v>CPR</v>
        <stp/>
        <stp>##V3_BDPV12</stp>
        <stp>31410RP29 Mtge</stp>
        <stp>MTG_PREPAY_TYP</stp>
        <stp>[Copy of 02_cpr_main.xlsx]data!R382C11</stp>
        <tr r="K382" s="2"/>
      </tp>
      <tp>
        <v>31.7</v>
        <stp/>
        <stp>##V3_BDPV12</stp>
        <stp>31405H4U9 Mtge</stp>
        <stp xml:space="preserve">MTG_PL_PSA_1M </stp>
        <stp>[Copy of 02_cpr_main.xlsx]data!R325C13</stp>
        <tr r="M325" s="2"/>
      </tp>
      <tp>
        <v>114.7</v>
        <stp/>
        <stp>##V3_BDPV12</stp>
        <stp>31406H3D7 Mtge</stp>
        <stp xml:space="preserve">MTG_PL_PSA_6M </stp>
        <stp>[Copy of 02_cpr_main.xlsx]data!R337C15</stp>
        <tr r="O337" s="2"/>
      </tp>
      <tp>
        <v>34.4</v>
        <stp/>
        <stp>##V3_BDPV12</stp>
        <stp>31405H4U9 Mtge</stp>
        <stp xml:space="preserve">MTG_PL_PSA_3M </stp>
        <stp>[Copy of 02_cpr_main.xlsx]data!R325C14</stp>
        <tr r="N325" s="2"/>
      </tp>
      <tp>
        <v>1451.5</v>
        <stp/>
        <stp>##V3_BDPV12</stp>
        <stp>31335H4K6 Mtge</stp>
        <stp xml:space="preserve">MTG_PL_PSA_6M </stp>
        <stp>[Copy of 02_cpr_main.xlsx]data!R154C15</stp>
        <tr r="O154" s="2"/>
      </tp>
      <tp>
        <v>0</v>
        <stp/>
        <stp>##V3_BDPV12</stp>
        <stp>31335H4K6 Mtge</stp>
        <stp xml:space="preserve">MTG_PL_PSA_1M </stp>
        <stp>[Copy of 02_cpr_main.xlsx]data!R154C13</stp>
        <tr r="M154" s="2"/>
      </tp>
      <tp>
        <v>204.8</v>
        <stp/>
        <stp>##V3_BDPV12</stp>
        <stp>31406H3D7 Mtge</stp>
        <stp xml:space="preserve">MTG_PL_PSA_3M </stp>
        <stp>[Copy of 02_cpr_main.xlsx]data!R337C14</stp>
        <tr r="N337" s="2"/>
      </tp>
      <tp t="s">
        <v>PSA</v>
        <stp/>
        <stp>##V3_BDPV12</stp>
        <stp>31415RR30 Mtge</stp>
        <stp>MTG_PREPAY_TYP</stp>
        <stp>[Copy of 02_cpr_main.xlsx]data!R453C11</stp>
        <tr r="K453" s="2"/>
      </tp>
      <tp>
        <v>34.1</v>
        <stp/>
        <stp>##V3_BDPV12</stp>
        <stp>31405H4U9 Mtge</stp>
        <stp xml:space="preserve">MTG_PL_PSA_6M </stp>
        <stp>[Copy of 02_cpr_main.xlsx]data!R325C15</stp>
        <tr r="O325" s="2"/>
      </tp>
      <tp>
        <v>1581.6</v>
        <stp/>
        <stp>##V3_BDPV12</stp>
        <stp>31335H4K6 Mtge</stp>
        <stp xml:space="preserve">MTG_PL_PSA_3M </stp>
        <stp>[Copy of 02_cpr_main.xlsx]data!R154C14</stp>
        <tr r="N154" s="2"/>
      </tp>
      <tp>
        <v>507</v>
        <stp/>
        <stp>##V3_BDPV12</stp>
        <stp>31406H3D7 Mtge</stp>
        <stp xml:space="preserve">MTG_PL_PSA_1M </stp>
        <stp>[Copy of 02_cpr_main.xlsx]data!R337C13</stp>
        <tr r="M337" s="2"/>
      </tp>
      <tp t="s">
        <v>PSA</v>
        <stp/>
        <stp>##V3_BDPV12</stp>
        <stp>31407RVA9 Mtge</stp>
        <stp>MTG_PREPAY_TYP</stp>
        <stp>[Copy of 02_cpr_main.xlsx]data!R346C11</stp>
        <tr r="K346" s="2"/>
      </tp>
      <tp>
        <v>21.7</v>
        <stp/>
        <stp>##V3_BDPV12</stp>
        <stp>36291NM40 Mtge</stp>
        <stp xml:space="preserve">MTG_PL_PSA_1M </stp>
        <stp>[Copy of 02_cpr_main.xlsx]data!R503C13</stp>
        <tr r="M503" s="2"/>
      </tp>
      <tp>
        <v>20.5</v>
        <stp/>
        <stp>##V3_BDPV12</stp>
        <stp>36291NM40 Mtge</stp>
        <stp xml:space="preserve">MTG_PL_PSA_3M </stp>
        <stp>[Copy of 02_cpr_main.xlsx]data!R503C14</stp>
        <tr r="N503" s="2"/>
      </tp>
      <tp>
        <v>34.4</v>
        <stp/>
        <stp>##V3_BDPV12</stp>
        <stp>36291NM40 Mtge</stp>
        <stp xml:space="preserve">MTG_PL_PSA_6M </stp>
        <stp>[Copy of 02_cpr_main.xlsx]data!R503C15</stp>
        <tr r="O503" s="2"/>
      </tp>
      <tp>
        <v>1666.7</v>
        <stp/>
        <stp>##V3_BDPV12</stp>
        <stp>36294NV54 Mtge</stp>
        <stp xml:space="preserve">MTG_PL_PSA_3M </stp>
        <stp>[Copy of 02_cpr_main.xlsx]data!R505C14</stp>
        <tr r="N505" s="2"/>
      </tp>
      <tp>
        <v>1666.7</v>
        <stp/>
        <stp>##V3_BDPV12</stp>
        <stp>36294NV54 Mtge</stp>
        <stp xml:space="preserve">MTG_PL_PSA_1M </stp>
        <stp>[Copy of 02_cpr_main.xlsx]data!R505C13</stp>
        <tr r="M505" s="2"/>
      </tp>
      <tp>
        <v>1666.7</v>
        <stp/>
        <stp>##V3_BDPV12</stp>
        <stp>36294NV54 Mtge</stp>
        <stp xml:space="preserve">MTG_PL_PSA_6M </stp>
        <stp>[Copy of 02_cpr_main.xlsx]data!R505C15</stp>
        <tr r="O505" s="2"/>
      </tp>
      <tp t="s">
        <v>CPR</v>
        <stp/>
        <stp>##V3_BDPV12</stp>
        <stp>31410S5Y9 Mtge</stp>
        <stp>MTG_PREPAY_TYP</stp>
        <stp>[Copy of 02_cpr_main.xlsx]data!R383C11</stp>
        <tr r="K383" s="2"/>
      </tp>
      <tp t="s">
        <v>PSA</v>
        <stp/>
        <stp>##V3_BDPV12</stp>
        <stp>31413SCS1 Mtge</stp>
        <stp>MTG_PREPAY_TYP</stp>
        <stp>[Copy of 02_cpr_main.xlsx]data!R432C11</stp>
        <tr r="K432" s="2"/>
      </tp>
      <tp t="s">
        <v>#N/A N/A</v>
        <stp/>
        <stp>##V3_BDPV12</stp>
        <stp>31415SCE0 Mtge</stp>
        <stp>MTG_PREPAY_TYP</stp>
        <stp>[Copy of 02_cpr_main.xlsx]data!R454C11</stp>
        <tr r="K454" s="2"/>
      </tp>
      <tp t="s">
        <v>CPR</v>
        <stp/>
        <stp>##V3_BDPV12</stp>
        <stp>31411SNF9 Mtge</stp>
        <stp>MTG_PREPAY_TYP</stp>
        <stp>[Copy of 02_cpr_main.xlsx]data!R394C11</stp>
        <tr r="K394" s="2"/>
      </tp>
      <tp t="s">
        <v>PSA</v>
        <stp/>
        <stp>##V3_BDPV12</stp>
        <stp>31413SHF4 Mtge</stp>
        <stp>MTG_PREPAY_TYP</stp>
        <stp>[Copy of 02_cpr_main.xlsx]data!R433C11</stp>
        <tr r="K433" s="2"/>
      </tp>
      <tp>
        <v>92.2</v>
        <stp/>
        <stp>##V3_BDPV12</stp>
        <stp>31371NGU3 Mtge</stp>
        <stp xml:space="preserve">MTG_PL_PSA_6M </stp>
        <stp>[Copy of 02_cpr_main.xlsx]data!R180C15</stp>
        <tr r="O180" s="2"/>
      </tp>
      <tp>
        <v>72.8</v>
        <stp/>
        <stp>##V3_BDPV12</stp>
        <stp>31296NA23 Mtge</stp>
        <stp xml:space="preserve">MTG_PL_PSA_1M </stp>
        <stp>[Copy of 02_cpr_main.xlsx]data!R144C13</stp>
        <tr r="M144" s="2"/>
      </tp>
      <tp>
        <v>1666.7</v>
        <stp/>
        <stp>##V3_BDPV12</stp>
        <stp>31382NES7 Mtge</stp>
        <stp xml:space="preserve">MTG_PL_PSA_6M </stp>
        <stp>[Copy of 02_cpr_main.xlsx]data!R200C15</stp>
        <tr r="O200" s="2"/>
      </tp>
      <tp>
        <v>0.2</v>
        <stp/>
        <stp>##V3_BDPV12</stp>
        <stp>31413NCZ6 Mtge</stp>
        <stp xml:space="preserve">MTG_PL_PSA_1M </stp>
        <stp>[Copy of 02_cpr_main.xlsx]data!R429C13</stp>
        <tr r="M429" s="2"/>
      </tp>
      <tp>
        <v>1666.7</v>
        <stp/>
        <stp>##V3_BDPV12</stp>
        <stp>31413NDT9 Mtge</stp>
        <stp xml:space="preserve">MTG_PL_PSA_6M </stp>
        <stp>[Copy of 02_cpr_main.xlsx]data!R430C15</stp>
        <tr r="O430" s="2"/>
      </tp>
      <tp>
        <v>82.1</v>
        <stp/>
        <stp>##V3_BDPV12</stp>
        <stp>31296NA23 Mtge</stp>
        <stp xml:space="preserve">MTG_PL_PSA_3M </stp>
        <stp>[Copy of 02_cpr_main.xlsx]data!R144C14</stp>
        <tr r="N144" s="2"/>
      </tp>
      <tp>
        <v>0.2</v>
        <stp/>
        <stp>##V3_BDPV12</stp>
        <stp>31413NCZ6 Mtge</stp>
        <stp xml:space="preserve">MTG_PL_PSA_3M </stp>
        <stp>[Copy of 02_cpr_main.xlsx]data!R429C14</stp>
        <tr r="N429" s="2"/>
      </tp>
      <tp>
        <v>1666.7</v>
        <stp/>
        <stp>##V3_BDPV12</stp>
        <stp>31382NES7 Mtge</stp>
        <stp xml:space="preserve">MTG_PL_PSA_3M </stp>
        <stp>[Copy of 02_cpr_main.xlsx]data!R200C14</stp>
        <tr r="N200" s="2"/>
      </tp>
      <tp>
        <v>1666.7</v>
        <stp/>
        <stp>##V3_BDPV12</stp>
        <stp>31413NDT9 Mtge</stp>
        <stp xml:space="preserve">MTG_PL_PSA_3M </stp>
        <stp>[Copy of 02_cpr_main.xlsx]data!R430C14</stp>
        <tr r="N430" s="2"/>
      </tp>
      <tp>
        <v>82.8</v>
        <stp/>
        <stp>##V3_BDPV12</stp>
        <stp>31371NGU3 Mtge</stp>
        <stp xml:space="preserve">MTG_PL_PSA_3M </stp>
        <stp>[Copy of 02_cpr_main.xlsx]data!R180C14</stp>
        <tr r="N180" s="2"/>
      </tp>
      <tp>
        <v>0.2</v>
        <stp/>
        <stp>##V3_BDPV12</stp>
        <stp>31413NCZ6 Mtge</stp>
        <stp xml:space="preserve">MTG_PL_PSA_6M </stp>
        <stp>[Copy of 02_cpr_main.xlsx]data!R429C15</stp>
        <tr r="O429" s="2"/>
      </tp>
      <tp>
        <v>1666.7</v>
        <stp/>
        <stp>##V3_BDPV12</stp>
        <stp>31382NES7 Mtge</stp>
        <stp xml:space="preserve">MTG_PL_PSA_1M </stp>
        <stp>[Copy of 02_cpr_main.xlsx]data!R200C13</stp>
        <tr r="M200" s="2"/>
      </tp>
      <tp>
        <v>1666.7</v>
        <stp/>
        <stp>##V3_BDPV12</stp>
        <stp>31413NDT9 Mtge</stp>
        <stp xml:space="preserve">MTG_PL_PSA_1M </stp>
        <stp>[Copy of 02_cpr_main.xlsx]data!R430C13</stp>
        <tr r="M430" s="2"/>
      </tp>
      <tp>
        <v>5.8</v>
        <stp/>
        <stp>##V3_BDPV12</stp>
        <stp>31371NGU3 Mtge</stp>
        <stp xml:space="preserve">MTG_PL_PSA_1M </stp>
        <stp>[Copy of 02_cpr_main.xlsx]data!R180C13</stp>
        <tr r="M180" s="2"/>
      </tp>
      <tp>
        <v>168.8</v>
        <stp/>
        <stp>##V3_BDPV12</stp>
        <stp>31296NA23 Mtge</stp>
        <stp xml:space="preserve">MTG_PL_PSA_6M </stp>
        <stp>[Copy of 02_cpr_main.xlsx]data!R144C15</stp>
        <tr r="O144" s="2"/>
      </tp>
      <tp>
        <v>3.1</v>
        <stp/>
        <stp>##V3_BDPV12</stp>
        <stp>31371NJD8 Mtge</stp>
        <stp xml:space="preserve">MTG_PL_PSA_3M </stp>
        <stp>[Copy of 02_cpr_main.xlsx]data!R181C14</stp>
        <tr r="N181" s="2"/>
      </tp>
      <tp>
        <v>2.2000000000000002</v>
        <stp/>
        <stp>##V3_BDPV12</stp>
        <stp>31371NJD8 Mtge</stp>
        <stp xml:space="preserve">MTG_PL_PSA_1M </stp>
        <stp>[Copy of 02_cpr_main.xlsx]data!R181C13</stp>
        <tr r="M181" s="2"/>
      </tp>
      <tp>
        <v>2.4</v>
        <stp/>
        <stp>##V3_BDPV12</stp>
        <stp>31371NJD8 Mtge</stp>
        <stp xml:space="preserve">MTG_PL_PSA_6M </stp>
        <stp>[Copy of 02_cpr_main.xlsx]data!R181C15</stp>
        <tr r="O181" s="2"/>
      </tp>
      <tp t="s">
        <v>PSA</v>
        <stp/>
        <stp>##V3_BDPV12</stp>
        <stp>31412T5U3 Mtge</stp>
        <stp>MTG_PREPAY_TYP</stp>
        <stp>[Copy of 02_cpr_main.xlsx]data!R413C11</stp>
        <tr r="K413" s="2"/>
      </tp>
      <tp>
        <v>15.46</v>
        <stp/>
        <stp>##V3_BDPV12</stp>
        <stp>3128JMHG5 Mtge</stp>
        <stp>MTG_PREPAY_SPEED</stp>
        <stp>[Copy of 02_cpr_main.xlsx]data!R69C12</stp>
        <tr r="L69" s="2"/>
      </tp>
      <tp>
        <v>0.3</v>
        <stp/>
        <stp>##V3_BDPV12</stp>
        <stp>31295NZX9 Mtge</stp>
        <stp xml:space="preserve">MTG_PL_PSA_3M </stp>
        <stp>[Copy of 02_cpr_main.xlsx]data!R136C14</stp>
        <tr r="N136" s="2"/>
      </tp>
      <tp t="s">
        <v>#N/A N/A</v>
        <stp/>
        <stp>##V3_BDPV12</stp>
        <stp>3128CUHK5 Mtge</stp>
        <stp>MTG_PREPAY_SPEED</stp>
        <stp>[Copy of 02_cpr_main.xlsx]data!R41C12</stp>
        <tr r="L41" s="2"/>
      </tp>
      <tp>
        <v>1666.7</v>
        <stp/>
        <stp>##V3_BDPV12</stp>
        <stp>31402NY77 Mtge</stp>
        <stp xml:space="preserve">MTG_PL_PSA_6M </stp>
        <stp>[Copy of 02_cpr_main.xlsx]data!R272C15</stp>
        <tr r="O272" s="2"/>
      </tp>
      <tp>
        <v>-96</v>
        <stp/>
        <stp>##V3_BDPV12</stp>
        <stp>31295NZX9 Mtge</stp>
        <stp xml:space="preserve">MTG_PL_PSA_1M </stp>
        <stp>[Copy of 02_cpr_main.xlsx]data!R136C13</stp>
        <tr r="M136" s="2"/>
      </tp>
      <tp>
        <v>-11.6</v>
        <stp/>
        <stp>##V3_BDPV12</stp>
        <stp>31295NZX9 Mtge</stp>
        <stp xml:space="preserve">MTG_PL_PSA_6M </stp>
        <stp>[Copy of 02_cpr_main.xlsx]data!R136C15</stp>
        <tr r="O136" s="2"/>
      </tp>
      <tp>
        <v>1666.7</v>
        <stp/>
        <stp>##V3_BDPV12</stp>
        <stp>31402NY77 Mtge</stp>
        <stp xml:space="preserve">MTG_PL_PSA_1M </stp>
        <stp>[Copy of 02_cpr_main.xlsx]data!R272C13</stp>
        <tr r="M272" s="2"/>
      </tp>
      <tp>
        <v>1666.7</v>
        <stp/>
        <stp>##V3_BDPV12</stp>
        <stp>31402NY77 Mtge</stp>
        <stp xml:space="preserve">MTG_PL_PSA_3M </stp>
        <stp>[Copy of 02_cpr_main.xlsx]data!R272C14</stp>
        <tr r="N272" s="2"/>
      </tp>
      <tp t="s">
        <v>#N/A N/A</v>
        <stp/>
        <stp>##V3_BDPV12</stp>
        <stp>3128MBH26 Mtge</stp>
        <stp>MTG_PREPAY_SPEED</stp>
        <stp>[Copy of 02_cpr_main.xlsx]data!R94C12</stp>
        <tr r="L94" s="2"/>
      </tp>
      <tp t="s">
        <v>#N/A N/A</v>
        <stp/>
        <stp>##V3_BDPV12</stp>
        <stp>31415TF70 Mtge</stp>
        <stp>MTG_PREPAY_TYP</stp>
        <stp>[Copy of 02_cpr_main.xlsx]data!R455C11</stp>
        <tr r="K455" s="2"/>
      </tp>
      <tp t="s">
        <v>PSA</v>
        <stp/>
        <stp>##V3_BDPV12</stp>
        <stp>36202SBN7 Mtge</stp>
        <stp>MTG_PREPAY_TYP</stp>
        <stp>[Copy of 02_cpr_main.xlsx]data!R475C11</stp>
        <tr r="K475" s="2"/>
      </tp>
      <tp t="s">
        <v>PSA</v>
        <stp/>
        <stp>##V3_BDPV12</stp>
        <stp>31414TNR8 Mtge</stp>
        <stp>MTG_PREPAY_TYP</stp>
        <stp>[Copy of 02_cpr_main.xlsx]data!R444C11</stp>
        <tr r="K444" s="2"/>
      </tp>
      <tp t="s">
        <v>PSA</v>
        <stp/>
        <stp>##V3_BDPV12</stp>
        <stp>31415TLM0 Mtge</stp>
        <stp>MTG_PREPAY_TYP</stp>
        <stp>[Copy of 02_cpr_main.xlsx]data!R456C11</stp>
        <tr r="K456" s="2"/>
      </tp>
      <tp>
        <v>0.1</v>
        <stp/>
        <stp>##V3_BDPV12</stp>
        <stp>31413N5R2 Mtge</stp>
        <stp xml:space="preserve">MTG_PL_PSA_6M </stp>
        <stp>[Copy of 02_cpr_main.xlsx]data!R428C15</stp>
        <tr r="O428" s="2"/>
      </tp>
      <tp t="s">
        <v>PSA</v>
        <stp/>
        <stp>##V3_BDPV12</stp>
        <stp>31409TRU4 Mtge</stp>
        <stp>MTG_PREPAY_TYP</stp>
        <stp>[Copy of 02_cpr_main.xlsx]data!R354C11</stp>
        <tr r="K354" s="2"/>
      </tp>
      <tp t="s">
        <v>PSA</v>
        <stp/>
        <stp>##V3_BDPV12</stp>
        <stp>36201SRB7 Mtge</stp>
        <stp>MTG_PREPAY_TYP</stp>
        <stp>[Copy of 02_cpr_main.xlsx]data!R473C11</stp>
        <tr r="K473" s="2"/>
      </tp>
      <tp>
        <v>1237.9000000000001</v>
        <stp/>
        <stp>##V3_BDPV12</stp>
        <stp>31391N7M7 Mtge</stp>
        <stp xml:space="preserve">MTG_PL_PSA_6M </stp>
        <stp>[Copy of 02_cpr_main.xlsx]data!R238C15</stp>
        <tr r="O238" s="2"/>
      </tp>
      <tp>
        <v>0</v>
        <stp/>
        <stp>##V3_BDPV12</stp>
        <stp>31391N7M7 Mtge</stp>
        <stp xml:space="preserve">MTG_PL_PSA_1M </stp>
        <stp>[Copy of 02_cpr_main.xlsx]data!R238C13</stp>
        <tr r="M238" s="2"/>
      </tp>
      <tp t="s">
        <v>PSA</v>
        <stp/>
        <stp>##V3_BDPV12</stp>
        <stp>31414TSB8 Mtge</stp>
        <stp>MTG_PREPAY_TYP</stp>
        <stp>[Copy of 02_cpr_main.xlsx]data!R445C11</stp>
        <tr r="K445" s="2"/>
      </tp>
      <tp>
        <v>0.1</v>
        <stp/>
        <stp>##V3_BDPV12</stp>
        <stp>31413N5R2 Mtge</stp>
        <stp xml:space="preserve">MTG_PL_PSA_3M </stp>
        <stp>[Copy of 02_cpr_main.xlsx]data!R428C14</stp>
        <tr r="N428" s="2"/>
      </tp>
      <tp t="s">
        <v>#N/A N/A</v>
        <stp/>
        <stp>##V3_BDPV12</stp>
        <stp>31409TUG1 Mtge</stp>
        <stp>MTG_PREPAY_TYP</stp>
        <stp>[Copy of 02_cpr_main.xlsx]data!R355C11</stp>
        <tr r="K355" s="2"/>
      </tp>
      <tp t="s">
        <v>#N/A N/A</v>
        <stp/>
        <stp>##V3_BDPV12</stp>
        <stp>31410TVY8 Mtge</stp>
        <stp>MTG_PREPAY_TYP</stp>
        <stp>[Copy of 02_cpr_main.xlsx]data!R384C11</stp>
        <tr r="K384" s="2"/>
      </tp>
      <tp>
        <v>1488.9</v>
        <stp/>
        <stp>##V3_BDPV12</stp>
        <stp>31391N7M7 Mtge</stp>
        <stp xml:space="preserve">MTG_PL_PSA_3M </stp>
        <stp>[Copy of 02_cpr_main.xlsx]data!R238C14</stp>
        <tr r="N238" s="2"/>
      </tp>
      <tp>
        <v>0.1</v>
        <stp/>
        <stp>##V3_BDPV12</stp>
        <stp>31413N5R2 Mtge</stp>
        <stp xml:space="preserve">MTG_PL_PSA_1M </stp>
        <stp>[Copy of 02_cpr_main.xlsx]data!R428C13</stp>
        <tr r="M428" s="2"/>
      </tp>
      <tp t="s">
        <v>#N/A N/A</v>
        <stp/>
        <stp>##V3_BDPV12</stp>
        <stp>36200R6U1 Mtge</stp>
        <stp>MTG_PREPAY_TYP</stp>
        <stp>[Copy of 02_cpr_main.xlsx]data!R469C11</stp>
        <tr r="K469" s="2"/>
      </tp>
      <tp t="s">
        <v>PSA</v>
        <stp/>
        <stp>##V3_BDPV12</stp>
        <stp>31411UDL2 Mtge</stp>
        <stp>MTG_PREPAY_TYP</stp>
        <stp>[Copy of 02_cpr_main.xlsx]data!R395C11</stp>
        <tr r="K395" s="2"/>
      </tp>
      <tp t="s">
        <v>#N/A N/A</v>
        <stp/>
        <stp>##V3_BDPV12</stp>
        <stp>31404UE63 Mtge</stp>
        <stp>MTG_PREPAY_TYP</stp>
        <stp>[Copy of 02_cpr_main.xlsx]data!R319C11</stp>
        <tr r="K319" s="2"/>
      </tp>
      <tp t="s">
        <v>PSA</v>
        <stp/>
        <stp>##V3_BDPV12</stp>
        <stp>31406UL48 Mtge</stp>
        <stp>MTG_PREPAY_TYP</stp>
        <stp>[Copy of 02_cpr_main.xlsx]data!R339C11</stp>
        <tr r="K339" s="2"/>
      </tp>
      <tp t="s">
        <v>#N/A N/A</v>
        <stp/>
        <stp>##V3_BDPV12</stp>
        <stp>36204RN87 Mtge</stp>
        <stp>MTG_PREPAY_TYP</stp>
        <stp>[Copy of 02_cpr_main.xlsx]data!R478C11</stp>
        <tr r="K478" s="2"/>
      </tp>
      <tp t="s">
        <v>#N/A N/A</v>
        <stp/>
        <stp>##V3_BDPV12</stp>
        <stp>31411UPM7 Mtge</stp>
        <stp>MTG_PREPAY_TYP</stp>
        <stp>[Copy of 02_cpr_main.xlsx]data!R396C11</stp>
        <tr r="K396" s="2"/>
      </tp>
      <tp t="s">
        <v>PSA</v>
        <stp/>
        <stp>##V3_BDPV12</stp>
        <stp>31413UWD7 Mtge</stp>
        <stp>MTG_PREPAY_TYP</stp>
        <stp>[Copy of 02_cpr_main.xlsx]data!R434C11</stp>
        <tr r="K434" s="2"/>
      </tp>
      <tp t="s">
        <v>#N/A N/A</v>
        <stp/>
        <stp>##V3_BDPV12</stp>
        <stp>31410UQW5 Mtge</stp>
        <stp>MTG_PREPAY_TYP</stp>
        <stp>[Copy of 02_cpr_main.xlsx]data!R385C11</stp>
        <tr r="K385" s="2"/>
      </tp>
      <tp t="s">
        <v>#N/A N/A</v>
        <stp/>
        <stp>##V3_BDPV12</stp>
        <stp>31405UVD8 Mtge</stp>
        <stp>MTG_PREPAY_TYP</stp>
        <stp>[Copy of 02_cpr_main.xlsx]data!R328C11</stp>
        <tr r="K328" s="2"/>
      </tp>
      <tp>
        <v>1.4</v>
        <stp/>
        <stp>##V3_BDPV12</stp>
        <stp>31407LEA1 Mtge</stp>
        <stp xml:space="preserve">MTG_PL_PSA_1M </stp>
        <stp>[Copy of 02_cpr_main.xlsx]data!R345C13</stp>
        <tr r="M345" s="2"/>
      </tp>
      <tp>
        <v>1666.7</v>
        <stp/>
        <stp>##V3_BDPV12</stp>
        <stp>31371LBD0 Mtge</stp>
        <stp xml:space="preserve">MTG_PL_PSA_3M </stp>
        <stp>[Copy of 02_cpr_main.xlsx]data!R174C14</stp>
        <tr r="N174" s="2"/>
      </tp>
      <tp>
        <v>21.6</v>
        <stp/>
        <stp>##V3_BDPV12</stp>
        <stp>31407LE60 Mtge</stp>
        <stp xml:space="preserve">MTG_PL_PSA_1M </stp>
        <stp>[Copy of 02_cpr_main.xlsx]data!R344C13</stp>
        <tr r="M344" s="2"/>
      </tp>
      <tp>
        <v>428.7</v>
        <stp/>
        <stp>##V3_BDPV12</stp>
        <stp>31414LAH1 Mtge</stp>
        <stp xml:space="preserve">MTG_PL_PSA_3M </stp>
        <stp>[Copy of 02_cpr_main.xlsx]data!R441C14</stp>
        <tr r="N441" s="2"/>
      </tp>
      <tp t="s">
        <v>#N/A N/A</v>
        <stp/>
        <stp>##V3_BDPV12</stp>
        <stp>3128MBJS7 Mtge</stp>
        <stp>MTG_PREPAY_SPEED</stp>
        <stp>[Copy of 02_cpr_main.xlsx]data!R95C12</stp>
        <tr r="L95" s="2"/>
      </tp>
      <tp>
        <v>1666.7</v>
        <stp/>
        <stp>##V3_BDPV12</stp>
        <stp>31371LBD0 Mtge</stp>
        <stp xml:space="preserve">MTG_PL_PSA_1M </stp>
        <stp>[Copy of 02_cpr_main.xlsx]data!R174C13</stp>
        <tr r="M174" s="2"/>
      </tp>
      <tp>
        <v>1.4</v>
        <stp/>
        <stp>##V3_BDPV12</stp>
        <stp>31407LEA1 Mtge</stp>
        <stp xml:space="preserve">MTG_PL_PSA_3M </stp>
        <stp>[Copy of 02_cpr_main.xlsx]data!R345C14</stp>
        <tr r="N345" s="2"/>
      </tp>
      <tp>
        <v>22.9</v>
        <stp/>
        <stp>##V3_BDPV12</stp>
        <stp>31407LE60 Mtge</stp>
        <stp xml:space="preserve">MTG_PL_PSA_3M </stp>
        <stp>[Copy of 02_cpr_main.xlsx]data!R344C14</stp>
        <tr r="N344" s="2"/>
      </tp>
      <tp>
        <v>1105.5999999999999</v>
        <stp/>
        <stp>##V3_BDPV12</stp>
        <stp>31371LDY2 Mtge</stp>
        <stp xml:space="preserve">MTG_PL_PSA_6M </stp>
        <stp>[Copy of 02_cpr_main.xlsx]data!R175C15</stp>
        <tr r="O175" s="2"/>
      </tp>
      <tp>
        <v>19.100000000000001</v>
        <stp/>
        <stp>##V3_BDPV12</stp>
        <stp>31414LAH1 Mtge</stp>
        <stp xml:space="preserve">MTG_PL_PSA_1M </stp>
        <stp>[Copy of 02_cpr_main.xlsx]data!R441C13</stp>
        <tr r="M441" s="2"/>
      </tp>
      <tp>
        <v>0</v>
        <stp/>
        <stp>##V3_BDPV12</stp>
        <stp>31371LDY2 Mtge</stp>
        <stp xml:space="preserve">MTG_PL_PSA_1M </stp>
        <stp>[Copy of 02_cpr_main.xlsx]data!R175C13</stp>
        <tr r="M175" s="2"/>
      </tp>
      <tp>
        <v>238.8</v>
        <stp/>
        <stp>##V3_BDPV12</stp>
        <stp>31414LAH1 Mtge</stp>
        <stp xml:space="preserve">MTG_PL_PSA_6M </stp>
        <stp>[Copy of 02_cpr_main.xlsx]data!R441C15</stp>
        <tr r="O441" s="2"/>
      </tp>
      <tp>
        <v>1666.7</v>
        <stp/>
        <stp>##V3_BDPV12</stp>
        <stp>31371LBD0 Mtge</stp>
        <stp xml:space="preserve">MTG_PL_PSA_6M </stp>
        <stp>[Copy of 02_cpr_main.xlsx]data!R174C15</stp>
        <tr r="O174" s="2"/>
      </tp>
      <tp>
        <v>1109.8</v>
        <stp/>
        <stp>##V3_BDPV12</stp>
        <stp>31371LDY2 Mtge</stp>
        <stp xml:space="preserve">MTG_PL_PSA_3M </stp>
        <stp>[Copy of 02_cpr_main.xlsx]data!R175C14</stp>
        <tr r="N175" s="2"/>
      </tp>
      <tp>
        <v>1.4</v>
        <stp/>
        <stp>##V3_BDPV12</stp>
        <stp>31407LEA1 Mtge</stp>
        <stp xml:space="preserve">MTG_PL_PSA_6M </stp>
        <stp>[Copy of 02_cpr_main.xlsx]data!R345C15</stp>
        <tr r="O345" s="2"/>
      </tp>
      <tp>
        <v>22.5</v>
        <stp/>
        <stp>##V3_BDPV12</stp>
        <stp>31407LE60 Mtge</stp>
        <stp xml:space="preserve">MTG_PL_PSA_6M </stp>
        <stp>[Copy of 02_cpr_main.xlsx]data!R344C15</stp>
        <tr r="O344" s="2"/>
      </tp>
      <tp>
        <v>167.5</v>
        <stp/>
        <stp>##V3_BDPV12</stp>
        <stp>36241KNL8 Mtge</stp>
        <stp xml:space="preserve">MTG_PL_PSA_3M </stp>
        <stp>[Copy of 02_cpr_main.xlsx]data!R496C14</stp>
        <tr r="N496" s="2"/>
      </tp>
      <tp>
        <v>1666.7</v>
        <stp/>
        <stp>##V3_BDPV12</stp>
        <stp>36200KMY0 Mtge</stp>
        <stp xml:space="preserve">MTG_PL_PSA_1M </stp>
        <stp>[Copy of 02_cpr_main.xlsx]data!R464C13</stp>
        <tr r="M464" s="2"/>
      </tp>
      <tp>
        <v>1666.7</v>
        <stp/>
        <stp>##V3_BDPV12</stp>
        <stp>31382LKE5 Mtge</stp>
        <stp xml:space="preserve">MTG_PL_PSA_3M </stp>
        <stp>[Copy of 02_cpr_main.xlsx]data!R199C14</stp>
        <tr r="N199" s="2"/>
      </tp>
      <tp>
        <v>4.9000000000000004</v>
        <stp/>
        <stp>##V3_BDPV12</stp>
        <stp>36241KNL8 Mtge</stp>
        <stp xml:space="preserve">MTG_PL_PSA_1M </stp>
        <stp>[Copy of 02_cpr_main.xlsx]data!R496C13</stp>
        <tr r="M496" s="2"/>
      </tp>
      <tp>
        <v>1666.7</v>
        <stp/>
        <stp>##V3_BDPV12</stp>
        <stp>36200KMY0 Mtge</stp>
        <stp xml:space="preserve">MTG_PL_PSA_3M </stp>
        <stp>[Copy of 02_cpr_main.xlsx]data!R464C14</stp>
        <tr r="N464" s="2"/>
      </tp>
      <tp>
        <v>1666.7</v>
        <stp/>
        <stp>##V3_BDPV12</stp>
        <stp>31382LKE5 Mtge</stp>
        <stp xml:space="preserve">MTG_PL_PSA_1M </stp>
        <stp>[Copy of 02_cpr_main.xlsx]data!R199C13</stp>
        <tr r="M199" s="2"/>
      </tp>
      <tp>
        <v>1666.7</v>
        <stp/>
        <stp>##V3_BDPV12</stp>
        <stp>31382LKE5 Mtge</stp>
        <stp xml:space="preserve">MTG_PL_PSA_6M </stp>
        <stp>[Copy of 02_cpr_main.xlsx]data!R199C15</stp>
        <tr r="O199" s="2"/>
      </tp>
      <tp>
        <v>95.5</v>
        <stp/>
        <stp>##V3_BDPV12</stp>
        <stp>36241KNL8 Mtge</stp>
        <stp xml:space="preserve">MTG_PL_PSA_6M </stp>
        <stp>[Copy of 02_cpr_main.xlsx]data!R496C15</stp>
        <tr r="O496" s="2"/>
      </tp>
      <tp>
        <v>1666.7</v>
        <stp/>
        <stp>##V3_BDPV12</stp>
        <stp>36200KMY0 Mtge</stp>
        <stp xml:space="preserve">MTG_PL_PSA_6M </stp>
        <stp>[Copy of 02_cpr_main.xlsx]data!R464C15</stp>
        <tr r="O464" s="2"/>
      </tp>
      <tp>
        <v>40.9</v>
        <stp/>
        <stp>##V3_BDPV12</stp>
        <stp>31371LQW2 Mtge</stp>
        <stp xml:space="preserve">MTG_PL_PSA_1M </stp>
        <stp>[Copy of 02_cpr_main.xlsx]data!R176C13</stp>
        <tr r="M176" s="2"/>
      </tp>
      <tp>
        <v>1666.7</v>
        <stp/>
        <stp>##V3_BDPV12</stp>
        <stp>3128PLP22 Mtge</stp>
        <stp xml:space="preserve">MTG_PL_PSA_1M </stp>
        <stp>[Copy of 02_cpr_main.xlsx]data!R103C13</stp>
        <tr r="M103" s="2"/>
      </tp>
      <tp t="s">
        <v>PSA</v>
        <stp/>
        <stp>##V3_BDPV12</stp>
        <stp>31410V2L3 Mtge</stp>
        <stp>MTG_PREPAY_TYP</stp>
        <stp>[Copy of 02_cpr_main.xlsx]data!R386C11</stp>
        <tr r="K386" s="2"/>
      </tp>
      <tp>
        <v>198.5</v>
        <stp/>
        <stp>##V3_BDPV12</stp>
        <stp>31371LQW2 Mtge</stp>
        <stp xml:space="preserve">MTG_PL_PSA_3M </stp>
        <stp>[Copy of 02_cpr_main.xlsx]data!R176C14</stp>
        <tr r="N176" s="2"/>
      </tp>
      <tp>
        <v>1666.7</v>
        <stp/>
        <stp>##V3_BDPV12</stp>
        <stp>3128PLP22 Mtge</stp>
        <stp xml:space="preserve">MTG_PL_PSA_3M </stp>
        <stp>[Copy of 02_cpr_main.xlsx]data!R103C14</stp>
        <tr r="N103" s="2"/>
      </tp>
      <tp>
        <v>162</v>
        <stp/>
        <stp>##V3_BDPV12</stp>
        <stp>31371LQW2 Mtge</stp>
        <stp xml:space="preserve">MTG_PL_PSA_6M </stp>
        <stp>[Copy of 02_cpr_main.xlsx]data!R176C15</stp>
        <tr r="O176" s="2"/>
      </tp>
      <tp>
        <v>1666.7</v>
        <stp/>
        <stp>##V3_BDPV12</stp>
        <stp>3128PLP22 Mtge</stp>
        <stp xml:space="preserve">MTG_PL_PSA_6M </stp>
        <stp>[Copy of 02_cpr_main.xlsx]data!R103C15</stp>
        <tr r="O103" s="2"/>
      </tp>
      <tp>
        <v>0.5</v>
        <stp/>
        <stp>##V3_BDPV12</stp>
        <stp>31412LZK9 Mtge</stp>
        <stp xml:space="preserve">MTG_PL_PSA_1M </stp>
        <stp>[Copy of 02_cpr_main.xlsx]data!R408C13</stp>
        <tr r="M408" s="2"/>
      </tp>
      <tp>
        <v>0.5</v>
        <stp/>
        <stp>##V3_BDPV12</stp>
        <stp>31412LZK9 Mtge</stp>
        <stp xml:space="preserve">MTG_PL_PSA_3M </stp>
        <stp>[Copy of 02_cpr_main.xlsx]data!R408C14</stp>
        <tr r="N408" s="2"/>
      </tp>
      <tp>
        <v>0.5</v>
        <stp/>
        <stp>##V3_BDPV12</stp>
        <stp>31412LZK9 Mtge</stp>
        <stp xml:space="preserve">MTG_PL_PSA_6M </stp>
        <stp>[Copy of 02_cpr_main.xlsx]data!R408C15</stp>
        <tr r="O408" s="2"/>
      </tp>
      <tp t="s">
        <v>CPR</v>
        <stp/>
        <stp>##V3_BDPV12</stp>
        <stp>31405VG76 Mtge</stp>
        <stp>MTG_PREPAY_TYP</stp>
        <stp>[Copy of 02_cpr_main.xlsx]data!R329C11</stp>
        <tr r="K329" s="2"/>
      </tp>
      <tp t="s">
        <v>PSA</v>
        <stp/>
        <stp>##V3_BDPV12</stp>
        <stp>36200QJD7 Mtge</stp>
        <stp>MTG_PREPAY_TYP</stp>
        <stp>[Copy of 02_cpr_main.xlsx]data!R467C11</stp>
        <tr r="K467" s="2"/>
      </tp>
      <tp>
        <v>173</v>
        <stp/>
        <stp>##V3_BDPV12</stp>
        <stp>01N062649 Mtge</stp>
        <stp>MTG_PREPAY_SPEED</stp>
        <stp>[Copy of 02_cpr_main.xlsx]data!R18C12</stp>
        <tr r="L18" s="2"/>
      </tp>
      <tp>
        <v>125</v>
        <stp/>
        <stp>##V3_BDPV12</stp>
        <stp>01N042641 Mtge</stp>
        <stp>MTG_PREPAY_SPEED</stp>
        <stp>[Copy of 02_cpr_main.xlsx]data!R14C12</stp>
        <tr r="L14" s="2"/>
      </tp>
      <tp>
        <v>139</v>
        <stp/>
        <stp>##V3_BDPV12</stp>
        <stp>01N060643 Mtge</stp>
        <stp>MTG_PREPAY_SPEED</stp>
        <stp>[Copy of 02_cpr_main.xlsx]data!R16C12</stp>
        <tr r="L16" s="2"/>
      </tp>
      <tp>
        <v>139</v>
        <stp/>
        <stp>##V3_BDPV12</stp>
        <stp>01N060650 Mtge</stp>
        <stp>MTG_PREPAY_SPEED</stp>
        <stp>[Copy of 02_cpr_main.xlsx]data!R17C12</stp>
        <tr r="L17" s="2"/>
      </tp>
      <tp>
        <v>134</v>
        <stp/>
        <stp>##V3_BDPV12</stp>
        <stp>01N052657 Mtge</stp>
        <stp>MTG_PREPAY_SPEED</stp>
        <stp>[Copy of 02_cpr_main.xlsx]data!R15C12</stp>
        <tr r="L15" s="2"/>
      </tp>
      <tp t="s">
        <v>CPR</v>
        <stp/>
        <stp>##V3_BDPV12</stp>
        <stp>31406VQ74 Mtge</stp>
        <stp>MTG_PREPAY_TYP</stp>
        <stp>[Copy of 02_cpr_main.xlsx]data!R340C11</stp>
        <tr r="K340" s="2"/>
      </tp>
      <tp t="s">
        <v>PSA</v>
        <stp/>
        <stp>##V3_BDPV12</stp>
        <stp>36200QSL9 Mtge</stp>
        <stp>MTG_PREPAY_TYP</stp>
        <stp>[Copy of 02_cpr_main.xlsx]data!R468C11</stp>
        <tr r="K468" s="2"/>
      </tp>
      <tp>
        <v>0</v>
        <stp/>
        <stp>##V3_BDPV12</stp>
        <stp>31401MDP3 Mtge</stp>
        <stp xml:space="preserve">MTG_PL_PSA_1M </stp>
        <stp>[Copy of 02_cpr_main.xlsx]data!R258C13</stp>
        <tr r="M258" s="2"/>
      </tp>
      <tp>
        <v>1666.7</v>
        <stp/>
        <stp>##V3_BDPV12</stp>
        <stp>36201JFW4 Mtge</stp>
        <stp xml:space="preserve">MTG_PL_PSA_3M </stp>
        <stp>[Copy of 02_cpr_main.xlsx]data!R472C14</stp>
        <tr r="N472" s="2"/>
      </tp>
      <tp>
        <v>1666.7</v>
        <stp/>
        <stp>##V3_BDPV12</stp>
        <stp>36201JDG1 Mtge</stp>
        <stp xml:space="preserve">MTG_PL_PSA_1M </stp>
        <stp>[Copy of 02_cpr_main.xlsx]data!R471C13</stp>
        <tr r="M471" s="2"/>
      </tp>
      <tp>
        <v>1.6</v>
        <stp/>
        <stp>##V3_BDPV12</stp>
        <stp>31296MC64 Mtge</stp>
        <stp xml:space="preserve">MTG_PL_PSA_3M </stp>
        <stp>[Copy of 02_cpr_main.xlsx]data!R143C14</stp>
        <tr r="N143" s="2"/>
      </tp>
      <tp>
        <v>1666.7</v>
        <stp/>
        <stp>##V3_BDPV12</stp>
        <stp>31371MB97 Mtge</stp>
        <stp xml:space="preserve">MTG_PL_PSA_3M </stp>
        <stp>[Copy of 02_cpr_main.xlsx]data!R177C14</stp>
        <tr r="N177" s="2"/>
      </tp>
      <tp>
        <v>398.7</v>
        <stp/>
        <stp>##V3_BDPV12</stp>
        <stp>31413ME78 Mtge</stp>
        <stp xml:space="preserve">MTG_PL_PSA_6M </stp>
        <stp>[Copy of 02_cpr_main.xlsx]data!R427C15</stp>
        <tr r="O427" s="2"/>
      </tp>
      <tp>
        <v>1666.7</v>
        <stp/>
        <stp>##V3_BDPV12</stp>
        <stp>36201JFW4 Mtge</stp>
        <stp xml:space="preserve">MTG_PL_PSA_1M </stp>
        <stp>[Copy of 02_cpr_main.xlsx]data!R472C13</stp>
        <tr r="M472" s="2"/>
      </tp>
      <tp>
        <v>20.100000000000001</v>
        <stp/>
        <stp>##V3_BDPV12</stp>
        <stp>31401MDP3 Mtge</stp>
        <stp xml:space="preserve">MTG_PL_PSA_3M </stp>
        <stp>[Copy of 02_cpr_main.xlsx]data!R258C14</stp>
        <tr r="N258" s="2"/>
      </tp>
      <tp>
        <v>1666.7</v>
        <stp/>
        <stp>##V3_BDPV12</stp>
        <stp>36201JDG1 Mtge</stp>
        <stp xml:space="preserve">MTG_PL_PSA_3M </stp>
        <stp>[Copy of 02_cpr_main.xlsx]data!R471C14</stp>
        <tr r="N471" s="2"/>
      </tp>
      <tp>
        <v>1666.7</v>
        <stp/>
        <stp>##V3_BDPV12</stp>
        <stp>31371MB97 Mtge</stp>
        <stp xml:space="preserve">MTG_PL_PSA_1M </stp>
        <stp>[Copy of 02_cpr_main.xlsx]data!R177C13</stp>
        <tr r="M177" s="2"/>
      </tp>
      <tp>
        <v>1.6</v>
        <stp/>
        <stp>##V3_BDPV12</stp>
        <stp>31296MC64 Mtge</stp>
        <stp xml:space="preserve">MTG_PL_PSA_1M </stp>
        <stp>[Copy of 02_cpr_main.xlsx]data!R143C13</stp>
        <tr r="M143" s="2"/>
      </tp>
      <tp>
        <v>1666.7</v>
        <stp/>
        <stp>##V3_BDPV12</stp>
        <stp>36201JFW4 Mtge</stp>
        <stp xml:space="preserve">MTG_PL_PSA_6M </stp>
        <stp>[Copy of 02_cpr_main.xlsx]data!R472C15</stp>
        <tr r="O472" s="2"/>
      </tp>
      <tp>
        <v>1.5</v>
        <stp/>
        <stp>##V3_BDPV12</stp>
        <stp>31296MC64 Mtge</stp>
        <stp xml:space="preserve">MTG_PL_PSA_6M </stp>
        <stp>[Copy of 02_cpr_main.xlsx]data!R143C15</stp>
        <tr r="O143" s="2"/>
      </tp>
      <tp>
        <v>1666.7</v>
        <stp/>
        <stp>##V3_BDPV12</stp>
        <stp>31371MB97 Mtge</stp>
        <stp xml:space="preserve">MTG_PL_PSA_6M </stp>
        <stp>[Copy of 02_cpr_main.xlsx]data!R177C15</stp>
        <tr r="O177" s="2"/>
      </tp>
      <tp>
        <v>225.1</v>
        <stp/>
        <stp>##V3_BDPV12</stp>
        <stp>31413ME78 Mtge</stp>
        <stp xml:space="preserve">MTG_PL_PSA_3M </stp>
        <stp>[Copy of 02_cpr_main.xlsx]data!R427C14</stp>
        <tr r="N427" s="2"/>
      </tp>
      <tp>
        <v>588.70000000000005</v>
        <stp/>
        <stp>##V3_BDPV12</stp>
        <stp>31401MDP3 Mtge</stp>
        <stp xml:space="preserve">MTG_PL_PSA_6M </stp>
        <stp>[Copy of 02_cpr_main.xlsx]data!R258C15</stp>
        <tr r="O258" s="2"/>
      </tp>
      <tp>
        <v>1666.7</v>
        <stp/>
        <stp>##V3_BDPV12</stp>
        <stp>36201JDG1 Mtge</stp>
        <stp xml:space="preserve">MTG_PL_PSA_6M </stp>
        <stp>[Copy of 02_cpr_main.xlsx]data!R471C15</stp>
        <tr r="O471" s="2"/>
      </tp>
      <tp>
        <v>370.4</v>
        <stp/>
        <stp>##V3_BDPV12</stp>
        <stp>31413ME78 Mtge</stp>
        <stp xml:space="preserve">MTG_PL_PSA_1M </stp>
        <stp>[Copy of 02_cpr_main.xlsx]data!R427C13</stp>
        <tr r="M427" s="2"/>
      </tp>
      <tp>
        <v>1.6</v>
        <stp/>
        <stp>##V3_BDPV12</stp>
        <stp>36295JMQ6 Mtge</stp>
        <stp xml:space="preserve">MTG_PL_PSA_1M </stp>
        <stp>[Copy of 02_cpr_main.xlsx]data!R506C13</stp>
        <tr r="M506" s="2"/>
      </tp>
      <tp>
        <v>62.9</v>
        <stp/>
        <stp>##V3_BDPV12</stp>
        <stp>31404ML97 Mtge</stp>
        <stp xml:space="preserve">MTG_PL_PSA_1M </stp>
        <stp>[Copy of 02_cpr_main.xlsx]data!R317C13</stp>
        <tr r="M317" s="2"/>
      </tp>
      <tp>
        <v>1125.3</v>
        <stp/>
        <stp>##V3_BDPV12</stp>
        <stp>36206JJ96 Mtge</stp>
        <stp xml:space="preserve">MTG_PL_PSA_6M </stp>
        <stp>[Copy of 02_cpr_main.xlsx]data!R479C15</stp>
        <tr r="O479" s="2"/>
      </tp>
      <tp>
        <v>70.2</v>
        <stp/>
        <stp>##V3_BDPV12</stp>
        <stp>36295JMQ6 Mtge</stp>
        <stp xml:space="preserve">MTG_PL_PSA_3M </stp>
        <stp>[Copy of 02_cpr_main.xlsx]data!R506C14</stp>
        <tr r="N506" s="2"/>
      </tp>
      <tp>
        <v>5.7</v>
        <stp/>
        <stp>##V3_BDPV12</stp>
        <stp>31371MLN5 Mtge</stp>
        <stp xml:space="preserve">MTG_PL_PSA_6M </stp>
        <stp>[Copy of 02_cpr_main.xlsx]data!R178C15</stp>
        <tr r="O178" s="2"/>
      </tp>
      <tp>
        <v>251.8</v>
        <stp/>
        <stp>##V3_BDPV12</stp>
        <stp>31404ML97 Mtge</stp>
        <stp xml:space="preserve">MTG_PL_PSA_3M </stp>
        <stp>[Copy of 02_cpr_main.xlsx]data!R317C14</stp>
        <tr r="N317" s="2"/>
      </tp>
      <tp>
        <v>5.9</v>
        <stp/>
        <stp>##V3_BDPV12</stp>
        <stp>31371MLN5 Mtge</stp>
        <stp xml:space="preserve">MTG_PL_PSA_1M </stp>
        <stp>[Copy of 02_cpr_main.xlsx]data!R178C13</stp>
        <tr r="M178" s="2"/>
      </tp>
      <tp>
        <v>1346.5</v>
        <stp/>
        <stp>##V3_BDPV12</stp>
        <stp>36206JJ96 Mtge</stp>
        <stp xml:space="preserve">MTG_PL_PSA_3M </stp>
        <stp>[Copy of 02_cpr_main.xlsx]data!R479C14</stp>
        <tr r="N479" s="2"/>
      </tp>
      <tp>
        <v>5.7</v>
        <stp/>
        <stp>##V3_BDPV12</stp>
        <stp>31371MLN5 Mtge</stp>
        <stp xml:space="preserve">MTG_PL_PSA_3M </stp>
        <stp>[Copy of 02_cpr_main.xlsx]data!R178C14</stp>
        <tr r="N178" s="2"/>
      </tp>
      <tp>
        <v>238.4</v>
        <stp/>
        <stp>##V3_BDPV12</stp>
        <stp>31404ML97 Mtge</stp>
        <stp xml:space="preserve">MTG_PL_PSA_6M </stp>
        <stp>[Copy of 02_cpr_main.xlsx]data!R317C15</stp>
        <tr r="O317" s="2"/>
      </tp>
      <tp>
        <v>0</v>
        <stp/>
        <stp>##V3_BDPV12</stp>
        <stp>36206JJ96 Mtge</stp>
        <stp xml:space="preserve">MTG_PL_PSA_1M </stp>
        <stp>[Copy of 02_cpr_main.xlsx]data!R479C13</stp>
        <tr r="M479" s="2"/>
      </tp>
      <tp>
        <v>74.900000000000006</v>
        <stp/>
        <stp>##V3_BDPV12</stp>
        <stp>36295JMQ6 Mtge</stp>
        <stp xml:space="preserve">MTG_PL_PSA_6M </stp>
        <stp>[Copy of 02_cpr_main.xlsx]data!R506C15</stp>
        <tr r="O506" s="2"/>
      </tp>
      <tp>
        <v>134.80000000000001</v>
        <stp/>
        <stp>##V3_BDPV12</stp>
        <stp>31371MWJ2 Mtge</stp>
        <stp xml:space="preserve">MTG_PL_PSA_6M </stp>
        <stp>[Copy of 02_cpr_main.xlsx]data!R179C15</stp>
        <tr r="O179" s="2"/>
      </tp>
      <tp>
        <v>1666.7</v>
        <stp/>
        <stp>##V3_BDPV12</stp>
        <stp>36291JVC1 Mtge</stp>
        <stp xml:space="preserve">MTG_PL_PSA_3M </stp>
        <stp>[Copy of 02_cpr_main.xlsx]data!R502C14</stp>
        <tr r="N502" s="2"/>
      </tp>
      <tp>
        <v>1666.7</v>
        <stp/>
        <stp>##V3_BDPV12</stp>
        <stp>36291JVC1 Mtge</stp>
        <stp xml:space="preserve">MTG_PL_PSA_1M </stp>
        <stp>[Copy of 02_cpr_main.xlsx]data!R502C13</stp>
        <tr r="M502" s="2"/>
      </tp>
      <tp>
        <v>1666.7</v>
        <stp/>
        <stp>##V3_BDPV12</stp>
        <stp>36291JVC1 Mtge</stp>
        <stp xml:space="preserve">MTG_PL_PSA_6M </stp>
        <stp>[Copy of 02_cpr_main.xlsx]data!R502C15</stp>
        <tr r="O502" s="2"/>
      </tp>
      <tp>
        <v>247.6</v>
        <stp/>
        <stp>##V3_BDPV12</stp>
        <stp>31371MWJ2 Mtge</stp>
        <stp xml:space="preserve">MTG_PL_PSA_3M </stp>
        <stp>[Copy of 02_cpr_main.xlsx]data!R179C14</stp>
        <tr r="N179" s="2"/>
      </tp>
      <tp>
        <v>23.6</v>
        <stp/>
        <stp>##V3_BDPV12</stp>
        <stp>31371MWJ2 Mtge</stp>
        <stp xml:space="preserve">MTG_PL_PSA_1M </stp>
        <stp>[Copy of 02_cpr_main.xlsx]data!R179C13</stp>
        <tr r="M179" s="2"/>
      </tp>
      <tp>
        <v>8.3000000000000007</v>
        <stp/>
        <stp>##V3_BDPV12</stp>
        <stp>31410MYP9 Mtge</stp>
        <stp xml:space="preserve">MTG_PL_PSA_6M </stp>
        <stp>[Copy of 02_cpr_main.xlsx]data!R379C15</stp>
        <tr r="O379" s="2"/>
      </tp>
      <tp>
        <v>1.4</v>
        <stp/>
        <stp>##V3_BDPV12</stp>
        <stp>31410MYP9 Mtge</stp>
        <stp xml:space="preserve">MTG_PL_PSA_1M </stp>
        <stp>[Copy of 02_cpr_main.xlsx]data!R379C13</stp>
        <tr r="M379" s="2"/>
      </tp>
      <tp>
        <v>0.4</v>
        <stp/>
        <stp>##V3_BDPV12</stp>
        <stp>31410MYP9 Mtge</stp>
        <stp xml:space="preserve">MTG_PL_PSA_3M </stp>
        <stp>[Copy of 02_cpr_main.xlsx]data!R379C14</stp>
        <tr r="N379" s="2"/>
      </tp>
      <tp t="s">
        <v>#N/A N/A</v>
        <stp/>
        <stp>##V3_BDPV12</stp>
        <stp>31411WA49 Mtge</stp>
        <stp>MTG_PREPAY_TYP</stp>
        <stp>[Copy of 02_cpr_main.xlsx]data!R397C11</stp>
        <tr r="K397" s="2"/>
      </tp>
      <tp>
        <v>0</v>
        <stp/>
        <stp>##V3_BDPV12</stp>
        <stp>31404M5N4 Mtge</stp>
        <stp xml:space="preserve">MTG_PL_PSA_1M </stp>
        <stp>[Copy of 02_cpr_main.xlsx]data!R316C13</stp>
        <tr r="M316" s="2"/>
      </tp>
      <tp>
        <v>177.7</v>
        <stp/>
        <stp>##V3_BDPV12</stp>
        <stp>31412M4Y1 Mtge</stp>
        <stp xml:space="preserve">MTG_PL_PSA_6M </stp>
        <stp>[Copy of 02_cpr_main.xlsx]data!R410C15</stp>
        <tr r="O410" s="2"/>
      </tp>
      <tp>
        <v>1666.7</v>
        <stp/>
        <stp>##V3_BDPV12</stp>
        <stp>31410M4L1 Mtge</stp>
        <stp xml:space="preserve">MTG_PL_PSA_1M </stp>
        <stp>[Copy of 02_cpr_main.xlsx]data!R378C13</stp>
        <tr r="M378" s="2"/>
      </tp>
      <tp>
        <v>1666.7</v>
        <stp/>
        <stp>##V3_BDPV12</stp>
        <stp>31412M3C0 Mtge</stp>
        <stp xml:space="preserve">MTG_PL_PSA_1M </stp>
        <stp>[Copy of 02_cpr_main.xlsx]data!R409C13</stp>
        <tr r="M409" s="2"/>
      </tp>
      <tp>
        <v>1654.3</v>
        <stp/>
        <stp>##V3_BDPV12</stp>
        <stp>31404M5N4 Mtge</stp>
        <stp xml:space="preserve">MTG_PL_PSA_3M </stp>
        <stp>[Copy of 02_cpr_main.xlsx]data!R316C14</stp>
        <tr r="N316" s="2"/>
      </tp>
      <tp t="s">
        <v>CPR</v>
        <stp/>
        <stp>##V3_BDPV12</stp>
        <stp>31407WSP9 Mtge</stp>
        <stp>MTG_PREPAY_TYP</stp>
        <stp>[Copy of 02_cpr_main.xlsx]data!R347C11</stp>
        <tr r="K347" s="2"/>
      </tp>
      <tp>
        <v>1666.7</v>
        <stp/>
        <stp>##V3_BDPV12</stp>
        <stp>31410M4L1 Mtge</stp>
        <stp xml:space="preserve">MTG_PL_PSA_3M </stp>
        <stp>[Copy of 02_cpr_main.xlsx]data!R378C14</stp>
        <tr r="N378" s="2"/>
      </tp>
      <tp t="s">
        <v>PSA</v>
        <stp/>
        <stp>##V3_BDPV12</stp>
        <stp>36291PSB3 Mtge</stp>
        <stp>MTG_PREPAY_TYP</stp>
        <stp>[Copy of 02_cpr_main.xlsx]data!R504C11</stp>
        <tr r="K504" s="2"/>
      </tp>
      <tp>
        <v>1666.7</v>
        <stp/>
        <stp>##V3_BDPV12</stp>
        <stp>31412M3C0 Mtge</stp>
        <stp xml:space="preserve">MTG_PL_PSA_3M </stp>
        <stp>[Copy of 02_cpr_main.xlsx]data!R409C14</stp>
        <tr r="N409" s="2"/>
      </tp>
      <tp>
        <v>16.5</v>
        <stp/>
        <stp>##V3_BDPV12</stp>
        <stp>31412M4Y1 Mtge</stp>
        <stp xml:space="preserve">MTG_PL_PSA_3M </stp>
        <stp>[Copy of 02_cpr_main.xlsx]data!R410C14</stp>
        <tr r="N410" s="2"/>
      </tp>
      <tp t="s">
        <v>#N/A N/A</v>
        <stp/>
        <stp>##V3_BDPV12</stp>
        <stp>31404WTM8 Mtge</stp>
        <stp>MTG_PREPAY_TYP</stp>
        <stp>[Copy of 02_cpr_main.xlsx]data!R320C11</stp>
        <tr r="K320" s="2"/>
      </tp>
      <tp>
        <v>27.6</v>
        <stp/>
        <stp>##V3_BDPV12</stp>
        <stp>31412M4Y1 Mtge</stp>
        <stp xml:space="preserve">MTG_PL_PSA_1M </stp>
        <stp>[Copy of 02_cpr_main.xlsx]data!R410C13</stp>
        <tr r="M410" s="2"/>
      </tp>
      <tp>
        <v>1666.7</v>
        <stp/>
        <stp>##V3_BDPV12</stp>
        <stp>31410M4L1 Mtge</stp>
        <stp xml:space="preserve">MTG_PL_PSA_6M </stp>
        <stp>[Copy of 02_cpr_main.xlsx]data!R378C15</stp>
        <tr r="O378" s="2"/>
      </tp>
      <tp>
        <v>1666.7</v>
        <stp/>
        <stp>##V3_BDPV12</stp>
        <stp>31412M3C0 Mtge</stp>
        <stp xml:space="preserve">MTG_PL_PSA_6M </stp>
        <stp>[Copy of 02_cpr_main.xlsx]data!R409C15</stp>
        <tr r="O409" s="2"/>
      </tp>
      <tp t="s">
        <v>PSA</v>
        <stp/>
        <stp>##V3_BDPV12</stp>
        <stp>31415WQC0 Mtge</stp>
        <stp>MTG_PREPAY_TYP</stp>
        <stp>[Copy of 02_cpr_main.xlsx]data!R457C11</stp>
        <tr r="K457" s="2"/>
      </tp>
      <tp>
        <v>1542.3</v>
        <stp/>
        <stp>##V3_BDPV12</stp>
        <stp>31404M5N4 Mtge</stp>
        <stp xml:space="preserve">MTG_PL_PSA_6M </stp>
        <stp>[Copy of 02_cpr_main.xlsx]data!R316C15</stp>
        <tr r="O316" s="2"/>
      </tp>
      <tp t="s">
        <v>PSA</v>
        <stp/>
        <stp>##V3_BDPV12</stp>
        <stp>31410WX37 Mtge</stp>
        <stp>MTG_PREPAY_TYP</stp>
        <stp>[Copy of 02_cpr_main.xlsx]data!R387C11</stp>
        <tr r="K38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76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workbookViewId="0">
      <pane xSplit="1" ySplit="1" topLeftCell="B344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2" customWidth="1"/>
    <col min="2" max="3" width="17" customWidth="1"/>
    <col min="4" max="4" width="17.85546875" bestFit="1" customWidth="1"/>
    <col min="5" max="6" width="28" hidden="1" customWidth="1"/>
    <col min="7" max="7" width="29" hidden="1" customWidth="1"/>
    <col min="8" max="9" width="28" hidden="1" customWidth="1"/>
    <col min="10" max="10" width="29" hidden="1" customWidth="1"/>
    <col min="11" max="11" width="17.7109375" bestFit="1" customWidth="1"/>
  </cols>
  <sheetData>
    <row r="1" spans="1:1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tr" cm="1">
        <f t="array" ref="E2">_xll.BDH($D2,"CPR","20090331","20090331","Dts=H")</f>
        <v>#N/A Invalid Field</v>
      </c>
      <c r="F2" t="str" cm="1">
        <f t="array" ref="F2">_xll.BDH($D2,"MTG_GEN_CPR_6M","20090331","20090331","Dts=H")</f>
        <v>#N/A Invalid Field</v>
      </c>
      <c r="G2" t="str" cm="1">
        <f t="array" ref="G2">_xll.BDH($D2,"MTG_GEN_CPR_12M","20090331","20090331","Dts=H")</f>
        <v>#N/A Invalid Field</v>
      </c>
      <c r="H2" t="str" cm="1">
        <f t="array" ref="H2">_xll.BDH($D2,"MTG_GEN_CPR_3M","20090610","20090610","Dts=H")</f>
        <v>#N/A Invalid Field</v>
      </c>
      <c r="I2" t="str" cm="1">
        <f t="array" ref="I2">_xll.BDH($D2,"MTG_GEN_CPR_6M","20090610","20090610","Dts=H")</f>
        <v>#N/A Invalid Field</v>
      </c>
      <c r="J2" t="str" cm="1">
        <f t="array" ref="J2">_xll.BDH($D2,"MTG_GEN_CPR_12M","20090610","20090610","Dts=H")</f>
        <v>#N/A Invalid Field</v>
      </c>
      <c r="K2" t="str" cm="1">
        <f t="array" ref="K2">_xll.BDP("31283H4W2 Mtge","MTG_PREPAY_TYP")</f>
        <v>PSA</v>
      </c>
      <c r="L2" cm="1">
        <f t="array" ref="L2">_xll.BDP(D2,"MTG_PREPAY_SPEED")</f>
        <v>151</v>
      </c>
      <c r="M2" cm="1">
        <f t="array" ref="M2">_xll.BDP(D2,"MTG_PL_PSA_1M ")</f>
        <v>407.4</v>
      </c>
      <c r="N2" cm="1">
        <f t="array" ref="N2">_xll.BDP(D2,"MTG_PL_PSA_3M ")</f>
        <v>550.70000000000005</v>
      </c>
      <c r="O2" cm="1">
        <f t="array" ref="O2">_xll.BDP(D2,"MTG_PL_PSA_6M ")</f>
        <v>740.5</v>
      </c>
    </row>
    <row r="3" spans="1:15" x14ac:dyDescent="0.25">
      <c r="A3" t="s">
        <v>20</v>
      </c>
      <c r="B3" t="s">
        <v>21</v>
      </c>
      <c r="C3" t="s">
        <v>18</v>
      </c>
      <c r="D3" t="s">
        <v>22</v>
      </c>
      <c r="E3" t="str" cm="1">
        <f t="array" ref="E3">_xll.BDH($D3,"MTG_GEN_CPR_3M","20090331","20090331","Dts=H")</f>
        <v>#N/A Invalid Field</v>
      </c>
      <c r="F3" t="str" cm="1">
        <f t="array" ref="F3">_xll.BDH($D3,"MTG_GEN_CPR_6M","20090331","20090331","Dts=H")</f>
        <v>#N/A Invalid Field</v>
      </c>
      <c r="G3" t="str" cm="1">
        <f t="array" ref="G3">_xll.BDH($D3,"MTG_GEN_CPR_12M","20090331","20090331","Dts=H")</f>
        <v>#N/A Invalid Field</v>
      </c>
      <c r="H3" t="str" cm="1">
        <f t="array" ref="H3">_xll.BDH($D3,"MTG_GEN_CPR_3M","20090610","20090610","Dts=H")</f>
        <v>#N/A Invalid Field</v>
      </c>
      <c r="I3" t="str" cm="1">
        <f t="array" ref="I3">_xll.BDH($D3,"MTG_GEN_CPR_6M","20090610","20090610","Dts=H")</f>
        <v>#N/A Invalid Field</v>
      </c>
      <c r="J3" t="str" cm="1">
        <f t="array" ref="J3">_xll.BDH($D3,"MTG_GEN_CPR_12M","20090610","20090610","Dts=H")</f>
        <v>#N/A Invalid Field</v>
      </c>
      <c r="K3" t="str" cm="1">
        <f t="array" ref="K3">_xll.BDP("31283H4W2 Mtge","MTG_PREPAY_TYP")</f>
        <v>PSA</v>
      </c>
      <c r="L3" cm="1">
        <f t="array" ref="L3">_xll.BDP(D3,"MTG_PREPAY_SPEED")</f>
        <v>115</v>
      </c>
      <c r="M3" cm="1">
        <f t="array" ref="M3">_xll.BDP(D3,"MTG_PL_PSA_1M ")</f>
        <v>299</v>
      </c>
      <c r="N3" cm="1">
        <f t="array" ref="N3">_xll.BDP(D3,"MTG_PL_PSA_3M ")</f>
        <v>400.4</v>
      </c>
      <c r="O3" cm="1">
        <f t="array" ref="O3">_xll.BDP(D3,"MTG_PL_PSA_6M ")</f>
        <v>484.4</v>
      </c>
    </row>
    <row r="4" spans="1:15" x14ac:dyDescent="0.25">
      <c r="A4" t="s">
        <v>23</v>
      </c>
      <c r="B4" t="s">
        <v>24</v>
      </c>
      <c r="C4" t="s">
        <v>18</v>
      </c>
      <c r="D4" t="s">
        <v>25</v>
      </c>
      <c r="E4" t="str" cm="1">
        <f t="array" ref="E4">_xll.BDH($D4,"MTG_GEN_CPR_3M","20090331","20090331","Dts=H")</f>
        <v>#N/A Invalid Field</v>
      </c>
      <c r="F4" t="str" cm="1">
        <f t="array" ref="F4">_xll.BDH($D4,"MTG_GEN_CPR_6M","20090331","20090331","Dts=H")</f>
        <v>#N/A Invalid Field</v>
      </c>
      <c r="G4" t="str" cm="1">
        <f t="array" ref="G4">_xll.BDH($D4,"MTG_GEN_CPR_12M","20090331","20090331","Dts=H")</f>
        <v>#N/A Invalid Field</v>
      </c>
      <c r="H4" t="str" cm="1">
        <f t="array" ref="H4">_xll.BDH($D4,"MTG_GEN_CPR_3M","20090610","20090610","Dts=H")</f>
        <v>#N/A Invalid Field</v>
      </c>
      <c r="I4" t="str" cm="1">
        <f t="array" ref="I4">_xll.BDH($D4,"MTG_GEN_CPR_6M","20090610","20090610","Dts=H")</f>
        <v>#N/A Invalid Field</v>
      </c>
      <c r="J4" t="str" cm="1">
        <f t="array" ref="J4">_xll.BDH($D4,"MTG_GEN_CPR_12M","20090610","20090610","Dts=H")</f>
        <v>#N/A Invalid Field</v>
      </c>
      <c r="K4" t="str" cm="1">
        <f t="array" ref="K4">_xll.BDP("31283H4W2 Mtge","MTG_PREPAY_TYP")</f>
        <v>PSA</v>
      </c>
      <c r="L4" cm="1">
        <f t="array" ref="L4">_xll.BDP(D4,"MTG_PREPAY_SPEED")</f>
        <v>195</v>
      </c>
      <c r="M4" cm="1">
        <f t="array" ref="M4">_xll.BDP(D4,"MTG_PL_PSA_1M ")</f>
        <v>2281.1</v>
      </c>
      <c r="N4" cm="1">
        <f t="array" ref="N4">_xll.BDP(D4,"MTG_PL_PSA_3M ")</f>
        <v>2471</v>
      </c>
      <c r="O4" cm="1">
        <f t="array" ref="O4">_xll.BDP(D4,"MTG_PL_PSA_6M ")</f>
        <v>2619.4</v>
      </c>
    </row>
    <row r="5" spans="1:15" x14ac:dyDescent="0.25">
      <c r="A5" t="s">
        <v>26</v>
      </c>
      <c r="B5" t="s">
        <v>27</v>
      </c>
      <c r="C5" t="s">
        <v>18</v>
      </c>
      <c r="D5" t="s">
        <v>28</v>
      </c>
      <c r="E5" t="str" cm="1">
        <f t="array" ref="E5">_xll.BDH($D5,"MTG_GEN_CPR_3M","20090331","20090331","Dts=H")</f>
        <v>#N/A Invalid Field</v>
      </c>
      <c r="F5" t="str" cm="1">
        <f t="array" ref="F5">_xll.BDH($D5,"MTG_GEN_CPR_6M","20090331","20090331","Dts=H")</f>
        <v>#N/A Invalid Field</v>
      </c>
      <c r="G5" t="str" cm="1">
        <f t="array" ref="G5">_xll.BDH($D5,"MTG_GEN_CPR_12M","20090331","20090331","Dts=H")</f>
        <v>#N/A Invalid Field</v>
      </c>
      <c r="H5" t="str" cm="1">
        <f t="array" ref="H5">_xll.BDH($D5,"MTG_GEN_CPR_3M","20090610","20090610","Dts=H")</f>
        <v>#N/A Invalid Field</v>
      </c>
      <c r="I5" t="str" cm="1">
        <f t="array" ref="I5">_xll.BDH($D5,"MTG_GEN_CPR_6M","20090610","20090610","Dts=H")</f>
        <v>#N/A Invalid Field</v>
      </c>
      <c r="J5" t="str" cm="1">
        <f t="array" ref="J5">_xll.BDH($D5,"MTG_GEN_CPR_12M","20090610","20090610","Dts=H")</f>
        <v>#N/A Invalid Field</v>
      </c>
      <c r="K5" t="str" cm="1">
        <f t="array" ref="K5">_xll.BDP("31283H4W2 Mtge","MTG_PREPAY_TYP")</f>
        <v>PSA</v>
      </c>
      <c r="L5" cm="1">
        <f t="array" ref="L5">_xll.BDP(D5,"MTG_PREPAY_SPEED")</f>
        <v>195</v>
      </c>
      <c r="M5" cm="1">
        <f t="array" ref="M5">_xll.BDP(D5,"MTG_PL_PSA_1M ")</f>
        <v>2281.1</v>
      </c>
      <c r="N5" cm="1">
        <f t="array" ref="N5">_xll.BDP(D5,"MTG_PL_PSA_3M ")</f>
        <v>2471</v>
      </c>
      <c r="O5" cm="1">
        <f t="array" ref="O5">_xll.BDP(D5,"MTG_PL_PSA_6M ")</f>
        <v>2619.4</v>
      </c>
    </row>
    <row r="6" spans="1:15" x14ac:dyDescent="0.25">
      <c r="A6" t="s">
        <v>29</v>
      </c>
      <c r="B6" t="s">
        <v>30</v>
      </c>
      <c r="C6" t="s">
        <v>18</v>
      </c>
      <c r="D6" t="s">
        <v>31</v>
      </c>
      <c r="E6" t="str" cm="1">
        <f t="array" ref="E6">_xll.BDH($D6,"MTG_GEN_CPR_3M","20090331","20090331","Dts=H")</f>
        <v>#N/A Invalid Field</v>
      </c>
      <c r="F6" t="str" cm="1">
        <f t="array" ref="F6">_xll.BDH($D6,"MTG_GEN_CPR_6M","20090331","20090331","Dts=H")</f>
        <v>#N/A Invalid Field</v>
      </c>
      <c r="G6" t="str" cm="1">
        <f t="array" ref="G6">_xll.BDH($D6,"MTG_GEN_CPR_12M","20090331","20090331","Dts=H")</f>
        <v>#N/A Invalid Field</v>
      </c>
      <c r="H6" t="str" cm="1">
        <f t="array" ref="H6">_xll.BDH($D6,"MTG_GEN_CPR_3M","20090610","20090610","Dts=H")</f>
        <v>#N/A Invalid Field</v>
      </c>
      <c r="I6" t="str" cm="1">
        <f t="array" ref="I6">_xll.BDH($D6,"MTG_GEN_CPR_6M","20090610","20090610","Dts=H")</f>
        <v>#N/A Invalid Field</v>
      </c>
      <c r="J6" t="str" cm="1">
        <f t="array" ref="J6">_xll.BDH($D6,"MTG_GEN_CPR_12M","20090610","20090610","Dts=H")</f>
        <v>#N/A Invalid Field</v>
      </c>
      <c r="K6" t="str" cm="1">
        <f t="array" ref="K6">_xll.BDP("31283H4W2 Mtge","MTG_PREPAY_TYP")</f>
        <v>PSA</v>
      </c>
      <c r="L6" cm="1">
        <f t="array" ref="L6">_xll.BDP(D6,"MTG_PREPAY_SPEED")</f>
        <v>129</v>
      </c>
      <c r="M6" cm="1">
        <f t="array" ref="M6">_xll.BDP(D6,"MTG_PL_PSA_1M ")</f>
        <v>551.1</v>
      </c>
      <c r="N6" cm="1">
        <f t="array" ref="N6">_xll.BDP(D6,"MTG_PL_PSA_3M ")</f>
        <v>721.9</v>
      </c>
      <c r="O6" cm="1">
        <f t="array" ref="O6">_xll.BDP(D6,"MTG_PL_PSA_6M ")</f>
        <v>887.4</v>
      </c>
    </row>
    <row r="7" spans="1:15" x14ac:dyDescent="0.25">
      <c r="A7" t="s">
        <v>32</v>
      </c>
      <c r="B7" t="s">
        <v>33</v>
      </c>
      <c r="C7" t="s">
        <v>18</v>
      </c>
      <c r="D7" t="s">
        <v>34</v>
      </c>
      <c r="E7" t="str" cm="1">
        <f t="array" ref="E7">_xll.BDH($D7,"MTG_GEN_CPR_3M","20090331","20090331","Dts=H")</f>
        <v>#N/A Invalid Field</v>
      </c>
      <c r="F7" t="str" cm="1">
        <f t="array" ref="F7">_xll.BDH($D7,"MTG_GEN_CPR_6M","20090331","20090331","Dts=H")</f>
        <v>#N/A Invalid Field</v>
      </c>
      <c r="G7" t="str" cm="1">
        <f t="array" ref="G7">_xll.BDH($D7,"MTG_GEN_CPR_12M","20090331","20090331","Dts=H")</f>
        <v>#N/A Invalid Field</v>
      </c>
      <c r="H7" t="str" cm="1">
        <f t="array" ref="H7">_xll.BDH($D7,"MTG_GEN_CPR_3M","20090610","20090610","Dts=H")</f>
        <v>#N/A Invalid Field</v>
      </c>
      <c r="I7" t="str" cm="1">
        <f t="array" ref="I7">_xll.BDH($D7,"MTG_GEN_CPR_6M","20090610","20090610","Dts=H")</f>
        <v>#N/A Invalid Field</v>
      </c>
      <c r="J7" t="str" cm="1">
        <f t="array" ref="J7">_xll.BDH($D7,"MTG_GEN_CPR_12M","20090610","20090610","Dts=H")</f>
        <v>#N/A Invalid Field</v>
      </c>
      <c r="K7" t="str" cm="1">
        <f t="array" ref="K7">_xll.BDP("31283H4W2 Mtge","MTG_PREPAY_TYP")</f>
        <v>PSA</v>
      </c>
      <c r="L7" cm="1">
        <f t="array" ref="L7">_xll.BDP(D7,"MTG_PREPAY_SPEED")</f>
        <v>129</v>
      </c>
      <c r="M7" cm="1">
        <f t="array" ref="M7">_xll.BDP(D7,"MTG_PL_PSA_1M ")</f>
        <v>551.1</v>
      </c>
      <c r="N7" cm="1">
        <f t="array" ref="N7">_xll.BDP(D7,"MTG_PL_PSA_3M ")</f>
        <v>721.9</v>
      </c>
      <c r="O7" cm="1">
        <f t="array" ref="O7">_xll.BDP(D7,"MTG_PL_PSA_6M ")</f>
        <v>887.4</v>
      </c>
    </row>
    <row r="8" spans="1:15" x14ac:dyDescent="0.25">
      <c r="A8" t="s">
        <v>35</v>
      </c>
      <c r="B8" t="s">
        <v>36</v>
      </c>
      <c r="C8" t="s">
        <v>18</v>
      </c>
      <c r="D8" t="s">
        <v>37</v>
      </c>
      <c r="E8" t="str" cm="1">
        <f t="array" ref="E8">_xll.BDH($D8,"MTG_GEN_CPR_3M","20090331","20090331","Dts=H")</f>
        <v>#N/A Invalid Field</v>
      </c>
      <c r="F8" t="str" cm="1">
        <f t="array" ref="F8">_xll.BDH($D8,"MTG_GEN_CPR_6M","20090331","20090331","Dts=H")</f>
        <v>#N/A Invalid Field</v>
      </c>
      <c r="G8" t="str" cm="1">
        <f t="array" ref="G8">_xll.BDH($D8,"MTG_GEN_CPR_12M","20090331","20090331","Dts=H")</f>
        <v>#N/A Invalid Field</v>
      </c>
      <c r="H8" t="str" cm="1">
        <f t="array" ref="H8">_xll.BDH($D8,"MTG_GEN_CPR_3M","20090610","20090610","Dts=H")</f>
        <v>#N/A Invalid Field</v>
      </c>
      <c r="I8" t="str" cm="1">
        <f t="array" ref="I8">_xll.BDH($D8,"MTG_GEN_CPR_6M","20090610","20090610","Dts=H")</f>
        <v>#N/A Invalid Field</v>
      </c>
      <c r="J8" t="str" cm="1">
        <f t="array" ref="J8">_xll.BDH($D8,"MTG_GEN_CPR_12M","20090610","20090610","Dts=H")</f>
        <v>#N/A Invalid Field</v>
      </c>
      <c r="K8" t="str" cm="1">
        <f t="array" ref="K8">_xll.BDP("31283H4W2 Mtge","MTG_PREPAY_TYP")</f>
        <v>PSA</v>
      </c>
      <c r="L8" cm="1">
        <f t="array" ref="L8">_xll.BDP(D8,"MTG_PREPAY_SPEED")</f>
        <v>204</v>
      </c>
      <c r="M8" cm="1">
        <f t="array" ref="M8">_xll.BDP(D8,"MTG_PL_PSA_1M ")</f>
        <v>613</v>
      </c>
      <c r="N8" cm="1">
        <f t="array" ref="N8">_xll.BDP(D8,"MTG_PL_PSA_3M ")</f>
        <v>755.6</v>
      </c>
      <c r="O8" cm="1">
        <f t="array" ref="O8">_xll.BDP(D8,"MTG_PL_PSA_6M ")</f>
        <v>1075.9000000000001</v>
      </c>
    </row>
    <row r="9" spans="1:15" x14ac:dyDescent="0.25">
      <c r="A9" t="s">
        <v>38</v>
      </c>
      <c r="B9" t="s">
        <v>39</v>
      </c>
      <c r="C9" t="s">
        <v>18</v>
      </c>
      <c r="D9" t="s">
        <v>40</v>
      </c>
      <c r="E9" t="str" cm="1">
        <f t="array" ref="E9">_xll.BDH($D9,"MTG_GEN_CPR_3M","20090331","20090331","Dts=H")</f>
        <v>#N/A Invalid Field</v>
      </c>
      <c r="F9" t="str" cm="1">
        <f t="array" ref="F9">_xll.BDH($D9,"MTG_GEN_CPR_6M","20090331","20090331","Dts=H")</f>
        <v>#N/A Invalid Field</v>
      </c>
      <c r="G9" t="str" cm="1">
        <f t="array" ref="G9">_xll.BDH($D9,"MTG_GEN_CPR_12M","20090331","20090331","Dts=H")</f>
        <v>#N/A Invalid Field</v>
      </c>
      <c r="H9" t="str" cm="1">
        <f t="array" ref="H9">_xll.BDH($D9,"MTG_GEN_CPR_3M","20090610","20090610","Dts=H")</f>
        <v>#N/A Invalid Field</v>
      </c>
      <c r="I9" t="str" cm="1">
        <f t="array" ref="I9">_xll.BDH($D9,"MTG_GEN_CPR_6M","20090610","20090610","Dts=H")</f>
        <v>#N/A Invalid Field</v>
      </c>
      <c r="J9" t="str" cm="1">
        <f t="array" ref="J9">_xll.BDH($D9,"MTG_GEN_CPR_12M","20090610","20090610","Dts=H")</f>
        <v>#N/A Invalid Field</v>
      </c>
      <c r="K9" t="str" cm="1">
        <f t="array" ref="K9">_xll.BDP("31283H4W2 Mtge","MTG_PREPAY_TYP")</f>
        <v>PSA</v>
      </c>
      <c r="L9" cm="1">
        <f t="array" ref="L9">_xll.BDP(D9,"MTG_PREPAY_SPEED")</f>
        <v>161</v>
      </c>
      <c r="M9" cm="1">
        <f t="array" ref="M9">_xll.BDP(D9,"MTG_PL_PSA_1M ")</f>
        <v>1587.9</v>
      </c>
      <c r="N9" cm="1">
        <f t="array" ref="N9">_xll.BDP(D9,"MTG_PL_PSA_3M ")</f>
        <v>1732.9</v>
      </c>
      <c r="O9" cm="1">
        <f t="array" ref="O9">_xll.BDP(D9,"MTG_PL_PSA_6M ")</f>
        <v>1907</v>
      </c>
    </row>
    <row r="10" spans="1:15" x14ac:dyDescent="0.25">
      <c r="A10" t="s">
        <v>41</v>
      </c>
      <c r="B10" t="s">
        <v>42</v>
      </c>
      <c r="C10" t="s">
        <v>18</v>
      </c>
      <c r="D10" t="s">
        <v>43</v>
      </c>
      <c r="E10" t="str" cm="1">
        <f t="array" ref="E10">_xll.BDH($D10,"MTG_GEN_CPR_3M","20090331","20090331","Dts=H")</f>
        <v>#N/A Invalid Field</v>
      </c>
      <c r="F10" t="str" cm="1">
        <f t="array" ref="F10">_xll.BDH($D10,"MTG_GEN_CPR_6M","20090331","20090331","Dts=H")</f>
        <v>#N/A Invalid Field</v>
      </c>
      <c r="G10" t="str" cm="1">
        <f t="array" ref="G10">_xll.BDH($D10,"MTG_GEN_CPR_12M","20090331","20090331","Dts=H")</f>
        <v>#N/A Invalid Field</v>
      </c>
      <c r="H10" t="str" cm="1">
        <f t="array" ref="H10">_xll.BDH($D10,"MTG_GEN_CPR_3M","20090610","20090610","Dts=H")</f>
        <v>#N/A Invalid Field</v>
      </c>
      <c r="I10" t="str" cm="1">
        <f t="array" ref="I10">_xll.BDH($D10,"MTG_GEN_CPR_6M","20090610","20090610","Dts=H")</f>
        <v>#N/A Invalid Field</v>
      </c>
      <c r="J10" t="str" cm="1">
        <f t="array" ref="J10">_xll.BDH($D10,"MTG_GEN_CPR_12M","20090610","20090610","Dts=H")</f>
        <v>#N/A Invalid Field</v>
      </c>
      <c r="K10" t="str" cm="1">
        <f t="array" ref="K10">_xll.BDP("31283H4W2 Mtge","MTG_PREPAY_TYP")</f>
        <v>PSA</v>
      </c>
      <c r="L10" cm="1">
        <f t="array" ref="L10">_xll.BDP(D10,"MTG_PREPAY_SPEED")</f>
        <v>209</v>
      </c>
      <c r="M10" cm="1">
        <f t="array" ref="M10">_xll.BDP(D10,"MTG_PL_PSA_1M ")</f>
        <v>331.2</v>
      </c>
      <c r="N10" cm="1">
        <f t="array" ref="N10">_xll.BDP(D10,"MTG_PL_PSA_3M ")</f>
        <v>383.4</v>
      </c>
      <c r="O10" cm="1">
        <f t="array" ref="O10">_xll.BDP(D10,"MTG_PL_PSA_6M ")</f>
        <v>438.7</v>
      </c>
    </row>
    <row r="11" spans="1:15" x14ac:dyDescent="0.25">
      <c r="A11" t="s">
        <v>44</v>
      </c>
      <c r="B11" t="s">
        <v>45</v>
      </c>
      <c r="C11" t="s">
        <v>18</v>
      </c>
      <c r="D11" t="s">
        <v>46</v>
      </c>
      <c r="E11" t="str" cm="1">
        <f t="array" ref="E11">_xll.BDH($D11,"MTG_GEN_CPR_3M","20090331","20090331","Dts=H")</f>
        <v>#N/A Invalid Field</v>
      </c>
      <c r="F11" t="str" cm="1">
        <f t="array" ref="F11">_xll.BDH($D11,"MTG_GEN_CPR_6M","20090331","20090331","Dts=H")</f>
        <v>#N/A Invalid Field</v>
      </c>
      <c r="G11" t="str" cm="1">
        <f t="array" ref="G11">_xll.BDH($D11,"MTG_GEN_CPR_12M","20090331","20090331","Dts=H")</f>
        <v>#N/A Invalid Field</v>
      </c>
      <c r="H11" t="str" cm="1">
        <f t="array" ref="H11">_xll.BDH($D11,"MTG_GEN_CPR_3M","20090610","20090610","Dts=H")</f>
        <v>#N/A Invalid Field</v>
      </c>
      <c r="I11" t="str" cm="1">
        <f t="array" ref="I11">_xll.BDH($D11,"MTG_GEN_CPR_6M","20090610","20090610","Dts=H")</f>
        <v>#N/A Invalid Field</v>
      </c>
      <c r="J11" t="str" cm="1">
        <f t="array" ref="J11">_xll.BDH($D11,"MTG_GEN_CPR_12M","20090610","20090610","Dts=H")</f>
        <v>#N/A Invalid Field</v>
      </c>
      <c r="K11" t="str" cm="1">
        <f t="array" ref="K11">_xll.BDP("31283H4W2 Mtge","MTG_PREPAY_TYP")</f>
        <v>PSA</v>
      </c>
      <c r="L11" cm="1">
        <f t="array" ref="L11">_xll.BDP(D11,"MTG_PREPAY_SPEED")</f>
        <v>174</v>
      </c>
      <c r="M11" cm="1">
        <f t="array" ref="M11">_xll.BDP(D11,"MTG_PL_PSA_1M ")</f>
        <v>2357</v>
      </c>
      <c r="N11" cm="1">
        <f t="array" ref="N11">_xll.BDP(D11,"MTG_PL_PSA_3M ")</f>
        <v>2574.4</v>
      </c>
      <c r="O11" cm="1">
        <f t="array" ref="O11">_xll.BDP(D11,"MTG_PL_PSA_6M ")</f>
        <v>2480.1</v>
      </c>
    </row>
    <row r="12" spans="1:15" x14ac:dyDescent="0.25">
      <c r="A12" t="s">
        <v>47</v>
      </c>
      <c r="B12" t="s">
        <v>48</v>
      </c>
      <c r="C12" t="s">
        <v>18</v>
      </c>
      <c r="D12" t="s">
        <v>49</v>
      </c>
      <c r="E12" t="str" cm="1">
        <f t="array" ref="E12">_xll.BDH($D12,"MTG_GEN_CPR_3M","20090331","20090331","Dts=H")</f>
        <v>#N/A Invalid Field</v>
      </c>
      <c r="F12" t="str" cm="1">
        <f t="array" ref="F12">_xll.BDH($D12,"MTG_GEN_CPR_6M","20090331","20090331","Dts=H")</f>
        <v>#N/A Invalid Field</v>
      </c>
      <c r="G12" t="str" cm="1">
        <f t="array" ref="G12">_xll.BDH($D12,"MTG_GEN_CPR_12M","20090331","20090331","Dts=H")</f>
        <v>#N/A Invalid Field</v>
      </c>
      <c r="H12" t="str" cm="1">
        <f t="array" ref="H12">_xll.BDH($D12,"MTG_GEN_CPR_3M","20090610","20090610","Dts=H")</f>
        <v>#N/A Invalid Field</v>
      </c>
      <c r="I12" t="str" cm="1">
        <f t="array" ref="I12">_xll.BDH($D12,"MTG_GEN_CPR_6M","20090610","20090610","Dts=H")</f>
        <v>#N/A Invalid Field</v>
      </c>
      <c r="J12" t="str" cm="1">
        <f t="array" ref="J12">_xll.BDH($D12,"MTG_GEN_CPR_12M","20090610","20090610","Dts=H")</f>
        <v>#N/A Invalid Field</v>
      </c>
      <c r="K12" t="str" cm="1">
        <f t="array" ref="K12">_xll.BDP("31283H4W2 Mtge","MTG_PREPAY_TYP")</f>
        <v>PSA</v>
      </c>
      <c r="L12" cm="1">
        <f t="array" ref="L12">_xll.BDP(D12,"MTG_PREPAY_SPEED")</f>
        <v>205</v>
      </c>
      <c r="M12" cm="1">
        <f t="array" ref="M12">_xll.BDP(D12,"MTG_PL_PSA_1M ")</f>
        <v>738.5</v>
      </c>
      <c r="N12" cm="1">
        <f t="array" ref="N12">_xll.BDP(D12,"MTG_PL_PSA_3M ")</f>
        <v>953.1</v>
      </c>
      <c r="O12" cm="1">
        <f t="array" ref="O12">_xll.BDP(D12,"MTG_PL_PSA_6M ")</f>
        <v>1460.7</v>
      </c>
    </row>
    <row r="13" spans="1:15" x14ac:dyDescent="0.25">
      <c r="A13" t="s">
        <v>50</v>
      </c>
      <c r="B13" t="s">
        <v>51</v>
      </c>
      <c r="C13" t="s">
        <v>18</v>
      </c>
      <c r="D13" t="s">
        <v>52</v>
      </c>
      <c r="E13" t="str" cm="1">
        <f t="array" ref="E13">_xll.BDH($D13,"MTG_GEN_CPR_3M","20090331","20090331","Dts=H")</f>
        <v>#N/A Invalid Field</v>
      </c>
      <c r="F13" t="str" cm="1">
        <f t="array" ref="F13">_xll.BDH($D13,"MTG_GEN_CPR_6M","20090331","20090331","Dts=H")</f>
        <v>#N/A Invalid Field</v>
      </c>
      <c r="G13" t="str" cm="1">
        <f t="array" ref="G13">_xll.BDH($D13,"MTG_GEN_CPR_12M","20090331","20090331","Dts=H")</f>
        <v>#N/A Invalid Field</v>
      </c>
      <c r="H13" t="str" cm="1">
        <f t="array" ref="H13">_xll.BDH($D13,"MTG_GEN_CPR_3M","20090610","20090610","Dts=H")</f>
        <v>#N/A Invalid Field</v>
      </c>
      <c r="I13" t="str" cm="1">
        <f t="array" ref="I13">_xll.BDH($D13,"MTG_GEN_CPR_6M","20090610","20090610","Dts=H")</f>
        <v>#N/A Invalid Field</v>
      </c>
      <c r="J13" t="str" cm="1">
        <f t="array" ref="J13">_xll.BDH($D13,"MTG_GEN_CPR_12M","20090610","20090610","Dts=H")</f>
        <v>#N/A Invalid Field</v>
      </c>
      <c r="K13" t="str" cm="1">
        <f t="array" ref="K13">_xll.BDP("31283H4W2 Mtge","MTG_PREPAY_TYP")</f>
        <v>PSA</v>
      </c>
      <c r="L13" cm="1">
        <f t="array" ref="L13">_xll.BDP(D13,"MTG_PREPAY_SPEED")</f>
        <v>205</v>
      </c>
      <c r="M13" cm="1">
        <f t="array" ref="M13">_xll.BDP(D13,"MTG_PL_PSA_1M ")</f>
        <v>738.5</v>
      </c>
      <c r="N13" cm="1">
        <f t="array" ref="N13">_xll.BDP(D13,"MTG_PL_PSA_3M ")</f>
        <v>953.1</v>
      </c>
      <c r="O13" cm="1">
        <f t="array" ref="O13">_xll.BDP(D13,"MTG_PL_PSA_6M ")</f>
        <v>1460.7</v>
      </c>
    </row>
    <row r="14" spans="1:15" x14ac:dyDescent="0.25">
      <c r="A14" t="s">
        <v>53</v>
      </c>
      <c r="B14" t="s">
        <v>54</v>
      </c>
      <c r="C14" t="s">
        <v>18</v>
      </c>
      <c r="D14" t="s">
        <v>55</v>
      </c>
      <c r="E14" t="str" cm="1">
        <f t="array" ref="E14">_xll.BDH($D14,"MTG_GEN_CPR_3M","20090331","20090331","Dts=H")</f>
        <v>#N/A Invalid Field</v>
      </c>
      <c r="F14" t="str" cm="1">
        <f t="array" ref="F14">_xll.BDH($D14,"MTG_GEN_CPR_6M","20090331","20090331","Dts=H")</f>
        <v>#N/A Invalid Field</v>
      </c>
      <c r="G14" t="str" cm="1">
        <f t="array" ref="G14">_xll.BDH($D14,"MTG_GEN_CPR_12M","20090331","20090331","Dts=H")</f>
        <v>#N/A Invalid Field</v>
      </c>
      <c r="H14" t="str" cm="1">
        <f t="array" ref="H14">_xll.BDH($D14,"MTG_GEN_CPR_3M","20090610","20090610","Dts=H")</f>
        <v>#N/A Invalid Field</v>
      </c>
      <c r="I14" t="str" cm="1">
        <f t="array" ref="I14">_xll.BDH($D14,"MTG_GEN_CPR_6M","20090610","20090610","Dts=H")</f>
        <v>#N/A Invalid Field</v>
      </c>
      <c r="J14" t="str" cm="1">
        <f t="array" ref="J14">_xll.BDH($D14,"MTG_GEN_CPR_12M","20090610","20090610","Dts=H")</f>
        <v>#N/A Invalid Field</v>
      </c>
      <c r="K14" t="str" cm="1">
        <f t="array" ref="K14">_xll.BDP("31283H4W2 Mtge","MTG_PREPAY_TYP")</f>
        <v>PSA</v>
      </c>
      <c r="L14" cm="1">
        <f t="array" ref="L14">_xll.BDP(D14,"MTG_PREPAY_SPEED")</f>
        <v>125</v>
      </c>
      <c r="M14" cm="1">
        <f t="array" ref="M14">_xll.BDP(D14,"MTG_PL_PSA_1M ")</f>
        <v>122.5</v>
      </c>
      <c r="N14" cm="1">
        <f t="array" ref="N14">_xll.BDP(D14,"MTG_PL_PSA_3M ")</f>
        <v>121.8</v>
      </c>
      <c r="O14" cm="1">
        <f t="array" ref="O14">_xll.BDP(D14,"MTG_PL_PSA_6M ")</f>
        <v>117</v>
      </c>
    </row>
    <row r="15" spans="1:15" x14ac:dyDescent="0.25">
      <c r="A15" t="s">
        <v>56</v>
      </c>
      <c r="B15" t="s">
        <v>57</v>
      </c>
      <c r="C15" t="s">
        <v>18</v>
      </c>
      <c r="D15" t="s">
        <v>58</v>
      </c>
      <c r="E15" t="str" cm="1">
        <f t="array" ref="E15">_xll.BDH($D15,"MTG_GEN_CPR_3M","20090331","20090331","Dts=H")</f>
        <v>#N/A Invalid Field</v>
      </c>
      <c r="F15" t="str" cm="1">
        <f t="array" ref="F15">_xll.BDH($D15,"MTG_GEN_CPR_6M","20090331","20090331","Dts=H")</f>
        <v>#N/A Invalid Field</v>
      </c>
      <c r="G15" t="str" cm="1">
        <f t="array" ref="G15">_xll.BDH($D15,"MTG_GEN_CPR_12M","20090331","20090331","Dts=H")</f>
        <v>#N/A Invalid Field</v>
      </c>
      <c r="H15" t="str" cm="1">
        <f t="array" ref="H15">_xll.BDH($D15,"MTG_GEN_CPR_3M","20090610","20090610","Dts=H")</f>
        <v>#N/A Invalid Field</v>
      </c>
      <c r="I15" t="str" cm="1">
        <f t="array" ref="I15">_xll.BDH($D15,"MTG_GEN_CPR_6M","20090610","20090610","Dts=H")</f>
        <v>#N/A Invalid Field</v>
      </c>
      <c r="J15" t="str" cm="1">
        <f t="array" ref="J15">_xll.BDH($D15,"MTG_GEN_CPR_12M","20090610","20090610","Dts=H")</f>
        <v>#N/A Invalid Field</v>
      </c>
      <c r="K15" t="str" cm="1">
        <f t="array" ref="K15">_xll.BDP("31283H4W2 Mtge","MTG_PREPAY_TYP")</f>
        <v>PSA</v>
      </c>
      <c r="L15" cm="1">
        <f t="array" ref="L15">_xll.BDP(D15,"MTG_PREPAY_SPEED")</f>
        <v>134</v>
      </c>
      <c r="M15" cm="1">
        <f t="array" ref="M15">_xll.BDP(D15,"MTG_PL_PSA_1M ")</f>
        <v>134.1</v>
      </c>
      <c r="N15" cm="1">
        <f t="array" ref="N15">_xll.BDP(D15,"MTG_PL_PSA_3M ")</f>
        <v>137</v>
      </c>
      <c r="O15" cm="1">
        <f t="array" ref="O15">_xll.BDP(D15,"MTG_PL_PSA_6M ")</f>
        <v>128.9</v>
      </c>
    </row>
    <row r="16" spans="1:15" x14ac:dyDescent="0.25">
      <c r="A16" t="s">
        <v>59</v>
      </c>
      <c r="B16" t="s">
        <v>60</v>
      </c>
      <c r="C16" t="s">
        <v>18</v>
      </c>
      <c r="D16" t="s">
        <v>61</v>
      </c>
      <c r="E16" t="str" cm="1">
        <f t="array" ref="E16">_xll.BDH($D16,"MTG_GEN_CPR_3M","20090331","20090331","Dts=H")</f>
        <v>#N/A Invalid Field</v>
      </c>
      <c r="F16" t="str" cm="1">
        <f t="array" ref="F16">_xll.BDH($D16,"MTG_GEN_CPR_6M","20090331","20090331","Dts=H")</f>
        <v>#N/A Invalid Field</v>
      </c>
      <c r="G16" t="str" cm="1">
        <f t="array" ref="G16">_xll.BDH($D16,"MTG_GEN_CPR_12M","20090331","20090331","Dts=H")</f>
        <v>#N/A Invalid Field</v>
      </c>
      <c r="H16" t="str" cm="1">
        <f t="array" ref="H16">_xll.BDH($D16,"MTG_GEN_CPR_3M","20090610","20090610","Dts=H")</f>
        <v>#N/A Invalid Field</v>
      </c>
      <c r="I16" t="str" cm="1">
        <f t="array" ref="I16">_xll.BDH($D16,"MTG_GEN_CPR_6M","20090610","20090610","Dts=H")</f>
        <v>#N/A Invalid Field</v>
      </c>
      <c r="J16" t="str" cm="1">
        <f t="array" ref="J16">_xll.BDH($D16,"MTG_GEN_CPR_12M","20090610","20090610","Dts=H")</f>
        <v>#N/A Invalid Field</v>
      </c>
      <c r="K16" t="str" cm="1">
        <f t="array" ref="K16">_xll.BDP("31283H4W2 Mtge","MTG_PREPAY_TYP")</f>
        <v>PSA</v>
      </c>
      <c r="L16" cm="1">
        <f t="array" ref="L16">_xll.BDP(D16,"MTG_PREPAY_SPEED")</f>
        <v>139</v>
      </c>
      <c r="M16" cm="1">
        <f t="array" ref="M16">_xll.BDP(D16,"MTG_PL_PSA_1M ")</f>
        <v>152.30000000000001</v>
      </c>
      <c r="N16" cm="1">
        <f t="array" ref="N16">_xll.BDP(D16,"MTG_PL_PSA_3M ")</f>
        <v>139.1</v>
      </c>
      <c r="O16" cm="1">
        <f t="array" ref="O16">_xll.BDP(D16,"MTG_PL_PSA_6M ")</f>
        <v>134.69999999999999</v>
      </c>
    </row>
    <row r="17" spans="1:15" x14ac:dyDescent="0.25">
      <c r="A17" t="s">
        <v>62</v>
      </c>
      <c r="B17" t="s">
        <v>63</v>
      </c>
      <c r="C17" t="s">
        <v>18</v>
      </c>
      <c r="D17" t="s">
        <v>64</v>
      </c>
      <c r="E17" t="str" cm="1">
        <f t="array" ref="E17">_xll.BDH($D17,"MTG_GEN_CPR_3M","20090331","20090331","Dts=H")</f>
        <v>#N/A Invalid Field</v>
      </c>
      <c r="F17" t="str" cm="1">
        <f t="array" ref="F17">_xll.BDH($D17,"MTG_GEN_CPR_6M","20090331","20090331","Dts=H")</f>
        <v>#N/A Invalid Field</v>
      </c>
      <c r="G17" t="str" cm="1">
        <f t="array" ref="G17">_xll.BDH($D17,"MTG_GEN_CPR_12M","20090331","20090331","Dts=H")</f>
        <v>#N/A Invalid Field</v>
      </c>
      <c r="H17" t="str" cm="1">
        <f t="array" ref="H17">_xll.BDH($D17,"MTG_GEN_CPR_3M","20090610","20090610","Dts=H")</f>
        <v>#N/A Invalid Field</v>
      </c>
      <c r="I17" t="str" cm="1">
        <f t="array" ref="I17">_xll.BDH($D17,"MTG_GEN_CPR_6M","20090610","20090610","Dts=H")</f>
        <v>#N/A Invalid Field</v>
      </c>
      <c r="J17" t="str" cm="1">
        <f t="array" ref="J17">_xll.BDH($D17,"MTG_GEN_CPR_12M","20090610","20090610","Dts=H")</f>
        <v>#N/A Invalid Field</v>
      </c>
      <c r="K17" t="str" cm="1">
        <f t="array" ref="K17">_xll.BDP("31283H4W2 Mtge","MTG_PREPAY_TYP")</f>
        <v>PSA</v>
      </c>
      <c r="L17" cm="1">
        <f t="array" ref="L17">_xll.BDP(D17,"MTG_PREPAY_SPEED")</f>
        <v>139</v>
      </c>
      <c r="M17" cm="1">
        <f t="array" ref="M17">_xll.BDP(D17,"MTG_PL_PSA_1M ")</f>
        <v>152.30000000000001</v>
      </c>
      <c r="N17" cm="1">
        <f t="array" ref="N17">_xll.BDP(D17,"MTG_PL_PSA_3M ")</f>
        <v>139.1</v>
      </c>
      <c r="O17" cm="1">
        <f t="array" ref="O17">_xll.BDP(D17,"MTG_PL_PSA_6M ")</f>
        <v>134.69999999999999</v>
      </c>
    </row>
    <row r="18" spans="1:15" x14ac:dyDescent="0.25">
      <c r="A18" t="s">
        <v>65</v>
      </c>
      <c r="B18" t="s">
        <v>66</v>
      </c>
      <c r="C18" t="s">
        <v>18</v>
      </c>
      <c r="D18" t="s">
        <v>67</v>
      </c>
      <c r="E18" t="str" cm="1">
        <f t="array" ref="E18">_xll.BDH($D18,"MTG_GEN_CPR_3M","20090331","20090331","Dts=H")</f>
        <v>#N/A Invalid Field</v>
      </c>
      <c r="F18" t="str" cm="1">
        <f t="array" ref="F18">_xll.BDH($D18,"MTG_GEN_CPR_6M","20090331","20090331","Dts=H")</f>
        <v>#N/A Invalid Field</v>
      </c>
      <c r="G18" t="str" cm="1">
        <f t="array" ref="G18">_xll.BDH($D18,"MTG_GEN_CPR_12M","20090331","20090331","Dts=H")</f>
        <v>#N/A Invalid Field</v>
      </c>
      <c r="H18" t="str" cm="1">
        <f t="array" ref="H18">_xll.BDH($D18,"MTG_GEN_CPR_3M","20090610","20090610","Dts=H")</f>
        <v>#N/A Invalid Field</v>
      </c>
      <c r="I18" t="str" cm="1">
        <f t="array" ref="I18">_xll.BDH($D18,"MTG_GEN_CPR_6M","20090610","20090610","Dts=H")</f>
        <v>#N/A Invalid Field</v>
      </c>
      <c r="J18" t="str" cm="1">
        <f t="array" ref="J18">_xll.BDH($D18,"MTG_GEN_CPR_12M","20090610","20090610","Dts=H")</f>
        <v>#N/A Invalid Field</v>
      </c>
      <c r="K18" t="str" cm="1">
        <f t="array" ref="K18">_xll.BDP("31283H4W2 Mtge","MTG_PREPAY_TYP")</f>
        <v>PSA</v>
      </c>
      <c r="L18" cm="1">
        <f t="array" ref="L18">_xll.BDP(D18,"MTG_PREPAY_SPEED")</f>
        <v>173</v>
      </c>
      <c r="M18" cm="1">
        <f t="array" ref="M18">_xll.BDP(D18,"MTG_PL_PSA_1M ")</f>
        <v>170.2</v>
      </c>
      <c r="N18" cm="1">
        <f t="array" ref="N18">_xll.BDP(D18,"MTG_PL_PSA_3M ")</f>
        <v>130.5</v>
      </c>
      <c r="O18" cm="1">
        <f t="array" ref="O18">_xll.BDP(D18,"MTG_PL_PSA_6M ")</f>
        <v>130.19999999999999</v>
      </c>
    </row>
    <row r="19" spans="1:15" x14ac:dyDescent="0.25">
      <c r="A19" t="s">
        <v>68</v>
      </c>
      <c r="B19" t="s">
        <v>69</v>
      </c>
      <c r="C19" t="s">
        <v>18</v>
      </c>
      <c r="D19" t="s">
        <v>70</v>
      </c>
      <c r="E19" t="str" cm="1">
        <f t="array" ref="E19">_xll.BDH($D19,"MTG_GEN_CPR_3M","20090331","20090331","Dts=H")</f>
        <v>#N/A Invalid Field</v>
      </c>
      <c r="F19" t="str" cm="1">
        <f t="array" ref="F19">_xll.BDH($D19,"MTG_GEN_CPR_6M","20090331","20090331","Dts=H")</f>
        <v>#N/A Invalid Field</v>
      </c>
      <c r="G19" t="str" cm="1">
        <f t="array" ref="G19">_xll.BDH($D19,"MTG_GEN_CPR_12M","20090331","20090331","Dts=H")</f>
        <v>#N/A Invalid Field</v>
      </c>
      <c r="H19" t="str" cm="1">
        <f t="array" ref="H19">_xll.BDH($D19,"MTG_GEN_CPR_3M","20090610","20090610","Dts=H")</f>
        <v>#N/A Invalid Field</v>
      </c>
      <c r="I19" t="str" cm="1">
        <f t="array" ref="I19">_xll.BDH($D19,"MTG_GEN_CPR_6M","20090610","20090610","Dts=H")</f>
        <v>#N/A Invalid Field</v>
      </c>
      <c r="J19" t="str" cm="1">
        <f t="array" ref="J19">_xll.BDH($D19,"MTG_GEN_CPR_12M","20090610","20090610","Dts=H")</f>
        <v>#N/A Invalid Field</v>
      </c>
      <c r="K19" t="str" cm="1">
        <f t="array" ref="K19">_xll.BDP("31283H4W2 Mtge","MTG_PREPAY_TYP")</f>
        <v>PSA</v>
      </c>
      <c r="L19" cm="1">
        <f t="array" ref="L19">_xll.BDP(D19,"MTG_PREPAY_SPEED")</f>
        <v>304</v>
      </c>
      <c r="M19" cm="1">
        <f t="array" ref="M19">_xll.BDP(D19,"MTG_PL_PSA_1M ")</f>
        <v>340.5</v>
      </c>
      <c r="N19" cm="1">
        <f t="array" ref="N19">_xll.BDP(D19,"MTG_PL_PSA_3M ")</f>
        <v>279.7</v>
      </c>
      <c r="O19" cm="1">
        <f t="array" ref="O19">_xll.BDP(D19,"MTG_PL_PSA_6M ")</f>
        <v>219.8</v>
      </c>
    </row>
    <row r="20" spans="1:15" x14ac:dyDescent="0.25">
      <c r="A20" t="s">
        <v>71</v>
      </c>
      <c r="B20" t="s">
        <v>72</v>
      </c>
      <c r="C20" t="s">
        <v>18</v>
      </c>
      <c r="D20" t="s">
        <v>73</v>
      </c>
      <c r="E20" t="str" cm="1">
        <f t="array" ref="E20">_xll.BDH($D20,"MTG_GEN_CPR_3M","20090331","20090331","Dts=H")</f>
        <v>#N/A Invalid Field</v>
      </c>
      <c r="F20" t="str" cm="1">
        <f t="array" ref="F20">_xll.BDH($D20,"MTG_GEN_CPR_6M","20090331","20090331","Dts=H")</f>
        <v>#N/A Invalid Field</v>
      </c>
      <c r="G20" t="str" cm="1">
        <f t="array" ref="G20">_xll.BDH($D20,"MTG_GEN_CPR_12M","20090331","20090331","Dts=H")</f>
        <v>#N/A Invalid Field</v>
      </c>
      <c r="H20" t="str" cm="1">
        <f t="array" ref="H20">_xll.BDH($D20,"MTG_GEN_CPR_3M","20090610","20090610","Dts=H")</f>
        <v>#N/A Invalid Field</v>
      </c>
      <c r="I20" t="str" cm="1">
        <f t="array" ref="I20">_xll.BDH($D20,"MTG_GEN_CPR_6M","20090610","20090610","Dts=H")</f>
        <v>#N/A Invalid Field</v>
      </c>
      <c r="J20" t="str" cm="1">
        <f t="array" ref="J20">_xll.BDH($D20,"MTG_GEN_CPR_12M","20090610","20090610","Dts=H")</f>
        <v>#N/A Invalid Field</v>
      </c>
      <c r="K20" t="str" cm="1">
        <f t="array" ref="K20">_xll.BDP("31283H4W2 Mtge","MTG_PREPAY_TYP")</f>
        <v>PSA</v>
      </c>
      <c r="L20" cm="1">
        <f t="array" ref="L20">_xll.BDP(D20,"MTG_PREPAY_SPEED")</f>
        <v>114</v>
      </c>
      <c r="M20" cm="1">
        <f t="array" ref="M20">_xll.BDP(D20,"MTG_PL_PSA_1M ")</f>
        <v>141</v>
      </c>
      <c r="N20" cm="1">
        <f t="array" ref="N20">_xll.BDP(D20,"MTG_PL_PSA_3M ")</f>
        <v>140.4</v>
      </c>
      <c r="O20" cm="1">
        <f t="array" ref="O20">_xll.BDP(D20,"MTG_PL_PSA_6M ")</f>
        <v>140.5</v>
      </c>
    </row>
    <row r="21" spans="1:15" x14ac:dyDescent="0.25">
      <c r="A21" t="s">
        <v>74</v>
      </c>
      <c r="B21" t="s">
        <v>75</v>
      </c>
      <c r="C21" t="s">
        <v>18</v>
      </c>
      <c r="D21" t="s">
        <v>76</v>
      </c>
      <c r="E21" t="str" cm="1">
        <f t="array" ref="E21">_xll.BDH($D21,"MTG_GEN_CPR_3M","20090331","20090331","Dts=H")</f>
        <v>#N/A Invalid Field</v>
      </c>
      <c r="F21" t="str" cm="1">
        <f t="array" ref="F21">_xll.BDH($D21,"MTG_GEN_CPR_6M","20090331","20090331","Dts=H")</f>
        <v>#N/A Invalid Field</v>
      </c>
      <c r="G21" t="str" cm="1">
        <f t="array" ref="G21">_xll.BDH($D21,"MTG_GEN_CPR_12M","20090331","20090331","Dts=H")</f>
        <v>#N/A Invalid Field</v>
      </c>
      <c r="H21" t="str" cm="1">
        <f t="array" ref="H21">_xll.BDH($D21,"MTG_GEN_CPR_3M","20090610","20090610","Dts=H")</f>
        <v>#N/A Invalid Field</v>
      </c>
      <c r="I21" t="str" cm="1">
        <f t="array" ref="I21">_xll.BDH($D21,"MTG_GEN_CPR_6M","20090610","20090610","Dts=H")</f>
        <v>#N/A Invalid Field</v>
      </c>
      <c r="J21" t="str" cm="1">
        <f t="array" ref="J21">_xll.BDH($D21,"MTG_GEN_CPR_12M","20090610","20090610","Dts=H")</f>
        <v>#N/A Invalid Field</v>
      </c>
      <c r="K21" t="str" cm="1">
        <f t="array" ref="K21">_xll.BDP("31283H4W2 Mtge","MTG_PREPAY_TYP")</f>
        <v>PSA</v>
      </c>
      <c r="L21" cm="1">
        <f t="array" ref="L21">_xll.BDP(D21,"MTG_PREPAY_SPEED")</f>
        <v>323</v>
      </c>
      <c r="M21" cm="1">
        <f t="array" ref="M21">_xll.BDP(D21,"MTG_PL_PSA_1M ")</f>
        <v>39.299999999999997</v>
      </c>
      <c r="N21" cm="1">
        <f t="array" ref="N21">_xll.BDP(D21,"MTG_PL_PSA_3M ")</f>
        <v>152.4</v>
      </c>
      <c r="O21" cm="1">
        <f t="array" ref="O21">_xll.BDP(D21,"MTG_PL_PSA_6M ")</f>
        <v>549.29999999999995</v>
      </c>
    </row>
    <row r="22" spans="1:15" x14ac:dyDescent="0.25">
      <c r="A22" t="s">
        <v>77</v>
      </c>
      <c r="B22" t="s">
        <v>78</v>
      </c>
      <c r="C22" t="s">
        <v>18</v>
      </c>
      <c r="D22" t="s">
        <v>79</v>
      </c>
      <c r="E22" t="str" cm="1">
        <f t="array" ref="E22">_xll.BDH($D22,"MTG_GEN_CPR_3M","20090331","20090331","Dts=H")</f>
        <v>#N/A Invalid Field</v>
      </c>
      <c r="F22" t="str" cm="1">
        <f t="array" ref="F22">_xll.BDH($D22,"MTG_GEN_CPR_6M","20090331","20090331","Dts=H")</f>
        <v>#N/A Invalid Field</v>
      </c>
      <c r="G22" t="str" cm="1">
        <f t="array" ref="G22">_xll.BDH($D22,"MTG_GEN_CPR_12M","20090331","20090331","Dts=H")</f>
        <v>#N/A Invalid Field</v>
      </c>
      <c r="H22" t="str" cm="1">
        <f t="array" ref="H22">_xll.BDH($D22,"MTG_GEN_CPR_3M","20090610","20090610","Dts=H")</f>
        <v>#N/A Invalid Field</v>
      </c>
      <c r="I22" t="str" cm="1">
        <f t="array" ref="I22">_xll.BDH($D22,"MTG_GEN_CPR_6M","20090610","20090610","Dts=H")</f>
        <v>#N/A Invalid Field</v>
      </c>
      <c r="J22" t="str" cm="1">
        <f t="array" ref="J22">_xll.BDH($D22,"MTG_GEN_CPR_12M","20090610","20090610","Dts=H")</f>
        <v>#N/A Invalid Field</v>
      </c>
      <c r="K22" t="str" cm="1">
        <f t="array" ref="K22">_xll.BDP("31283H4W2 Mtge","MTG_PREPAY_TYP")</f>
        <v>PSA</v>
      </c>
      <c r="L22" cm="1">
        <f t="array" ref="L22">_xll.BDP(D22,"MTG_PREPAY_SPEED")</f>
        <v>124</v>
      </c>
      <c r="M22" cm="1">
        <f t="array" ref="M22">_xll.BDP(D22,"MTG_PL_PSA_1M ")</f>
        <v>113.4</v>
      </c>
      <c r="N22" cm="1">
        <f t="array" ref="N22">_xll.BDP(D22,"MTG_PL_PSA_3M ")</f>
        <v>209.1</v>
      </c>
      <c r="O22" cm="1">
        <f t="array" ref="O22">_xll.BDP(D22,"MTG_PL_PSA_6M ")</f>
        <v>165.7</v>
      </c>
    </row>
    <row r="23" spans="1:15" x14ac:dyDescent="0.25">
      <c r="A23" t="s">
        <v>80</v>
      </c>
      <c r="B23" t="s">
        <v>81</v>
      </c>
      <c r="C23" t="s">
        <v>18</v>
      </c>
      <c r="D23" t="s">
        <v>82</v>
      </c>
      <c r="E23" t="str" cm="1">
        <f t="array" ref="E23">_xll.BDH($D23,"MTG_GEN_CPR_3M","20090331","20090331","Dts=H")</f>
        <v>#N/A Invalid Field</v>
      </c>
      <c r="F23" t="str" cm="1">
        <f t="array" ref="F23">_xll.BDH($D23,"MTG_GEN_CPR_6M","20090331","20090331","Dts=H")</f>
        <v>#N/A Invalid Field</v>
      </c>
      <c r="G23" t="str" cm="1">
        <f t="array" ref="G23">_xll.BDH($D23,"MTG_GEN_CPR_12M","20090331","20090331","Dts=H")</f>
        <v>#N/A Invalid Field</v>
      </c>
      <c r="H23" t="str" cm="1">
        <f t="array" ref="H23">_xll.BDH($D23,"MTG_GEN_CPR_3M","20090610","20090610","Dts=H")</f>
        <v>#N/A Invalid Field</v>
      </c>
      <c r="I23" t="str" cm="1">
        <f t="array" ref="I23">_xll.BDH($D23,"MTG_GEN_CPR_6M","20090610","20090610","Dts=H")</f>
        <v>#N/A Invalid Field</v>
      </c>
      <c r="J23" t="str" cm="1">
        <f t="array" ref="J23">_xll.BDH($D23,"MTG_GEN_CPR_12M","20090610","20090610","Dts=H")</f>
        <v>#N/A Invalid Field</v>
      </c>
      <c r="K23" t="str" cm="1">
        <f t="array" ref="K23">_xll.BDP("31283H4W2 Mtge","MTG_PREPAY_TYP")</f>
        <v>PSA</v>
      </c>
      <c r="L23" cm="1">
        <f t="array" ref="L23">_xll.BDP(D23,"MTG_PREPAY_SPEED")</f>
        <v>348</v>
      </c>
      <c r="M23" cm="1">
        <f t="array" ref="M23">_xll.BDP(D23,"MTG_PL_PSA_1M ")</f>
        <v>0</v>
      </c>
      <c r="N23" cm="1">
        <f t="array" ref="N23">_xll.BDP(D23,"MTG_PL_PSA_3M ")</f>
        <v>98.7</v>
      </c>
      <c r="O23" cm="1">
        <f t="array" ref="O23">_xll.BDP(D23,"MTG_PL_PSA_6M ")</f>
        <v>1810.7</v>
      </c>
    </row>
    <row r="24" spans="1:15" x14ac:dyDescent="0.25">
      <c r="A24" t="s">
        <v>83</v>
      </c>
      <c r="B24" t="s">
        <v>84</v>
      </c>
      <c r="C24" t="s">
        <v>18</v>
      </c>
      <c r="D24" t="s">
        <v>85</v>
      </c>
      <c r="E24" t="str" cm="1">
        <f t="array" ref="E24">_xll.BDH($D24,"MTG_GEN_CPR_3M","20090331","20090331","Dts=H")</f>
        <v>#N/A Invalid Field</v>
      </c>
      <c r="F24" t="str" cm="1">
        <f t="array" ref="F24">_xll.BDH($D24,"MTG_GEN_CPR_6M","20090331","20090331","Dts=H")</f>
        <v>#N/A Invalid Field</v>
      </c>
      <c r="G24" t="str" cm="1">
        <f t="array" ref="G24">_xll.BDH($D24,"MTG_GEN_CPR_12M","20090331","20090331","Dts=H")</f>
        <v>#N/A Invalid Field</v>
      </c>
      <c r="H24" t="str" cm="1">
        <f t="array" ref="H24">_xll.BDH($D24,"MTG_GEN_CPR_3M","20090610","20090610","Dts=H")</f>
        <v>#N/A Invalid Field</v>
      </c>
      <c r="I24" t="str" cm="1">
        <f t="array" ref="I24">_xll.BDH($D24,"MTG_GEN_CPR_6M","20090610","20090610","Dts=H")</f>
        <v>#N/A Invalid Field</v>
      </c>
      <c r="J24" t="str" cm="1">
        <f t="array" ref="J24">_xll.BDH($D24,"MTG_GEN_CPR_12M","20090610","20090610","Dts=H")</f>
        <v>#N/A Invalid Field</v>
      </c>
      <c r="K24" t="str" cm="1">
        <f t="array" ref="K24">_xll.BDP("31283H4W2 Mtge","MTG_PREPAY_TYP")</f>
        <v>PSA</v>
      </c>
      <c r="L24" cm="1">
        <f t="array" ref="L24">_xll.BDP(D24,"MTG_PREPAY_SPEED")</f>
        <v>163</v>
      </c>
      <c r="M24" cm="1">
        <f t="array" ref="M24">_xll.BDP(D24,"MTG_PL_PSA_1M ")</f>
        <v>140.9</v>
      </c>
      <c r="N24" cm="1">
        <f t="array" ref="N24">_xll.BDP(D24,"MTG_PL_PSA_3M ")</f>
        <v>138.9</v>
      </c>
      <c r="O24" cm="1">
        <f t="array" ref="O24">_xll.BDP(D24,"MTG_PL_PSA_6M ")</f>
        <v>134.1</v>
      </c>
    </row>
    <row r="25" spans="1:15" x14ac:dyDescent="0.25">
      <c r="A25" t="s">
        <v>86</v>
      </c>
      <c r="B25" t="s">
        <v>87</v>
      </c>
      <c r="C25" t="s">
        <v>18</v>
      </c>
      <c r="D25" t="s">
        <v>88</v>
      </c>
      <c r="E25" t="str" cm="1">
        <f t="array" ref="E25">_xll.BDH($D25,"MTG_GEN_CPR_3M","20090331","20090331","Dts=H")</f>
        <v>#N/A Invalid Field</v>
      </c>
      <c r="F25" t="str" cm="1">
        <f t="array" ref="F25">_xll.BDH($D25,"MTG_GEN_CPR_6M","20090331","20090331","Dts=H")</f>
        <v>#N/A Invalid Field</v>
      </c>
      <c r="G25" t="str" cm="1">
        <f t="array" ref="G25">_xll.BDH($D25,"MTG_GEN_CPR_12M","20090331","20090331","Dts=H")</f>
        <v>#N/A Invalid Field</v>
      </c>
      <c r="H25" t="str" cm="1">
        <f t="array" ref="H25">_xll.BDH($D25,"MTG_GEN_CPR_3M","20090610","20090610","Dts=H")</f>
        <v>#N/A Invalid Field</v>
      </c>
      <c r="I25" t="str" cm="1">
        <f t="array" ref="I25">_xll.BDH($D25,"MTG_GEN_CPR_6M","20090610","20090610","Dts=H")</f>
        <v>#N/A Invalid Field</v>
      </c>
      <c r="J25" t="str" cm="1">
        <f t="array" ref="J25">_xll.BDH($D25,"MTG_GEN_CPR_12M","20090610","20090610","Dts=H")</f>
        <v>#N/A Invalid Field</v>
      </c>
      <c r="K25" t="str" cm="1">
        <f t="array" ref="K25">_xll.BDP("31283H4W2 Mtge","MTG_PREPAY_TYP")</f>
        <v>PSA</v>
      </c>
      <c r="L25" cm="1">
        <f t="array" ref="L25">_xll.BDP(D25,"MTG_PREPAY_SPEED")</f>
        <v>167</v>
      </c>
      <c r="M25" cm="1">
        <f t="array" ref="M25">_xll.BDP(D25,"MTG_PL_PSA_1M ")</f>
        <v>142.80000000000001</v>
      </c>
      <c r="N25" cm="1">
        <f t="array" ref="N25">_xll.BDP(D25,"MTG_PL_PSA_3M ")</f>
        <v>143.9</v>
      </c>
      <c r="O25" cm="1">
        <f t="array" ref="O25">_xll.BDP(D25,"MTG_PL_PSA_6M ")</f>
        <v>132.69999999999999</v>
      </c>
    </row>
    <row r="26" spans="1:15" x14ac:dyDescent="0.25">
      <c r="A26" t="s">
        <v>89</v>
      </c>
      <c r="B26" t="s">
        <v>90</v>
      </c>
      <c r="C26" t="s">
        <v>18</v>
      </c>
      <c r="D26" t="s">
        <v>91</v>
      </c>
      <c r="E26" t="str" cm="1">
        <f t="array" ref="E26">_xll.BDH($D26,"MTG_GEN_CPR_3M","20090331","20090331","Dts=H")</f>
        <v>#N/A Invalid Field</v>
      </c>
      <c r="F26" t="str" cm="1">
        <f t="array" ref="F26">_xll.BDH($D26,"MTG_GEN_CPR_6M","20090331","20090331","Dts=H")</f>
        <v>#N/A Invalid Field</v>
      </c>
      <c r="G26" t="str" cm="1">
        <f t="array" ref="G26">_xll.BDH($D26,"MTG_GEN_CPR_12M","20090331","20090331","Dts=H")</f>
        <v>#N/A Invalid Field</v>
      </c>
      <c r="H26" t="str" cm="1">
        <f t="array" ref="H26">_xll.BDH($D26,"MTG_GEN_CPR_3M","20090610","20090610","Dts=H")</f>
        <v>#N/A Invalid Field</v>
      </c>
      <c r="I26" t="str" cm="1">
        <f t="array" ref="I26">_xll.BDH($D26,"MTG_GEN_CPR_6M","20090610","20090610","Dts=H")</f>
        <v>#N/A Invalid Field</v>
      </c>
      <c r="J26" t="str" cm="1">
        <f t="array" ref="J26">_xll.BDH($D26,"MTG_GEN_CPR_12M","20090610","20090610","Dts=H")</f>
        <v>#N/A Invalid Field</v>
      </c>
      <c r="K26" t="str" cm="1">
        <f t="array" ref="K26">_xll.BDP("31283H4W2 Mtge","MTG_PREPAY_TYP")</f>
        <v>PSA</v>
      </c>
      <c r="L26" cm="1">
        <f t="array" ref="L26">_xll.BDP(D26,"MTG_PREPAY_SPEED")</f>
        <v>160</v>
      </c>
      <c r="M26" cm="1">
        <f t="array" ref="M26">_xll.BDP(D26,"MTG_PL_PSA_1M ")</f>
        <v>422.9</v>
      </c>
      <c r="N26" cm="1">
        <f t="array" ref="N26">_xll.BDP(D26,"MTG_PL_PSA_3M ")</f>
        <v>458.6</v>
      </c>
      <c r="O26" cm="1">
        <f t="array" ref="O26">_xll.BDP(D26,"MTG_PL_PSA_6M ")</f>
        <v>515.70000000000005</v>
      </c>
    </row>
    <row r="27" spans="1:15" x14ac:dyDescent="0.25">
      <c r="A27" t="s">
        <v>92</v>
      </c>
      <c r="B27" t="s">
        <v>93</v>
      </c>
      <c r="C27" t="s">
        <v>18</v>
      </c>
      <c r="D27" t="s">
        <v>94</v>
      </c>
      <c r="E27" t="str" cm="1">
        <f t="array" ref="E27">_xll.BDH($D27,"MTG_GEN_CPR_3M","20090331","20090331","Dts=H")</f>
        <v>#N/A Invalid Field</v>
      </c>
      <c r="F27" t="str" cm="1">
        <f t="array" ref="F27">_xll.BDH($D27,"MTG_GEN_CPR_6M","20090331","20090331","Dts=H")</f>
        <v>#N/A Invalid Field</v>
      </c>
      <c r="G27" t="str" cm="1">
        <f t="array" ref="G27">_xll.BDH($D27,"MTG_GEN_CPR_12M","20090331","20090331","Dts=H")</f>
        <v>#N/A Invalid Field</v>
      </c>
      <c r="H27" t="str" cm="1">
        <f t="array" ref="H27">_xll.BDH($D27,"MTG_GEN_CPR_3M","20090610","20090610","Dts=H")</f>
        <v>#N/A Invalid Field</v>
      </c>
      <c r="I27" t="str" cm="1">
        <f t="array" ref="I27">_xll.BDH($D27,"MTG_GEN_CPR_6M","20090610","20090610","Dts=H")</f>
        <v>#N/A Invalid Field</v>
      </c>
      <c r="J27" t="str" cm="1">
        <f t="array" ref="J27">_xll.BDH($D27,"MTG_GEN_CPR_12M","20090610","20090610","Dts=H")</f>
        <v>#N/A Invalid Field</v>
      </c>
      <c r="K27" t="str" cm="1">
        <f t="array" ref="K27">_xll.BDP("31283H4W2 Mtge","MTG_PREPAY_TYP")</f>
        <v>PSA</v>
      </c>
      <c r="L27" cm="1">
        <f t="array" ref="L27">_xll.BDP(D27,"MTG_PREPAY_SPEED")</f>
        <v>187</v>
      </c>
      <c r="M27" cm="1">
        <f t="array" ref="M27">_xll.BDP(D27,"MTG_PL_PSA_1M ")</f>
        <v>358.5</v>
      </c>
      <c r="N27" cm="1">
        <f t="array" ref="N27">_xll.BDP(D27,"MTG_PL_PSA_3M ")</f>
        <v>372.3</v>
      </c>
      <c r="O27" cm="1">
        <f t="array" ref="O27">_xll.BDP(D27,"MTG_PL_PSA_6M ")</f>
        <v>370.4</v>
      </c>
    </row>
    <row r="28" spans="1:15" x14ac:dyDescent="0.25">
      <c r="A28" t="s">
        <v>95</v>
      </c>
      <c r="B28" t="s">
        <v>96</v>
      </c>
      <c r="C28" t="s">
        <v>18</v>
      </c>
      <c r="D28" t="s">
        <v>97</v>
      </c>
      <c r="E28" t="str" cm="1">
        <f t="array" ref="E28">_xll.BDH($D28,"MTG_GEN_CPR_3M","20090331","20090331","Dts=H")</f>
        <v>#N/A Invalid Field</v>
      </c>
      <c r="F28" t="str" cm="1">
        <f t="array" ref="F28">_xll.BDH($D28,"MTG_GEN_CPR_6M","20090331","20090331","Dts=H")</f>
        <v>#N/A Invalid Field</v>
      </c>
      <c r="G28" t="str" cm="1">
        <f t="array" ref="G28">_xll.BDH($D28,"MTG_GEN_CPR_12M","20090331","20090331","Dts=H")</f>
        <v>#N/A Invalid Field</v>
      </c>
      <c r="H28" t="str" cm="1">
        <f t="array" ref="H28">_xll.BDH($D28,"MTG_GEN_CPR_3M","20090610","20090610","Dts=H")</f>
        <v>#N/A Invalid Field</v>
      </c>
      <c r="I28" t="str" cm="1">
        <f t="array" ref="I28">_xll.BDH($D28,"MTG_GEN_CPR_6M","20090610","20090610","Dts=H")</f>
        <v>#N/A Invalid Field</v>
      </c>
      <c r="J28" t="str" cm="1">
        <f t="array" ref="J28">_xll.BDH($D28,"MTG_GEN_CPR_12M","20090610","20090610","Dts=H")</f>
        <v>#N/A Invalid Field</v>
      </c>
      <c r="K28" t="str" cm="1">
        <f t="array" ref="K28">_xll.BDP("31283H4W2 Mtge","MTG_PREPAY_TYP")</f>
        <v>PSA</v>
      </c>
      <c r="L28" cm="1">
        <f t="array" ref="L28">_xll.BDP(D28,"MTG_PREPAY_SPEED")</f>
        <v>187</v>
      </c>
      <c r="M28" cm="1">
        <f t="array" ref="M28">_xll.BDP(D28,"MTG_PL_PSA_1M ")</f>
        <v>358.5</v>
      </c>
      <c r="N28" cm="1">
        <f t="array" ref="N28">_xll.BDP(D28,"MTG_PL_PSA_3M ")</f>
        <v>372.3</v>
      </c>
      <c r="O28" cm="1">
        <f t="array" ref="O28">_xll.BDP(D28,"MTG_PL_PSA_6M ")</f>
        <v>370.4</v>
      </c>
    </row>
    <row r="29" spans="1:15" x14ac:dyDescent="0.25">
      <c r="A29" t="s">
        <v>98</v>
      </c>
      <c r="B29" t="s">
        <v>99</v>
      </c>
      <c r="C29" t="s">
        <v>100</v>
      </c>
      <c r="D29" t="s">
        <v>101</v>
      </c>
      <c r="E29" t="str" cm="1">
        <f t="array" ref="E29">_xll.BDH($D29,"MTG_GEN_CPR_3M","20090331","20090331","Dts=H")</f>
        <v>#N/A Invalid Field</v>
      </c>
      <c r="F29" t="str" cm="1">
        <f t="array" ref="F29">_xll.BDH($D29,"MTG_GEN_CPR_6M","20090331","20090331","Dts=H")</f>
        <v>#N/A Invalid Field</v>
      </c>
      <c r="G29" t="str" cm="1">
        <f t="array" ref="G29">_xll.BDH($D29,"MTG_GEN_CPR_12M","20090331","20090331","Dts=H")</f>
        <v>#N/A Invalid Field</v>
      </c>
      <c r="H29" t="str" cm="1">
        <f t="array" ref="H29">_xll.BDH($D29,"MTG_GEN_CPR_3M","20090610","20090610","Dts=H")</f>
        <v>#N/A Invalid Field</v>
      </c>
      <c r="I29" t="str" cm="1">
        <f t="array" ref="I29">_xll.BDH($D29,"MTG_GEN_CPR_6M","20090610","20090610","Dts=H")</f>
        <v>#N/A Invalid Field</v>
      </c>
      <c r="J29" t="str" cm="1">
        <f t="array" ref="J29">_xll.BDH($D29,"MTG_GEN_CPR_12M","20090610","20090610","Dts=H")</f>
        <v>#N/A Invalid Field</v>
      </c>
      <c r="K29" t="str" cm="1">
        <f t="array" ref="K29">_xll.BDP("31283H4W2 Mtge","MTG_PREPAY_TYP")</f>
        <v>PSA</v>
      </c>
      <c r="L29" cm="1">
        <f t="array" ref="L29">_xll.BDP(D29,"MTG_PREPAY_SPEED")</f>
        <v>140</v>
      </c>
      <c r="M29" cm="1">
        <f t="array" ref="M29">_xll.BDP(D29,"MTG_PL_PSA_1M ")</f>
        <v>158.30000000000001</v>
      </c>
      <c r="N29" cm="1">
        <f t="array" ref="N29">_xll.BDP(D29,"MTG_PL_PSA_3M ")</f>
        <v>156.1</v>
      </c>
      <c r="O29" cm="1">
        <f t="array" ref="O29">_xll.BDP(D29,"MTG_PL_PSA_6M ")</f>
        <v>168.1</v>
      </c>
    </row>
    <row r="30" spans="1:15" x14ac:dyDescent="0.25">
      <c r="A30" t="s">
        <v>102</v>
      </c>
      <c r="B30" t="s">
        <v>103</v>
      </c>
      <c r="C30" t="s">
        <v>100</v>
      </c>
      <c r="D30" t="s">
        <v>104</v>
      </c>
      <c r="E30" t="str" cm="1">
        <f t="array" ref="E30">_xll.BDH($D30,"MTG_GEN_CPR_3M","20090331","20090331","Dts=H")</f>
        <v>#N/A Invalid Field</v>
      </c>
      <c r="F30" t="str" cm="1">
        <f t="array" ref="F30">_xll.BDH($D30,"MTG_GEN_CPR_6M","20090331","20090331","Dts=H")</f>
        <v>#N/A Invalid Field</v>
      </c>
      <c r="G30" t="str" cm="1">
        <f t="array" ref="G30">_xll.BDH($D30,"MTG_GEN_CPR_12M","20090331","20090331","Dts=H")</f>
        <v>#N/A Invalid Field</v>
      </c>
      <c r="H30" t="str" cm="1">
        <f t="array" ref="H30">_xll.BDH($D30,"MTG_GEN_CPR_3M","20090610","20090610","Dts=H")</f>
        <v>#N/A Invalid Field</v>
      </c>
      <c r="I30" t="str" cm="1">
        <f t="array" ref="I30">_xll.BDH($D30,"MTG_GEN_CPR_6M","20090610","20090610","Dts=H")</f>
        <v>#N/A Invalid Field</v>
      </c>
      <c r="J30" t="str" cm="1">
        <f t="array" ref="J30">_xll.BDH($D30,"MTG_GEN_CPR_12M","20090610","20090610","Dts=H")</f>
        <v>#N/A Invalid Field</v>
      </c>
      <c r="K30" t="str" cm="1">
        <f t="array" ref="K30">_xll.BDP("31283H4W2 Mtge","MTG_PREPAY_TYP")</f>
        <v>PSA</v>
      </c>
      <c r="L30" cm="1">
        <f t="array" ref="L30">_xll.BDP(D30,"MTG_PREPAY_SPEED")</f>
        <v>191</v>
      </c>
      <c r="M30" cm="1">
        <f t="array" ref="M30">_xll.BDP(D30,"MTG_PL_PSA_1M ")</f>
        <v>181.4</v>
      </c>
      <c r="N30" cm="1">
        <f t="array" ref="N30">_xll.BDP(D30,"MTG_PL_PSA_3M ")</f>
        <v>765.1</v>
      </c>
      <c r="O30" cm="1">
        <f t="array" ref="O30">_xll.BDP(D30,"MTG_PL_PSA_6M ")</f>
        <v>527.6</v>
      </c>
    </row>
    <row r="31" spans="1:15" x14ac:dyDescent="0.25">
      <c r="A31" t="s">
        <v>105</v>
      </c>
      <c r="B31" t="s">
        <v>106</v>
      </c>
      <c r="C31" t="s">
        <v>100</v>
      </c>
      <c r="D31" t="s">
        <v>107</v>
      </c>
      <c r="E31" t="str" cm="1">
        <f t="array" ref="E31">_xll.BDH($D31,"MTG_GEN_CPR_3M","20090331","20090331","Dts=H")</f>
        <v>#N/A Invalid Field</v>
      </c>
      <c r="F31" t="str" cm="1">
        <f t="array" ref="F31">_xll.BDH($D31,"MTG_GEN_CPR_6M","20090331","20090331","Dts=H")</f>
        <v>#N/A Invalid Field</v>
      </c>
      <c r="G31" t="str" cm="1">
        <f t="array" ref="G31">_xll.BDH($D31,"MTG_GEN_CPR_12M","20090331","20090331","Dts=H")</f>
        <v>#N/A Invalid Field</v>
      </c>
      <c r="H31" t="str" cm="1">
        <f t="array" ref="H31">_xll.BDH($D31,"MTG_GEN_CPR_3M","20090610","20090610","Dts=H")</f>
        <v>#N/A Invalid Field</v>
      </c>
      <c r="I31" t="str" cm="1">
        <f t="array" ref="I31">_xll.BDH($D31,"MTG_GEN_CPR_6M","20090610","20090610","Dts=H")</f>
        <v>#N/A Invalid Field</v>
      </c>
      <c r="J31" t="str" cm="1">
        <f t="array" ref="J31">_xll.BDH($D31,"MTG_GEN_CPR_12M","20090610","20090610","Dts=H")</f>
        <v>#N/A Invalid Field</v>
      </c>
      <c r="K31" t="str" cm="1">
        <f t="array" ref="K31">_xll.BDP("31283H4W2 Mtge","MTG_PREPAY_TYP")</f>
        <v>PSA</v>
      </c>
      <c r="L31" cm="1">
        <f t="array" ref="L31">_xll.BDP(D31,"MTG_PREPAY_SPEED")</f>
        <v>191</v>
      </c>
      <c r="M31" cm="1">
        <f t="array" ref="M31">_xll.BDP(D31,"MTG_PL_PSA_1M ")</f>
        <v>300.60000000000002</v>
      </c>
      <c r="N31" cm="1">
        <f t="array" ref="N31">_xll.BDP(D31,"MTG_PL_PSA_3M ")</f>
        <v>274.2</v>
      </c>
      <c r="O31" cm="1">
        <f t="array" ref="O31">_xll.BDP(D31,"MTG_PL_PSA_6M ")</f>
        <v>227.9</v>
      </c>
    </row>
    <row r="32" spans="1:15" x14ac:dyDescent="0.25">
      <c r="A32" t="s">
        <v>108</v>
      </c>
      <c r="B32" t="s">
        <v>109</v>
      </c>
      <c r="C32" t="s">
        <v>100</v>
      </c>
      <c r="D32" t="s">
        <v>110</v>
      </c>
      <c r="E32" t="str" cm="1">
        <f t="array" ref="E32">_xll.BDH($D32,"MTG_GEN_CPR_3M","20090331","20090331","Dts=H")</f>
        <v>#N/A Invalid Field</v>
      </c>
      <c r="F32" t="str" cm="1">
        <f t="array" ref="F32">_xll.BDH($D32,"MTG_GEN_CPR_6M","20090331","20090331","Dts=H")</f>
        <v>#N/A Invalid Field</v>
      </c>
      <c r="G32" t="str" cm="1">
        <f t="array" ref="G32">_xll.BDH($D32,"MTG_GEN_CPR_12M","20090331","20090331","Dts=H")</f>
        <v>#N/A Invalid Field</v>
      </c>
      <c r="H32" t="str" cm="1">
        <f t="array" ref="H32">_xll.BDH($D32,"MTG_GEN_CPR_3M","20090610","20090610","Dts=H")</f>
        <v>#N/A Invalid Field</v>
      </c>
      <c r="I32" t="str" cm="1">
        <f t="array" ref="I32">_xll.BDH($D32,"MTG_GEN_CPR_6M","20090610","20090610","Dts=H")</f>
        <v>#N/A Invalid Field</v>
      </c>
      <c r="J32" t="str" cm="1">
        <f t="array" ref="J32">_xll.BDH($D32,"MTG_GEN_CPR_12M","20090610","20090610","Dts=H")</f>
        <v>#N/A Invalid Field</v>
      </c>
      <c r="K32" t="str" cm="1">
        <f t="array" ref="K32">_xll.BDP("31283H4W2 Mtge","MTG_PREPAY_TYP")</f>
        <v>PSA</v>
      </c>
      <c r="L32" cm="1">
        <f t="array" ref="L32">_xll.BDP(D32,"MTG_PREPAY_SPEED")</f>
        <v>213</v>
      </c>
      <c r="M32" cm="1">
        <f t="array" ref="M32">_xll.BDP(D32,"MTG_PL_PSA_1M ")</f>
        <v>148</v>
      </c>
      <c r="N32" cm="1">
        <f t="array" ref="N32">_xll.BDP(D32,"MTG_PL_PSA_3M ")</f>
        <v>170.1</v>
      </c>
      <c r="O32" cm="1">
        <f t="array" ref="O32">_xll.BDP(D32,"MTG_PL_PSA_6M ")</f>
        <v>243.2</v>
      </c>
    </row>
    <row r="33" spans="1:15" x14ac:dyDescent="0.25">
      <c r="A33" t="s">
        <v>111</v>
      </c>
      <c r="B33" t="s">
        <v>112</v>
      </c>
      <c r="C33" t="s">
        <v>100</v>
      </c>
      <c r="D33" t="s">
        <v>113</v>
      </c>
      <c r="E33" t="str" cm="1">
        <f t="array" ref="E33">_xll.BDH($D33,"MTG_GEN_CPR_3M","20090331","20090331","Dts=H")</f>
        <v>#N/A Invalid Field</v>
      </c>
      <c r="F33" t="str" cm="1">
        <f t="array" ref="F33">_xll.BDH($D33,"MTG_GEN_CPR_6M","20090331","20090331","Dts=H")</f>
        <v>#N/A Invalid Field</v>
      </c>
      <c r="G33" t="str" cm="1">
        <f t="array" ref="G33">_xll.BDH($D33,"MTG_GEN_CPR_12M","20090331","20090331","Dts=H")</f>
        <v>#N/A Invalid Field</v>
      </c>
      <c r="H33" t="str" cm="1">
        <f t="array" ref="H33">_xll.BDH($D33,"MTG_GEN_CPR_3M","20090610","20090610","Dts=H")</f>
        <v>#N/A Invalid Field</v>
      </c>
      <c r="I33" t="str" cm="1">
        <f t="array" ref="I33">_xll.BDH($D33,"MTG_GEN_CPR_6M","20090610","20090610","Dts=H")</f>
        <v>#N/A Invalid Field</v>
      </c>
      <c r="J33" t="str" cm="1">
        <f t="array" ref="J33">_xll.BDH($D33,"MTG_GEN_CPR_12M","20090610","20090610","Dts=H")</f>
        <v>#N/A Invalid Field</v>
      </c>
      <c r="K33" t="str" cm="1">
        <f t="array" ref="K33">_xll.BDP("31283H4W2 Mtge","MTG_PREPAY_TYP")</f>
        <v>PSA</v>
      </c>
      <c r="L33" cm="1">
        <f t="array" ref="L33">_xll.BDP(D33,"MTG_PREPAY_SPEED")</f>
        <v>186</v>
      </c>
      <c r="M33" cm="1">
        <f t="array" ref="M33">_xll.BDP(D33,"MTG_PL_PSA_1M ")</f>
        <v>168.6</v>
      </c>
      <c r="N33" cm="1">
        <f t="array" ref="N33">_xll.BDP(D33,"MTG_PL_PSA_3M ")</f>
        <v>179.2</v>
      </c>
      <c r="O33" cm="1">
        <f t="array" ref="O33">_xll.BDP(D33,"MTG_PL_PSA_6M ")</f>
        <v>221.9</v>
      </c>
    </row>
    <row r="34" spans="1:15" x14ac:dyDescent="0.25">
      <c r="A34" t="s">
        <v>114</v>
      </c>
      <c r="B34" t="s">
        <v>115</v>
      </c>
      <c r="C34" t="s">
        <v>100</v>
      </c>
      <c r="D34" t="s">
        <v>116</v>
      </c>
      <c r="E34" t="str" cm="1">
        <f t="array" ref="E34">_xll.BDH($D34,"MTG_GEN_CPR_3M","20090331","20090331","Dts=H")</f>
        <v>#N/A Invalid Field</v>
      </c>
      <c r="F34" t="str" cm="1">
        <f t="array" ref="F34">_xll.BDH($D34,"MTG_GEN_CPR_6M","20090331","20090331","Dts=H")</f>
        <v>#N/A Invalid Field</v>
      </c>
      <c r="G34" t="str" cm="1">
        <f t="array" ref="G34">_xll.BDH($D34,"MTG_GEN_CPR_12M","20090331","20090331","Dts=H")</f>
        <v>#N/A Invalid Field</v>
      </c>
      <c r="H34" t="str" cm="1">
        <f t="array" ref="H34">_xll.BDH($D34,"MTG_GEN_CPR_3M","20090610","20090610","Dts=H")</f>
        <v>#N/A Invalid Field</v>
      </c>
      <c r="I34" t="str" cm="1">
        <f t="array" ref="I34">_xll.BDH($D34,"MTG_GEN_CPR_6M","20090610","20090610","Dts=H")</f>
        <v>#N/A Invalid Field</v>
      </c>
      <c r="J34" t="str" cm="1">
        <f t="array" ref="J34">_xll.BDH($D34,"MTG_GEN_CPR_12M","20090610","20090610","Dts=H")</f>
        <v>#N/A Invalid Field</v>
      </c>
      <c r="K34" t="str" cm="1">
        <f t="array" ref="K34">_xll.BDP("31283H4W2 Mtge","MTG_PREPAY_TYP")</f>
        <v>PSA</v>
      </c>
      <c r="L34" t="str" cm="1">
        <f t="array" ref="L34">_xll.BDP(D34,"MTG_PREPAY_SPEED")</f>
        <v>#N/A N/A</v>
      </c>
      <c r="M34" cm="1">
        <f t="array" ref="M34">_xll.BDP(D34,"MTG_PL_PSA_1M ")</f>
        <v>1666.7</v>
      </c>
      <c r="N34" cm="1">
        <f t="array" ref="N34">_xll.BDP(D34,"MTG_PL_PSA_3M ")</f>
        <v>1666.7</v>
      </c>
      <c r="O34" cm="1">
        <f t="array" ref="O34">_xll.BDP(D34,"MTG_PL_PSA_6M ")</f>
        <v>1666.7</v>
      </c>
    </row>
    <row r="35" spans="1:15" x14ac:dyDescent="0.25">
      <c r="A35" t="s">
        <v>117</v>
      </c>
      <c r="B35" t="s">
        <v>118</v>
      </c>
      <c r="C35" t="s">
        <v>100</v>
      </c>
      <c r="D35" t="s">
        <v>119</v>
      </c>
      <c r="E35" t="str" cm="1">
        <f t="array" ref="E35">_xll.BDH($D35,"MTG_GEN_CPR_3M","20090331","20090331","Dts=H")</f>
        <v>#N/A Invalid Field</v>
      </c>
      <c r="F35" t="str" cm="1">
        <f t="array" ref="F35">_xll.BDH($D35,"MTG_GEN_CPR_6M","20090331","20090331","Dts=H")</f>
        <v>#N/A Invalid Field</v>
      </c>
      <c r="G35" t="str" cm="1">
        <f t="array" ref="G35">_xll.BDH($D35,"MTG_GEN_CPR_12M","20090331","20090331","Dts=H")</f>
        <v>#N/A Invalid Field</v>
      </c>
      <c r="H35" t="str" cm="1">
        <f t="array" ref="H35">_xll.BDH($D35,"MTG_GEN_CPR_3M","20090610","20090610","Dts=H")</f>
        <v>#N/A Invalid Field</v>
      </c>
      <c r="I35" t="str" cm="1">
        <f t="array" ref="I35">_xll.BDH($D35,"MTG_GEN_CPR_6M","20090610","20090610","Dts=H")</f>
        <v>#N/A Invalid Field</v>
      </c>
      <c r="J35" t="str" cm="1">
        <f t="array" ref="J35">_xll.BDH($D35,"MTG_GEN_CPR_12M","20090610","20090610","Dts=H")</f>
        <v>#N/A Invalid Field</v>
      </c>
      <c r="K35" t="str" cm="1">
        <f t="array" ref="K35">_xll.BDP("31283H4W2 Mtge","MTG_PREPAY_TYP")</f>
        <v>PSA</v>
      </c>
      <c r="L35" t="str" cm="1">
        <f t="array" ref="L35">_xll.BDP(D35,"MTG_PREPAY_SPEED")</f>
        <v>#N/A N/A</v>
      </c>
      <c r="M35" cm="1">
        <f t="array" ref="M35">_xll.BDP(D35,"MTG_PL_PSA_1M ")</f>
        <v>0</v>
      </c>
      <c r="N35" cm="1">
        <f t="array" ref="N35">_xll.BDP(D35,"MTG_PL_PSA_3M ")</f>
        <v>1578.7</v>
      </c>
      <c r="O35" cm="1">
        <f t="array" ref="O35">_xll.BDP(D35,"MTG_PL_PSA_6M ")</f>
        <v>1373.2</v>
      </c>
    </row>
    <row r="36" spans="1:15" x14ac:dyDescent="0.25">
      <c r="A36" t="s">
        <v>120</v>
      </c>
      <c r="B36" t="s">
        <v>121</v>
      </c>
      <c r="C36" t="s">
        <v>100</v>
      </c>
      <c r="D36" t="s">
        <v>122</v>
      </c>
      <c r="E36" t="str" cm="1">
        <f t="array" ref="E36">_xll.BDH($D36,"MTG_GEN_CPR_3M","20090331","20090331","Dts=H")</f>
        <v>#N/A Invalid Field</v>
      </c>
      <c r="F36" t="str" cm="1">
        <f t="array" ref="F36">_xll.BDH($D36,"MTG_GEN_CPR_6M","20090331","20090331","Dts=H")</f>
        <v>#N/A Invalid Field</v>
      </c>
      <c r="G36" t="str" cm="1">
        <f t="array" ref="G36">_xll.BDH($D36,"MTG_GEN_CPR_12M","20090331","20090331","Dts=H")</f>
        <v>#N/A Invalid Field</v>
      </c>
      <c r="H36" t="str" cm="1">
        <f t="array" ref="H36">_xll.BDH($D36,"MTG_GEN_CPR_3M","20090610","20090610","Dts=H")</f>
        <v>#N/A Invalid Field</v>
      </c>
      <c r="I36" t="str" cm="1">
        <f t="array" ref="I36">_xll.BDH($D36,"MTG_GEN_CPR_6M","20090610","20090610","Dts=H")</f>
        <v>#N/A Invalid Field</v>
      </c>
      <c r="J36" t="str" cm="1">
        <f t="array" ref="J36">_xll.BDH($D36,"MTG_GEN_CPR_12M","20090610","20090610","Dts=H")</f>
        <v>#N/A Invalid Field</v>
      </c>
      <c r="K36" t="str" cm="1">
        <f t="array" ref="K36">_xll.BDP("31283H4W2 Mtge","MTG_PREPAY_TYP")</f>
        <v>PSA</v>
      </c>
      <c r="L36" t="str" cm="1">
        <f t="array" ref="L36">_xll.BDP(D36,"MTG_PREPAY_SPEED")</f>
        <v>#N/A N/A</v>
      </c>
      <c r="M36" cm="1">
        <f t="array" ref="M36">_xll.BDP(D36,"MTG_PL_PSA_1M ")</f>
        <v>0</v>
      </c>
      <c r="N36" cm="1">
        <f t="array" ref="N36">_xll.BDP(D36,"MTG_PL_PSA_3M ")</f>
        <v>1412.9</v>
      </c>
      <c r="O36" cm="1">
        <f t="array" ref="O36">_xll.BDP(D36,"MTG_PL_PSA_6M ")</f>
        <v>1209.7</v>
      </c>
    </row>
    <row r="37" spans="1:15" x14ac:dyDescent="0.25">
      <c r="A37" t="s">
        <v>123</v>
      </c>
      <c r="B37" t="s">
        <v>124</v>
      </c>
      <c r="C37" t="s">
        <v>100</v>
      </c>
      <c r="D37" t="s">
        <v>125</v>
      </c>
      <c r="E37" t="str" cm="1">
        <f t="array" ref="E37">_xll.BDH($D37,"MTG_GEN_CPR_3M","20090331","20090331","Dts=H")</f>
        <v>#N/A Invalid Field</v>
      </c>
      <c r="F37" t="str" cm="1">
        <f t="array" ref="F37">_xll.BDH($D37,"MTG_GEN_CPR_6M","20090331","20090331","Dts=H")</f>
        <v>#N/A Invalid Field</v>
      </c>
      <c r="G37" t="str" cm="1">
        <f t="array" ref="G37">_xll.BDH($D37,"MTG_GEN_CPR_12M","20090331","20090331","Dts=H")</f>
        <v>#N/A Invalid Field</v>
      </c>
      <c r="H37" t="str" cm="1">
        <f t="array" ref="H37">_xll.BDH($D37,"MTG_GEN_CPR_3M","20090610","20090610","Dts=H")</f>
        <v>#N/A Invalid Field</v>
      </c>
      <c r="I37" t="str" cm="1">
        <f t="array" ref="I37">_xll.BDH($D37,"MTG_GEN_CPR_6M","20090610","20090610","Dts=H")</f>
        <v>#N/A Invalid Field</v>
      </c>
      <c r="J37" t="str" cm="1">
        <f t="array" ref="J37">_xll.BDH($D37,"MTG_GEN_CPR_12M","20090610","20090610","Dts=H")</f>
        <v>#N/A Invalid Field</v>
      </c>
      <c r="K37" t="str" cm="1">
        <f t="array" ref="K37">_xll.BDP("31283H4W2 Mtge","MTG_PREPAY_TYP")</f>
        <v>PSA</v>
      </c>
      <c r="L37" t="str" cm="1">
        <f t="array" ref="L37">_xll.BDP(D37,"MTG_PREPAY_SPEED")</f>
        <v>#N/A N/A</v>
      </c>
      <c r="M37" cm="1">
        <f t="array" ref="M37">_xll.BDP(D37,"MTG_PL_PSA_1M ")</f>
        <v>1666.7</v>
      </c>
      <c r="N37" cm="1">
        <f t="array" ref="N37">_xll.BDP(D37,"MTG_PL_PSA_3M ")</f>
        <v>1666.7</v>
      </c>
      <c r="O37" cm="1">
        <f t="array" ref="O37">_xll.BDP(D37,"MTG_PL_PSA_6M ")</f>
        <v>1666.7</v>
      </c>
    </row>
    <row r="38" spans="1:15" x14ac:dyDescent="0.25">
      <c r="A38" t="s">
        <v>126</v>
      </c>
      <c r="B38" t="s">
        <v>127</v>
      </c>
      <c r="C38" t="s">
        <v>100</v>
      </c>
      <c r="D38" t="s">
        <v>128</v>
      </c>
      <c r="E38" t="str" cm="1">
        <f t="array" ref="E38">_xll.BDH($D38,"MTG_GEN_CPR_3M","20090331","20090331","Dts=H")</f>
        <v>#N/A Invalid Field</v>
      </c>
      <c r="F38" t="str" cm="1">
        <f t="array" ref="F38">_xll.BDH($D38,"MTG_GEN_CPR_6M","20090331","20090331","Dts=H")</f>
        <v>#N/A Invalid Field</v>
      </c>
      <c r="G38" t="str" cm="1">
        <f t="array" ref="G38">_xll.BDH($D38,"MTG_GEN_CPR_12M","20090331","20090331","Dts=H")</f>
        <v>#N/A Invalid Field</v>
      </c>
      <c r="H38" t="str" cm="1">
        <f t="array" ref="H38">_xll.BDH($D38,"MTG_GEN_CPR_3M","20090610","20090610","Dts=H")</f>
        <v>#N/A Invalid Field</v>
      </c>
      <c r="I38" t="str" cm="1">
        <f t="array" ref="I38">_xll.BDH($D38,"MTG_GEN_CPR_6M","20090610","20090610","Dts=H")</f>
        <v>#N/A Invalid Field</v>
      </c>
      <c r="J38" t="str" cm="1">
        <f t="array" ref="J38">_xll.BDH($D38,"MTG_GEN_CPR_12M","20090610","20090610","Dts=H")</f>
        <v>#N/A Invalid Field</v>
      </c>
      <c r="K38" t="str" cm="1">
        <f t="array" ref="K38">_xll.BDP("31283H4W2 Mtge","MTG_PREPAY_TYP")</f>
        <v>PSA</v>
      </c>
      <c r="L38" t="str" cm="1">
        <f t="array" ref="L38">_xll.BDP(D38,"MTG_PREPAY_SPEED")</f>
        <v>#N/A N/A</v>
      </c>
      <c r="M38" cm="1">
        <f t="array" ref="M38">_xll.BDP(D38,"MTG_PL_PSA_1M ")</f>
        <v>1666.7</v>
      </c>
      <c r="N38" cm="1">
        <f t="array" ref="N38">_xll.BDP(D38,"MTG_PL_PSA_3M ")</f>
        <v>1666.7</v>
      </c>
      <c r="O38" cm="1">
        <f t="array" ref="O38">_xll.BDP(D38,"MTG_PL_PSA_6M ")</f>
        <v>1666.7</v>
      </c>
    </row>
    <row r="39" spans="1:15" x14ac:dyDescent="0.25">
      <c r="A39" t="s">
        <v>129</v>
      </c>
      <c r="B39" t="s">
        <v>130</v>
      </c>
      <c r="C39" t="s">
        <v>100</v>
      </c>
      <c r="D39" t="s">
        <v>131</v>
      </c>
      <c r="E39" t="str" cm="1">
        <f t="array" ref="E39">_xll.BDH($D39,"MTG_GEN_CPR_3M","20090331","20090331","Dts=H")</f>
        <v>#N/A Invalid Field</v>
      </c>
      <c r="F39" t="str" cm="1">
        <f t="array" ref="F39">_xll.BDH($D39,"MTG_GEN_CPR_6M","20090331","20090331","Dts=H")</f>
        <v>#N/A Invalid Field</v>
      </c>
      <c r="G39" t="str" cm="1">
        <f t="array" ref="G39">_xll.BDH($D39,"MTG_GEN_CPR_12M","20090331","20090331","Dts=H")</f>
        <v>#N/A Invalid Field</v>
      </c>
      <c r="H39" t="str" cm="1">
        <f t="array" ref="H39">_xll.BDH($D39,"MTG_GEN_CPR_3M","20090610","20090610","Dts=H")</f>
        <v>#N/A Invalid Field</v>
      </c>
      <c r="I39" t="str" cm="1">
        <f t="array" ref="I39">_xll.BDH($D39,"MTG_GEN_CPR_6M","20090610","20090610","Dts=H")</f>
        <v>#N/A Invalid Field</v>
      </c>
      <c r="J39" t="str" cm="1">
        <f t="array" ref="J39">_xll.BDH($D39,"MTG_GEN_CPR_12M","20090610","20090610","Dts=H")</f>
        <v>#N/A Invalid Field</v>
      </c>
      <c r="K39" t="str" cm="1">
        <f t="array" ref="K39">_xll.BDP("31283H4W2 Mtge","MTG_PREPAY_TYP")</f>
        <v>PSA</v>
      </c>
      <c r="L39" t="str" cm="1">
        <f t="array" ref="L39">_xll.BDP(D39,"MTG_PREPAY_SPEED")</f>
        <v>#N/A N/A</v>
      </c>
      <c r="M39" cm="1">
        <f t="array" ref="M39">_xll.BDP(D39,"MTG_PL_PSA_1M ")</f>
        <v>0</v>
      </c>
      <c r="N39" cm="1">
        <f t="array" ref="N39">_xll.BDP(D39,"MTG_PL_PSA_3M ")</f>
        <v>501.1</v>
      </c>
      <c r="O39" cm="1">
        <f t="array" ref="O39">_xll.BDP(D39,"MTG_PL_PSA_6M ")</f>
        <v>872.9</v>
      </c>
    </row>
    <row r="40" spans="1:15" x14ac:dyDescent="0.25">
      <c r="A40" t="s">
        <v>132</v>
      </c>
      <c r="B40" t="s">
        <v>133</v>
      </c>
      <c r="C40" t="s">
        <v>100</v>
      </c>
      <c r="D40" t="s">
        <v>134</v>
      </c>
      <c r="E40" t="str" cm="1">
        <f t="array" ref="E40">_xll.BDH($D40,"MTG_GEN_CPR_3M","20090331","20090331","Dts=H")</f>
        <v>#N/A Invalid Field</v>
      </c>
      <c r="F40" t="str" cm="1">
        <f t="array" ref="F40">_xll.BDH($D40,"MTG_GEN_CPR_6M","20090331","20090331","Dts=H")</f>
        <v>#N/A Invalid Field</v>
      </c>
      <c r="G40" t="str" cm="1">
        <f t="array" ref="G40">_xll.BDH($D40,"MTG_GEN_CPR_12M","20090331","20090331","Dts=H")</f>
        <v>#N/A Invalid Field</v>
      </c>
      <c r="H40" t="str" cm="1">
        <f t="array" ref="H40">_xll.BDH($D40,"MTG_GEN_CPR_3M","20090610","20090610","Dts=H")</f>
        <v>#N/A Invalid Field</v>
      </c>
      <c r="I40" t="str" cm="1">
        <f t="array" ref="I40">_xll.BDH($D40,"MTG_GEN_CPR_6M","20090610","20090610","Dts=H")</f>
        <v>#N/A Invalid Field</v>
      </c>
      <c r="J40" t="str" cm="1">
        <f t="array" ref="J40">_xll.BDH($D40,"MTG_GEN_CPR_12M","20090610","20090610","Dts=H")</f>
        <v>#N/A Invalid Field</v>
      </c>
      <c r="K40" t="str" cm="1">
        <f t="array" ref="K40">_xll.BDP("31283H4W2 Mtge","MTG_PREPAY_TYP")</f>
        <v>PSA</v>
      </c>
      <c r="L40" t="str" cm="1">
        <f t="array" ref="L40">_xll.BDP(D40,"MTG_PREPAY_SPEED")</f>
        <v>#N/A N/A</v>
      </c>
      <c r="M40" cm="1">
        <f t="array" ref="M40">_xll.BDP(D40,"MTG_PL_PSA_1M ")</f>
        <v>0</v>
      </c>
      <c r="N40" cm="1">
        <f t="array" ref="N40">_xll.BDP(D40,"MTG_PL_PSA_3M ")</f>
        <v>1294</v>
      </c>
      <c r="O40" cm="1">
        <f t="array" ref="O40">_xll.BDP(D40,"MTG_PL_PSA_6M ")</f>
        <v>1299</v>
      </c>
    </row>
    <row r="41" spans="1:15" x14ac:dyDescent="0.25">
      <c r="A41" t="s">
        <v>135</v>
      </c>
      <c r="B41" t="s">
        <v>136</v>
      </c>
      <c r="C41" t="s">
        <v>100</v>
      </c>
      <c r="D41" t="s">
        <v>137</v>
      </c>
      <c r="E41" t="str" cm="1">
        <f t="array" ref="E41">_xll.BDH($D41,"MTG_GEN_CPR_3M","20090331","20090331","Dts=H")</f>
        <v>#N/A Invalid Field</v>
      </c>
      <c r="F41" t="str" cm="1">
        <f t="array" ref="F41">_xll.BDH($D41,"MTG_GEN_CPR_6M","20090331","20090331","Dts=H")</f>
        <v>#N/A Invalid Field</v>
      </c>
      <c r="G41" t="str" cm="1">
        <f t="array" ref="G41">_xll.BDH($D41,"MTG_GEN_CPR_12M","20090331","20090331","Dts=H")</f>
        <v>#N/A Invalid Field</v>
      </c>
      <c r="H41" t="str" cm="1">
        <f t="array" ref="H41">_xll.BDH($D41,"MTG_GEN_CPR_3M","20090610","20090610","Dts=H")</f>
        <v>#N/A Invalid Field</v>
      </c>
      <c r="I41" t="str" cm="1">
        <f t="array" ref="I41">_xll.BDH($D41,"MTG_GEN_CPR_6M","20090610","20090610","Dts=H")</f>
        <v>#N/A Invalid Field</v>
      </c>
      <c r="J41" t="str" cm="1">
        <f t="array" ref="J41">_xll.BDH($D41,"MTG_GEN_CPR_12M","20090610","20090610","Dts=H")</f>
        <v>#N/A Invalid Field</v>
      </c>
      <c r="K41" t="str" cm="1">
        <f t="array" ref="K41">_xll.BDP("31283H4W2 Mtge","MTG_PREPAY_TYP")</f>
        <v>PSA</v>
      </c>
      <c r="L41" t="str" cm="1">
        <f t="array" ref="L41">_xll.BDP(D41,"MTG_PREPAY_SPEED")</f>
        <v>#N/A N/A</v>
      </c>
      <c r="M41" cm="1">
        <f t="array" ref="M41">_xll.BDP(D41,"MTG_PL_PSA_1M ")</f>
        <v>1666.7</v>
      </c>
      <c r="N41" cm="1">
        <f t="array" ref="N41">_xll.BDP(D41,"MTG_PL_PSA_3M ")</f>
        <v>1666.7</v>
      </c>
      <c r="O41" cm="1">
        <f t="array" ref="O41">_xll.BDP(D41,"MTG_PL_PSA_6M ")</f>
        <v>1666.7</v>
      </c>
    </row>
    <row r="42" spans="1:15" x14ac:dyDescent="0.25">
      <c r="A42" t="s">
        <v>138</v>
      </c>
      <c r="B42" t="s">
        <v>139</v>
      </c>
      <c r="C42" t="s">
        <v>100</v>
      </c>
      <c r="D42" t="s">
        <v>140</v>
      </c>
      <c r="E42" t="str" cm="1">
        <f t="array" ref="E42">_xll.BDH($D42,"MTG_GEN_CPR_3M","20090331","20090331","Dts=H")</f>
        <v>#N/A Invalid Field</v>
      </c>
      <c r="F42" t="str" cm="1">
        <f t="array" ref="F42">_xll.BDH($D42,"MTG_GEN_CPR_6M","20090331","20090331","Dts=H")</f>
        <v>#N/A Invalid Field</v>
      </c>
      <c r="G42" t="str" cm="1">
        <f t="array" ref="G42">_xll.BDH($D42,"MTG_GEN_CPR_12M","20090331","20090331","Dts=H")</f>
        <v>#N/A Invalid Field</v>
      </c>
      <c r="H42" t="str" cm="1">
        <f t="array" ref="H42">_xll.BDH($D42,"MTG_GEN_CPR_3M","20090610","20090610","Dts=H")</f>
        <v>#N/A Invalid Field</v>
      </c>
      <c r="I42" t="str" cm="1">
        <f t="array" ref="I42">_xll.BDH($D42,"MTG_GEN_CPR_6M","20090610","20090610","Dts=H")</f>
        <v>#N/A Invalid Field</v>
      </c>
      <c r="J42" t="str" cm="1">
        <f t="array" ref="J42">_xll.BDH($D42,"MTG_GEN_CPR_12M","20090610","20090610","Dts=H")</f>
        <v>#N/A Invalid Field</v>
      </c>
      <c r="K42" t="str" cm="1">
        <f t="array" ref="K42">_xll.BDP("31283H4W2 Mtge","MTG_PREPAY_TYP")</f>
        <v>PSA</v>
      </c>
      <c r="L42" t="str" cm="1">
        <f t="array" ref="L42">_xll.BDP(D42,"MTG_PREPAY_SPEED")</f>
        <v>#N/A N/A</v>
      </c>
      <c r="M42" cm="1">
        <f t="array" ref="M42">_xll.BDP(D42,"MTG_PL_PSA_1M ")</f>
        <v>1666.7</v>
      </c>
      <c r="N42" cm="1">
        <f t="array" ref="N42">_xll.BDP(D42,"MTG_PL_PSA_3M ")</f>
        <v>1666.7</v>
      </c>
      <c r="O42" cm="1">
        <f t="array" ref="O42">_xll.BDP(D42,"MTG_PL_PSA_6M ")</f>
        <v>1666.7</v>
      </c>
    </row>
    <row r="43" spans="1:15" x14ac:dyDescent="0.25">
      <c r="A43" t="s">
        <v>141</v>
      </c>
      <c r="B43" t="s">
        <v>142</v>
      </c>
      <c r="C43" t="s">
        <v>100</v>
      </c>
      <c r="D43" t="s">
        <v>143</v>
      </c>
      <c r="E43" t="str" cm="1">
        <f t="array" ref="E43">_xll.BDH($D43,"MTG_GEN_CPR_3M","20090331","20090331","Dts=H")</f>
        <v>#N/A Invalid Field</v>
      </c>
      <c r="F43" t="str" cm="1">
        <f t="array" ref="F43">_xll.BDH($D43,"MTG_GEN_CPR_6M","20090331","20090331","Dts=H")</f>
        <v>#N/A Invalid Field</v>
      </c>
      <c r="G43" t="str" cm="1">
        <f t="array" ref="G43">_xll.BDH($D43,"MTG_GEN_CPR_12M","20090331","20090331","Dts=H")</f>
        <v>#N/A Invalid Field</v>
      </c>
      <c r="H43" t="str" cm="1">
        <f t="array" ref="H43">_xll.BDH($D43,"MTG_GEN_CPR_3M","20090610","20090610","Dts=H")</f>
        <v>#N/A Invalid Field</v>
      </c>
      <c r="I43" t="str" cm="1">
        <f t="array" ref="I43">_xll.BDH($D43,"MTG_GEN_CPR_6M","20090610","20090610","Dts=H")</f>
        <v>#N/A Invalid Field</v>
      </c>
      <c r="J43" t="str" cm="1">
        <f t="array" ref="J43">_xll.BDH($D43,"MTG_GEN_CPR_12M","20090610","20090610","Dts=H")</f>
        <v>#N/A Invalid Field</v>
      </c>
      <c r="K43" t="str" cm="1">
        <f t="array" ref="K43">_xll.BDP("31283H4W2 Mtge","MTG_PREPAY_TYP")</f>
        <v>PSA</v>
      </c>
      <c r="L43" t="str" cm="1">
        <f t="array" ref="L43">_xll.BDP(D43,"MTG_PREPAY_SPEED")</f>
        <v>#N/A N/A</v>
      </c>
      <c r="M43" cm="1">
        <f t="array" ref="M43">_xll.BDP(D43,"MTG_PL_PSA_1M ")</f>
        <v>0</v>
      </c>
      <c r="N43" cm="1">
        <f t="array" ref="N43">_xll.BDP(D43,"MTG_PL_PSA_3M ")</f>
        <v>1353.6</v>
      </c>
      <c r="O43" cm="1">
        <f t="array" ref="O43">_xll.BDP(D43,"MTG_PL_PSA_6M ")</f>
        <v>1191.9000000000001</v>
      </c>
    </row>
    <row r="44" spans="1:15" x14ac:dyDescent="0.25">
      <c r="A44" t="s">
        <v>144</v>
      </c>
      <c r="B44" t="s">
        <v>145</v>
      </c>
      <c r="C44" t="s">
        <v>100</v>
      </c>
      <c r="D44" t="s">
        <v>146</v>
      </c>
      <c r="E44" t="str" cm="1">
        <f t="array" ref="E44">_xll.BDH($D44,"MTG_GEN_CPR_3M","20090331","20090331","Dts=H")</f>
        <v>#N/A Invalid Field</v>
      </c>
      <c r="F44" t="str" cm="1">
        <f t="array" ref="F44">_xll.BDH($D44,"MTG_GEN_CPR_6M","20090331","20090331","Dts=H")</f>
        <v>#N/A Invalid Field</v>
      </c>
      <c r="G44" t="str" cm="1">
        <f t="array" ref="G44">_xll.BDH($D44,"MTG_GEN_CPR_12M","20090331","20090331","Dts=H")</f>
        <v>#N/A Invalid Field</v>
      </c>
      <c r="H44" t="str" cm="1">
        <f t="array" ref="H44">_xll.BDH($D44,"MTG_GEN_CPR_3M","20090610","20090610","Dts=H")</f>
        <v>#N/A Invalid Field</v>
      </c>
      <c r="I44" t="str" cm="1">
        <f t="array" ref="I44">_xll.BDH($D44,"MTG_GEN_CPR_6M","20090610","20090610","Dts=H")</f>
        <v>#N/A Invalid Field</v>
      </c>
      <c r="J44" t="str" cm="1">
        <f t="array" ref="J44">_xll.BDH($D44,"MTG_GEN_CPR_12M","20090610","20090610","Dts=H")</f>
        <v>#N/A Invalid Field</v>
      </c>
      <c r="K44" t="str" cm="1">
        <f t="array" ref="K44">_xll.BDP("31283H4W2 Mtge","MTG_PREPAY_TYP")</f>
        <v>PSA</v>
      </c>
      <c r="L44" t="str" cm="1">
        <f t="array" ref="L44">_xll.BDP(D44,"MTG_PREPAY_SPEED")</f>
        <v>#N/A N/A</v>
      </c>
      <c r="M44" cm="1">
        <f t="array" ref="M44">_xll.BDP(D44,"MTG_PL_PSA_1M ")</f>
        <v>1666.7</v>
      </c>
      <c r="N44" cm="1">
        <f t="array" ref="N44">_xll.BDP(D44,"MTG_PL_PSA_3M ")</f>
        <v>1666.7</v>
      </c>
      <c r="O44" cm="1">
        <f t="array" ref="O44">_xll.BDP(D44,"MTG_PL_PSA_6M ")</f>
        <v>1666.7</v>
      </c>
    </row>
    <row r="45" spans="1:15" x14ac:dyDescent="0.25">
      <c r="A45" t="s">
        <v>147</v>
      </c>
      <c r="B45" t="s">
        <v>148</v>
      </c>
      <c r="C45" t="s">
        <v>100</v>
      </c>
      <c r="D45" t="s">
        <v>149</v>
      </c>
      <c r="E45" t="str" cm="1">
        <f t="array" ref="E45">_xll.BDH($D45,"MTG_GEN_CPR_3M","20090331","20090331","Dts=H")</f>
        <v>#N/A Invalid Field</v>
      </c>
      <c r="F45" t="str" cm="1">
        <f t="array" ref="F45">_xll.BDH($D45,"MTG_GEN_CPR_6M","20090331","20090331","Dts=H")</f>
        <v>#N/A Invalid Field</v>
      </c>
      <c r="G45" t="str" cm="1">
        <f t="array" ref="G45">_xll.BDH($D45,"MTG_GEN_CPR_12M","20090331","20090331","Dts=H")</f>
        <v>#N/A Invalid Field</v>
      </c>
      <c r="H45" t="str" cm="1">
        <f t="array" ref="H45">_xll.BDH($D45,"MTG_GEN_CPR_3M","20090610","20090610","Dts=H")</f>
        <v>#N/A Invalid Field</v>
      </c>
      <c r="I45" t="str" cm="1">
        <f t="array" ref="I45">_xll.BDH($D45,"MTG_GEN_CPR_6M","20090610","20090610","Dts=H")</f>
        <v>#N/A Invalid Field</v>
      </c>
      <c r="J45" t="str" cm="1">
        <f t="array" ref="J45">_xll.BDH($D45,"MTG_GEN_CPR_12M","20090610","20090610","Dts=H")</f>
        <v>#N/A Invalid Field</v>
      </c>
      <c r="K45" t="str" cm="1">
        <f t="array" ref="K45">_xll.BDP("31283H4W2 Mtge","MTG_PREPAY_TYP")</f>
        <v>PSA</v>
      </c>
      <c r="L45" t="str" cm="1">
        <f t="array" ref="L45">_xll.BDP(D45,"MTG_PREPAY_SPEED")</f>
        <v>#N/A N/A</v>
      </c>
      <c r="M45" cm="1">
        <f t="array" ref="M45">_xll.BDP(D45,"MTG_PL_PSA_1M ")</f>
        <v>0</v>
      </c>
      <c r="N45" cm="1">
        <f t="array" ref="N45">_xll.BDP(D45,"MTG_PL_PSA_3M ")</f>
        <v>1658.3</v>
      </c>
      <c r="O45" cm="1">
        <f t="array" ref="O45">_xll.BDP(D45,"MTG_PL_PSA_6M ")</f>
        <v>1578.8</v>
      </c>
    </row>
    <row r="46" spans="1:15" x14ac:dyDescent="0.25">
      <c r="A46" t="s">
        <v>150</v>
      </c>
      <c r="B46" t="s">
        <v>151</v>
      </c>
      <c r="C46" t="s">
        <v>100</v>
      </c>
      <c r="D46" t="s">
        <v>152</v>
      </c>
      <c r="E46" t="str" cm="1">
        <f t="array" ref="E46">_xll.BDH($D46,"MTG_GEN_CPR_3M","20090331","20090331","Dts=H")</f>
        <v>#N/A Invalid Field</v>
      </c>
      <c r="F46" t="str" cm="1">
        <f t="array" ref="F46">_xll.BDH($D46,"MTG_GEN_CPR_6M","20090331","20090331","Dts=H")</f>
        <v>#N/A Invalid Field</v>
      </c>
      <c r="G46" t="str" cm="1">
        <f t="array" ref="G46">_xll.BDH($D46,"MTG_GEN_CPR_12M","20090331","20090331","Dts=H")</f>
        <v>#N/A Invalid Field</v>
      </c>
      <c r="H46" t="str" cm="1">
        <f t="array" ref="H46">_xll.BDH($D46,"MTG_GEN_CPR_3M","20090610","20090610","Dts=H")</f>
        <v>#N/A Invalid Field</v>
      </c>
      <c r="I46" t="str" cm="1">
        <f t="array" ref="I46">_xll.BDH($D46,"MTG_GEN_CPR_6M","20090610","20090610","Dts=H")</f>
        <v>#N/A Invalid Field</v>
      </c>
      <c r="J46" t="str" cm="1">
        <f t="array" ref="J46">_xll.BDH($D46,"MTG_GEN_CPR_12M","20090610","20090610","Dts=H")</f>
        <v>#N/A Invalid Field</v>
      </c>
      <c r="K46" t="str" cm="1">
        <f t="array" ref="K46">_xll.BDP("31283H4W2 Mtge","MTG_PREPAY_TYP")</f>
        <v>PSA</v>
      </c>
      <c r="L46" t="str" cm="1">
        <f t="array" ref="L46">_xll.BDP(D46,"MTG_PREPAY_SPEED")</f>
        <v>#N/A N/A</v>
      </c>
      <c r="M46" cm="1">
        <f t="array" ref="M46">_xll.BDP(D46,"MTG_PL_PSA_1M ")</f>
        <v>1666.7</v>
      </c>
      <c r="N46" cm="1">
        <f t="array" ref="N46">_xll.BDP(D46,"MTG_PL_PSA_3M ")</f>
        <v>1666.7</v>
      </c>
      <c r="O46" cm="1">
        <f t="array" ref="O46">_xll.BDP(D46,"MTG_PL_PSA_6M ")</f>
        <v>1666.7</v>
      </c>
    </row>
    <row r="47" spans="1:15" x14ac:dyDescent="0.25">
      <c r="A47" t="s">
        <v>153</v>
      </c>
      <c r="B47" t="s">
        <v>154</v>
      </c>
      <c r="C47" t="s">
        <v>100</v>
      </c>
      <c r="D47" t="s">
        <v>155</v>
      </c>
      <c r="E47" t="str" cm="1">
        <f t="array" ref="E47">_xll.BDH($D47,"MTG_GEN_CPR_3M","20090331","20090331","Dts=H")</f>
        <v>#N/A Invalid Field</v>
      </c>
      <c r="F47" t="str" cm="1">
        <f t="array" ref="F47">_xll.BDH($D47,"MTG_GEN_CPR_6M","20090331","20090331","Dts=H")</f>
        <v>#N/A Invalid Field</v>
      </c>
      <c r="G47" t="str" cm="1">
        <f t="array" ref="G47">_xll.BDH($D47,"MTG_GEN_CPR_12M","20090331","20090331","Dts=H")</f>
        <v>#N/A Invalid Field</v>
      </c>
      <c r="H47" t="str" cm="1">
        <f t="array" ref="H47">_xll.BDH($D47,"MTG_GEN_CPR_3M","20090610","20090610","Dts=H")</f>
        <v>#N/A Invalid Field</v>
      </c>
      <c r="I47" t="str" cm="1">
        <f t="array" ref="I47">_xll.BDH($D47,"MTG_GEN_CPR_6M","20090610","20090610","Dts=H")</f>
        <v>#N/A Invalid Field</v>
      </c>
      <c r="J47" t="str" cm="1">
        <f t="array" ref="J47">_xll.BDH($D47,"MTG_GEN_CPR_12M","20090610","20090610","Dts=H")</f>
        <v>#N/A Invalid Field</v>
      </c>
      <c r="K47" t="str" cm="1">
        <f t="array" ref="K47">_xll.BDP("31283H4W2 Mtge","MTG_PREPAY_TYP")</f>
        <v>PSA</v>
      </c>
      <c r="L47" t="str" cm="1">
        <f t="array" ref="L47">_xll.BDP(D47,"MTG_PREPAY_SPEED")</f>
        <v>#N/A N/A</v>
      </c>
      <c r="M47" cm="1">
        <f t="array" ref="M47">_xll.BDP(D47,"MTG_PL_PSA_1M ")</f>
        <v>1666.7</v>
      </c>
      <c r="N47" cm="1">
        <f t="array" ref="N47">_xll.BDP(D47,"MTG_PL_PSA_3M ")</f>
        <v>1666.7</v>
      </c>
      <c r="O47" cm="1">
        <f t="array" ref="O47">_xll.BDP(D47,"MTG_PL_PSA_6M ")</f>
        <v>1666.7</v>
      </c>
    </row>
    <row r="48" spans="1:15" x14ac:dyDescent="0.25">
      <c r="A48" t="s">
        <v>156</v>
      </c>
      <c r="B48" t="s">
        <v>157</v>
      </c>
      <c r="C48" t="s">
        <v>100</v>
      </c>
      <c r="D48" t="s">
        <v>158</v>
      </c>
      <c r="E48" t="str" cm="1">
        <f t="array" ref="E48">_xll.BDH($D48,"MTG_GEN_CPR_3M","20090331","20090331","Dts=H")</f>
        <v>#N/A Invalid Field</v>
      </c>
      <c r="F48" t="str" cm="1">
        <f t="array" ref="F48">_xll.BDH($D48,"MTG_GEN_CPR_6M","20090331","20090331","Dts=H")</f>
        <v>#N/A Invalid Field</v>
      </c>
      <c r="G48" t="str" cm="1">
        <f t="array" ref="G48">_xll.BDH($D48,"MTG_GEN_CPR_12M","20090331","20090331","Dts=H")</f>
        <v>#N/A Invalid Field</v>
      </c>
      <c r="H48" t="str" cm="1">
        <f t="array" ref="H48">_xll.BDH($D48,"MTG_GEN_CPR_3M","20090610","20090610","Dts=H")</f>
        <v>#N/A Invalid Field</v>
      </c>
      <c r="I48" t="str" cm="1">
        <f t="array" ref="I48">_xll.BDH($D48,"MTG_GEN_CPR_6M","20090610","20090610","Dts=H")</f>
        <v>#N/A Invalid Field</v>
      </c>
      <c r="J48" t="str" cm="1">
        <f t="array" ref="J48">_xll.BDH($D48,"MTG_GEN_CPR_12M","20090610","20090610","Dts=H")</f>
        <v>#N/A Invalid Field</v>
      </c>
      <c r="K48" t="str" cm="1">
        <f t="array" ref="K48">_xll.BDP("31283H4W2 Mtge","MTG_PREPAY_TYP")</f>
        <v>PSA</v>
      </c>
      <c r="L48" t="str" cm="1">
        <f t="array" ref="L48">_xll.BDP(D48,"MTG_PREPAY_SPEED")</f>
        <v>#N/A N/A</v>
      </c>
      <c r="M48" cm="1">
        <f t="array" ref="M48">_xll.BDP(D48,"MTG_PL_PSA_1M ")</f>
        <v>0</v>
      </c>
      <c r="N48" cm="1">
        <f t="array" ref="N48">_xll.BDP(D48,"MTG_PL_PSA_3M ")</f>
        <v>2.9</v>
      </c>
      <c r="O48" cm="1">
        <f t="array" ref="O48">_xll.BDP(D48,"MTG_PL_PSA_6M ")</f>
        <v>2</v>
      </c>
    </row>
    <row r="49" spans="1:15" x14ac:dyDescent="0.25">
      <c r="A49" t="s">
        <v>159</v>
      </c>
      <c r="B49" t="s">
        <v>160</v>
      </c>
      <c r="C49" t="s">
        <v>100</v>
      </c>
      <c r="D49" t="s">
        <v>161</v>
      </c>
      <c r="E49" t="str" cm="1">
        <f t="array" ref="E49">_xll.BDH($D49,"MTG_GEN_CPR_3M","20090331","20090331","Dts=H")</f>
        <v>#N/A Invalid Field</v>
      </c>
      <c r="F49" t="str" cm="1">
        <f t="array" ref="F49">_xll.BDH($D49,"MTG_GEN_CPR_6M","20090331","20090331","Dts=H")</f>
        <v>#N/A Invalid Field</v>
      </c>
      <c r="G49" t="str" cm="1">
        <f t="array" ref="G49">_xll.BDH($D49,"MTG_GEN_CPR_12M","20090331","20090331","Dts=H")</f>
        <v>#N/A Invalid Field</v>
      </c>
      <c r="H49" t="str" cm="1">
        <f t="array" ref="H49">_xll.BDH($D49,"MTG_GEN_CPR_3M","20090610","20090610","Dts=H")</f>
        <v>#N/A Invalid Field</v>
      </c>
      <c r="I49" t="str" cm="1">
        <f t="array" ref="I49">_xll.BDH($D49,"MTG_GEN_CPR_6M","20090610","20090610","Dts=H")</f>
        <v>#N/A Invalid Field</v>
      </c>
      <c r="J49" t="str" cm="1">
        <f t="array" ref="J49">_xll.BDH($D49,"MTG_GEN_CPR_12M","20090610","20090610","Dts=H")</f>
        <v>#N/A Invalid Field</v>
      </c>
      <c r="K49" t="str" cm="1">
        <f t="array" ref="K49">_xll.BDP("31283H4W2 Mtge","MTG_PREPAY_TYP")</f>
        <v>PSA</v>
      </c>
      <c r="L49" t="str" cm="1">
        <f t="array" ref="L49">_xll.BDP(D49,"MTG_PREPAY_SPEED")</f>
        <v>#N/A N/A</v>
      </c>
      <c r="M49" cm="1">
        <f t="array" ref="M49">_xll.BDP(D49,"MTG_PL_PSA_1M ")</f>
        <v>0</v>
      </c>
      <c r="N49" cm="1">
        <f t="array" ref="N49">_xll.BDP(D49,"MTG_PL_PSA_3M ")</f>
        <v>1652.7</v>
      </c>
      <c r="O49" cm="1">
        <f t="array" ref="O49">_xll.BDP(D49,"MTG_PL_PSA_6M ")</f>
        <v>1512.3</v>
      </c>
    </row>
    <row r="50" spans="1:15" x14ac:dyDescent="0.25">
      <c r="A50" t="s">
        <v>162</v>
      </c>
      <c r="B50" t="s">
        <v>163</v>
      </c>
      <c r="C50" t="s">
        <v>100</v>
      </c>
      <c r="D50" t="s">
        <v>164</v>
      </c>
      <c r="E50" t="str" cm="1">
        <f t="array" ref="E50">_xll.BDH($D50,"MTG_GEN_CPR_3M","20090331","20090331","Dts=H")</f>
        <v>#N/A Invalid Field</v>
      </c>
      <c r="F50" t="str" cm="1">
        <f t="array" ref="F50">_xll.BDH($D50,"MTG_GEN_CPR_6M","20090331","20090331","Dts=H")</f>
        <v>#N/A Invalid Field</v>
      </c>
      <c r="G50" t="str" cm="1">
        <f t="array" ref="G50">_xll.BDH($D50,"MTG_GEN_CPR_12M","20090331","20090331","Dts=H")</f>
        <v>#N/A Invalid Field</v>
      </c>
      <c r="H50" t="str" cm="1">
        <f t="array" ref="H50">_xll.BDH($D50,"MTG_GEN_CPR_3M","20090610","20090610","Dts=H")</f>
        <v>#N/A Invalid Field</v>
      </c>
      <c r="I50" t="str" cm="1">
        <f t="array" ref="I50">_xll.BDH($D50,"MTG_GEN_CPR_6M","20090610","20090610","Dts=H")</f>
        <v>#N/A Invalid Field</v>
      </c>
      <c r="J50" t="str" cm="1">
        <f t="array" ref="J50">_xll.BDH($D50,"MTG_GEN_CPR_12M","20090610","20090610","Dts=H")</f>
        <v>#N/A Invalid Field</v>
      </c>
      <c r="K50" t="str" cm="1">
        <f t="array" ref="K50">_xll.BDP("31283H4W2 Mtge","MTG_PREPAY_TYP")</f>
        <v>PSA</v>
      </c>
      <c r="L50" t="str" cm="1">
        <f t="array" ref="L50">_xll.BDP(D50,"MTG_PREPAY_SPEED")</f>
        <v>#N/A N/A</v>
      </c>
      <c r="M50" cm="1">
        <f t="array" ref="M50">_xll.BDP(D50,"MTG_PL_PSA_1M ")</f>
        <v>1666.7</v>
      </c>
      <c r="N50" cm="1">
        <f t="array" ref="N50">_xll.BDP(D50,"MTG_PL_PSA_3M ")</f>
        <v>1666.7</v>
      </c>
      <c r="O50" cm="1">
        <f t="array" ref="O50">_xll.BDP(D50,"MTG_PL_PSA_6M ")</f>
        <v>1666.7</v>
      </c>
    </row>
    <row r="51" spans="1:15" x14ac:dyDescent="0.25">
      <c r="A51" t="s">
        <v>165</v>
      </c>
      <c r="B51" t="s">
        <v>166</v>
      </c>
      <c r="C51" t="s">
        <v>100</v>
      </c>
      <c r="D51" t="s">
        <v>167</v>
      </c>
      <c r="E51" t="str" cm="1">
        <f t="array" ref="E51">_xll.BDH($D51,"MTG_GEN_CPR_3M","20090331","20090331","Dts=H")</f>
        <v>#N/A Invalid Field</v>
      </c>
      <c r="F51" t="str" cm="1">
        <f t="array" ref="F51">_xll.BDH($D51,"MTG_GEN_CPR_6M","20090331","20090331","Dts=H")</f>
        <v>#N/A Invalid Field</v>
      </c>
      <c r="G51" t="str" cm="1">
        <f t="array" ref="G51">_xll.BDH($D51,"MTG_GEN_CPR_12M","20090331","20090331","Dts=H")</f>
        <v>#N/A Invalid Field</v>
      </c>
      <c r="H51" t="str" cm="1">
        <f t="array" ref="H51">_xll.BDH($D51,"MTG_GEN_CPR_3M","20090610","20090610","Dts=H")</f>
        <v>#N/A Invalid Field</v>
      </c>
      <c r="I51" t="str" cm="1">
        <f t="array" ref="I51">_xll.BDH($D51,"MTG_GEN_CPR_6M","20090610","20090610","Dts=H")</f>
        <v>#N/A Invalid Field</v>
      </c>
      <c r="J51" t="str" cm="1">
        <f t="array" ref="J51">_xll.BDH($D51,"MTG_GEN_CPR_12M","20090610","20090610","Dts=H")</f>
        <v>#N/A Invalid Field</v>
      </c>
      <c r="K51" t="str" cm="1">
        <f t="array" ref="K51">_xll.BDP("31283H4W2 Mtge","MTG_PREPAY_TYP")</f>
        <v>PSA</v>
      </c>
      <c r="L51" t="str" cm="1">
        <f t="array" ref="L51">_xll.BDP(D51,"MTG_PREPAY_SPEED")</f>
        <v>#N/A N/A</v>
      </c>
      <c r="M51" cm="1">
        <f t="array" ref="M51">_xll.BDP(D51,"MTG_PL_PSA_1M ")</f>
        <v>0</v>
      </c>
      <c r="N51" cm="1">
        <f t="array" ref="N51">_xll.BDP(D51,"MTG_PL_PSA_3M ")</f>
        <v>0.1</v>
      </c>
      <c r="O51" cm="1">
        <f t="array" ref="O51">_xll.BDP(D51,"MTG_PL_PSA_6M ")</f>
        <v>0.1</v>
      </c>
    </row>
    <row r="52" spans="1:15" x14ac:dyDescent="0.25">
      <c r="A52" t="s">
        <v>168</v>
      </c>
      <c r="B52" t="s">
        <v>169</v>
      </c>
      <c r="C52" t="s">
        <v>100</v>
      </c>
      <c r="D52" t="s">
        <v>170</v>
      </c>
      <c r="E52" t="str" cm="1">
        <f t="array" ref="E52">_xll.BDH($D52,"MTG_GEN_CPR_3M","20090331","20090331","Dts=H")</f>
        <v>#N/A Invalid Field</v>
      </c>
      <c r="F52" t="str" cm="1">
        <f t="array" ref="F52">_xll.BDH($D52,"MTG_GEN_CPR_6M","20090331","20090331","Dts=H")</f>
        <v>#N/A Invalid Field</v>
      </c>
      <c r="G52" t="str" cm="1">
        <f t="array" ref="G52">_xll.BDH($D52,"MTG_GEN_CPR_12M","20090331","20090331","Dts=H")</f>
        <v>#N/A Invalid Field</v>
      </c>
      <c r="H52" t="str" cm="1">
        <f t="array" ref="H52">_xll.BDH($D52,"MTG_GEN_CPR_3M","20090610","20090610","Dts=H")</f>
        <v>#N/A Invalid Field</v>
      </c>
      <c r="I52" t="str" cm="1">
        <f t="array" ref="I52">_xll.BDH($D52,"MTG_GEN_CPR_6M","20090610","20090610","Dts=H")</f>
        <v>#N/A Invalid Field</v>
      </c>
      <c r="J52" t="str" cm="1">
        <f t="array" ref="J52">_xll.BDH($D52,"MTG_GEN_CPR_12M","20090610","20090610","Dts=H")</f>
        <v>#N/A Invalid Field</v>
      </c>
      <c r="K52" t="str" cm="1">
        <f t="array" ref="K52">_xll.BDP("31283H4W2 Mtge","MTG_PREPAY_TYP")</f>
        <v>PSA</v>
      </c>
      <c r="L52" t="str" cm="1">
        <f t="array" ref="L52">_xll.BDP(D52,"MTG_PREPAY_SPEED")</f>
        <v>#N/A N/A</v>
      </c>
      <c r="M52" cm="1">
        <f t="array" ref="M52">_xll.BDP(D52,"MTG_PL_PSA_1M ")</f>
        <v>0</v>
      </c>
      <c r="N52" cm="1">
        <f t="array" ref="N52">_xll.BDP(D52,"MTG_PL_PSA_3M ")</f>
        <v>1237.2</v>
      </c>
      <c r="O52" cm="1">
        <f t="array" ref="O52">_xll.BDP(D52,"MTG_PL_PSA_6M ")</f>
        <v>931.8</v>
      </c>
    </row>
    <row r="53" spans="1:15" x14ac:dyDescent="0.25">
      <c r="A53" t="s">
        <v>171</v>
      </c>
      <c r="B53" t="s">
        <v>172</v>
      </c>
      <c r="C53" t="s">
        <v>100</v>
      </c>
      <c r="D53" t="s">
        <v>173</v>
      </c>
      <c r="E53" t="str" cm="1">
        <f t="array" ref="E53">_xll.BDH($D53,"MTG_GEN_CPR_3M","20090331","20090331","Dts=H")</f>
        <v>#N/A Invalid Field</v>
      </c>
      <c r="F53" t="str" cm="1">
        <f t="array" ref="F53">_xll.BDH($D53,"MTG_GEN_CPR_6M","20090331","20090331","Dts=H")</f>
        <v>#N/A Invalid Field</v>
      </c>
      <c r="G53" t="str" cm="1">
        <f t="array" ref="G53">_xll.BDH($D53,"MTG_GEN_CPR_12M","20090331","20090331","Dts=H")</f>
        <v>#N/A Invalid Field</v>
      </c>
      <c r="H53" t="str" cm="1">
        <f t="array" ref="H53">_xll.BDH($D53,"MTG_GEN_CPR_3M","20090610","20090610","Dts=H")</f>
        <v>#N/A Invalid Field</v>
      </c>
      <c r="I53" t="str" cm="1">
        <f t="array" ref="I53">_xll.BDH($D53,"MTG_GEN_CPR_6M","20090610","20090610","Dts=H")</f>
        <v>#N/A Invalid Field</v>
      </c>
      <c r="J53" t="str" cm="1">
        <f t="array" ref="J53">_xll.BDH($D53,"MTG_GEN_CPR_12M","20090610","20090610","Dts=H")</f>
        <v>#N/A Invalid Field</v>
      </c>
      <c r="K53" t="str" cm="1">
        <f t="array" ref="K53">_xll.BDP("31283H4W2 Mtge","MTG_PREPAY_TYP")</f>
        <v>PSA</v>
      </c>
      <c r="L53" t="str" cm="1">
        <f t="array" ref="L53">_xll.BDP(D53,"MTG_PREPAY_SPEED")</f>
        <v>#N/A N/A</v>
      </c>
      <c r="M53" cm="1">
        <f t="array" ref="M53">_xll.BDP(D53,"MTG_PL_PSA_1M ")</f>
        <v>1666.7</v>
      </c>
      <c r="N53" cm="1">
        <f t="array" ref="N53">_xll.BDP(D53,"MTG_PL_PSA_3M ")</f>
        <v>1666.7</v>
      </c>
      <c r="O53" cm="1">
        <f t="array" ref="O53">_xll.BDP(D53,"MTG_PL_PSA_6M ")</f>
        <v>1666.7</v>
      </c>
    </row>
    <row r="54" spans="1:15" x14ac:dyDescent="0.25">
      <c r="A54" t="s">
        <v>174</v>
      </c>
      <c r="B54" t="s">
        <v>175</v>
      </c>
      <c r="C54" t="s">
        <v>100</v>
      </c>
      <c r="D54" t="s">
        <v>176</v>
      </c>
      <c r="E54" t="str" cm="1">
        <f t="array" ref="E54">_xll.BDH($D54,"MTG_GEN_CPR_3M","20090331","20090331","Dts=H")</f>
        <v>#N/A Invalid Field</v>
      </c>
      <c r="F54" t="str" cm="1">
        <f t="array" ref="F54">_xll.BDH($D54,"MTG_GEN_CPR_6M","20090331","20090331","Dts=H")</f>
        <v>#N/A Invalid Field</v>
      </c>
      <c r="G54" t="str" cm="1">
        <f t="array" ref="G54">_xll.BDH($D54,"MTG_GEN_CPR_12M","20090331","20090331","Dts=H")</f>
        <v>#N/A Invalid Field</v>
      </c>
      <c r="H54" t="str" cm="1">
        <f t="array" ref="H54">_xll.BDH($D54,"MTG_GEN_CPR_3M","20090610","20090610","Dts=H")</f>
        <v>#N/A Invalid Field</v>
      </c>
      <c r="I54" t="str" cm="1">
        <f t="array" ref="I54">_xll.BDH($D54,"MTG_GEN_CPR_6M","20090610","20090610","Dts=H")</f>
        <v>#N/A Invalid Field</v>
      </c>
      <c r="J54" t="str" cm="1">
        <f t="array" ref="J54">_xll.BDH($D54,"MTG_GEN_CPR_12M","20090610","20090610","Dts=H")</f>
        <v>#N/A Invalid Field</v>
      </c>
      <c r="K54" t="str" cm="1">
        <f t="array" ref="K54">_xll.BDP("31283H4W2 Mtge","MTG_PREPAY_TYP")</f>
        <v>PSA</v>
      </c>
      <c r="L54" t="str" cm="1">
        <f t="array" ref="L54">_xll.BDP(D54,"MTG_PREPAY_SPEED")</f>
        <v>#N/A N/A</v>
      </c>
      <c r="M54" cm="1">
        <f t="array" ref="M54">_xll.BDP(D54,"MTG_PL_PSA_1M ")</f>
        <v>0</v>
      </c>
      <c r="N54" cm="1">
        <f t="array" ref="N54">_xll.BDP(D54,"MTG_PL_PSA_3M ")</f>
        <v>0.2</v>
      </c>
      <c r="O54" cm="1">
        <f t="array" ref="O54">_xll.BDP(D54,"MTG_PL_PSA_6M ")</f>
        <v>0.2</v>
      </c>
    </row>
    <row r="55" spans="1:15" x14ac:dyDescent="0.25">
      <c r="A55" t="s">
        <v>177</v>
      </c>
      <c r="B55" t="s">
        <v>178</v>
      </c>
      <c r="C55" t="s">
        <v>100</v>
      </c>
      <c r="D55" t="s">
        <v>179</v>
      </c>
      <c r="E55" t="str" cm="1">
        <f t="array" ref="E55">_xll.BDH($D55,"MTG_GEN_CPR_3M","20090331","20090331","Dts=H")</f>
        <v>#N/A Invalid Field</v>
      </c>
      <c r="F55" t="str" cm="1">
        <f t="array" ref="F55">_xll.BDH($D55,"MTG_GEN_CPR_6M","20090331","20090331","Dts=H")</f>
        <v>#N/A Invalid Field</v>
      </c>
      <c r="G55" t="str" cm="1">
        <f t="array" ref="G55">_xll.BDH($D55,"MTG_GEN_CPR_12M","20090331","20090331","Dts=H")</f>
        <v>#N/A Invalid Field</v>
      </c>
      <c r="H55" t="str" cm="1">
        <f t="array" ref="H55">_xll.BDH($D55,"MTG_GEN_CPR_3M","20090610","20090610","Dts=H")</f>
        <v>#N/A Invalid Field</v>
      </c>
      <c r="I55" t="str" cm="1">
        <f t="array" ref="I55">_xll.BDH($D55,"MTG_GEN_CPR_6M","20090610","20090610","Dts=H")</f>
        <v>#N/A Invalid Field</v>
      </c>
      <c r="J55" t="str" cm="1">
        <f t="array" ref="J55">_xll.BDH($D55,"MTG_GEN_CPR_12M","20090610","20090610","Dts=H")</f>
        <v>#N/A Invalid Field</v>
      </c>
      <c r="K55" t="str" cm="1">
        <f t="array" ref="K55">_xll.BDP("31283H4W2 Mtge","MTG_PREPAY_TYP")</f>
        <v>PSA</v>
      </c>
      <c r="L55" t="str" cm="1">
        <f t="array" ref="L55">_xll.BDP(D55,"MTG_PREPAY_SPEED")</f>
        <v>#N/A N/A</v>
      </c>
      <c r="M55" cm="1">
        <f t="array" ref="M55">_xll.BDP(D55,"MTG_PL_PSA_1M ")</f>
        <v>0</v>
      </c>
      <c r="N55" cm="1">
        <f t="array" ref="N55">_xll.BDP(D55,"MTG_PL_PSA_3M ")</f>
        <v>0.1</v>
      </c>
      <c r="O55" cm="1">
        <f t="array" ref="O55">_xll.BDP(D55,"MTG_PL_PSA_6M ")</f>
        <v>0</v>
      </c>
    </row>
    <row r="56" spans="1:15" x14ac:dyDescent="0.25">
      <c r="A56" t="s">
        <v>180</v>
      </c>
      <c r="B56" t="s">
        <v>181</v>
      </c>
      <c r="C56" t="s">
        <v>100</v>
      </c>
      <c r="D56" t="s">
        <v>182</v>
      </c>
      <c r="E56" t="str" cm="1">
        <f t="array" ref="E56">_xll.BDH($D56,"MTG_GEN_CPR_3M","20090331","20090331","Dts=H")</f>
        <v>#N/A Invalid Field</v>
      </c>
      <c r="F56" t="str" cm="1">
        <f t="array" ref="F56">_xll.BDH($D56,"MTG_GEN_CPR_6M","20090331","20090331","Dts=H")</f>
        <v>#N/A Invalid Field</v>
      </c>
      <c r="G56" t="str" cm="1">
        <f t="array" ref="G56">_xll.BDH($D56,"MTG_GEN_CPR_12M","20090331","20090331","Dts=H")</f>
        <v>#N/A Invalid Field</v>
      </c>
      <c r="H56" t="str" cm="1">
        <f t="array" ref="H56">_xll.BDH($D56,"MTG_GEN_CPR_3M","20090610","20090610","Dts=H")</f>
        <v>#N/A Invalid Field</v>
      </c>
      <c r="I56" t="str" cm="1">
        <f t="array" ref="I56">_xll.BDH($D56,"MTG_GEN_CPR_6M","20090610","20090610","Dts=H")</f>
        <v>#N/A Invalid Field</v>
      </c>
      <c r="J56" t="str" cm="1">
        <f t="array" ref="J56">_xll.BDH($D56,"MTG_GEN_CPR_12M","20090610","20090610","Dts=H")</f>
        <v>#N/A Invalid Field</v>
      </c>
      <c r="K56" t="str" cm="1">
        <f t="array" ref="K56">_xll.BDP("31283H4W2 Mtge","MTG_PREPAY_TYP")</f>
        <v>PSA</v>
      </c>
      <c r="L56" t="str" cm="1">
        <f t="array" ref="L56">_xll.BDP(D56,"MTG_PREPAY_SPEED")</f>
        <v>#N/A N/A</v>
      </c>
      <c r="M56" cm="1">
        <f t="array" ref="M56">_xll.BDP(D56,"MTG_PL_PSA_1M ")</f>
        <v>0</v>
      </c>
      <c r="N56" cm="1">
        <f t="array" ref="N56">_xll.BDP(D56,"MTG_PL_PSA_3M ")</f>
        <v>0.2</v>
      </c>
      <c r="O56" cm="1">
        <f t="array" ref="O56">_xll.BDP(D56,"MTG_PL_PSA_6M ")</f>
        <v>0.1</v>
      </c>
    </row>
    <row r="57" spans="1:15" x14ac:dyDescent="0.25">
      <c r="A57" t="s">
        <v>183</v>
      </c>
      <c r="B57" t="s">
        <v>184</v>
      </c>
      <c r="C57" t="s">
        <v>100</v>
      </c>
      <c r="D57" t="s">
        <v>185</v>
      </c>
      <c r="E57" t="str" cm="1">
        <f t="array" ref="E57">_xll.BDH($D57,"MTG_GEN_CPR_3M","20090331","20090331","Dts=H")</f>
        <v>#N/A Invalid Field</v>
      </c>
      <c r="F57" t="str" cm="1">
        <f t="array" ref="F57">_xll.BDH($D57,"MTG_GEN_CPR_6M","20090331","20090331","Dts=H")</f>
        <v>#N/A Invalid Field</v>
      </c>
      <c r="G57" t="str" cm="1">
        <f t="array" ref="G57">_xll.BDH($D57,"MTG_GEN_CPR_12M","20090331","20090331","Dts=H")</f>
        <v>#N/A Invalid Field</v>
      </c>
      <c r="H57" t="str" cm="1">
        <f t="array" ref="H57">_xll.BDH($D57,"MTG_GEN_CPR_3M","20090610","20090610","Dts=H")</f>
        <v>#N/A Invalid Field</v>
      </c>
      <c r="I57" t="str" cm="1">
        <f t="array" ref="I57">_xll.BDH($D57,"MTG_GEN_CPR_6M","20090610","20090610","Dts=H")</f>
        <v>#N/A Invalid Field</v>
      </c>
      <c r="J57" t="str" cm="1">
        <f t="array" ref="J57">_xll.BDH($D57,"MTG_GEN_CPR_12M","20090610","20090610","Dts=H")</f>
        <v>#N/A Invalid Field</v>
      </c>
      <c r="K57" t="str" cm="1">
        <f t="array" ref="K57">_xll.BDP("31283H4W2 Mtge","MTG_PREPAY_TYP")</f>
        <v>PSA</v>
      </c>
      <c r="L57" t="str" cm="1">
        <f t="array" ref="L57">_xll.BDP(D57,"MTG_PREPAY_SPEED")</f>
        <v>#N/A N/A</v>
      </c>
      <c r="M57" cm="1">
        <f t="array" ref="M57">_xll.BDP(D57,"MTG_PL_PSA_1M ")</f>
        <v>1666.7</v>
      </c>
      <c r="N57" cm="1">
        <f t="array" ref="N57">_xll.BDP(D57,"MTG_PL_PSA_3M ")</f>
        <v>1666.7</v>
      </c>
      <c r="O57" cm="1">
        <f t="array" ref="O57">_xll.BDP(D57,"MTG_PL_PSA_6M ")</f>
        <v>1666.7</v>
      </c>
    </row>
    <row r="58" spans="1:15" x14ac:dyDescent="0.25">
      <c r="A58" t="s">
        <v>186</v>
      </c>
      <c r="B58" t="s">
        <v>187</v>
      </c>
      <c r="C58" t="s">
        <v>100</v>
      </c>
      <c r="D58" t="s">
        <v>188</v>
      </c>
      <c r="E58" t="str" cm="1">
        <f t="array" ref="E58">_xll.BDH($D58,"MTG_GEN_CPR_3M","20090331","20090331","Dts=H")</f>
        <v>#N/A Invalid Field</v>
      </c>
      <c r="F58" t="str" cm="1">
        <f t="array" ref="F58">_xll.BDH($D58,"MTG_GEN_CPR_6M","20090331","20090331","Dts=H")</f>
        <v>#N/A Invalid Field</v>
      </c>
      <c r="G58" t="str" cm="1">
        <f t="array" ref="G58">_xll.BDH($D58,"MTG_GEN_CPR_12M","20090331","20090331","Dts=H")</f>
        <v>#N/A Invalid Field</v>
      </c>
      <c r="H58" t="str" cm="1">
        <f t="array" ref="H58">_xll.BDH($D58,"MTG_GEN_CPR_3M","20090610","20090610","Dts=H")</f>
        <v>#N/A Invalid Field</v>
      </c>
      <c r="I58" t="str" cm="1">
        <f t="array" ref="I58">_xll.BDH($D58,"MTG_GEN_CPR_6M","20090610","20090610","Dts=H")</f>
        <v>#N/A Invalid Field</v>
      </c>
      <c r="J58" t="str" cm="1">
        <f t="array" ref="J58">_xll.BDH($D58,"MTG_GEN_CPR_12M","20090610","20090610","Dts=H")</f>
        <v>#N/A Invalid Field</v>
      </c>
      <c r="K58" t="str" cm="1">
        <f t="array" ref="K58">_xll.BDP("31283H4W2 Mtge","MTG_PREPAY_TYP")</f>
        <v>PSA</v>
      </c>
      <c r="L58" t="str" cm="1">
        <f t="array" ref="L58">_xll.BDP(D58,"MTG_PREPAY_SPEED")</f>
        <v>#N/A N/A</v>
      </c>
      <c r="M58" cm="1">
        <f t="array" ref="M58">_xll.BDP(D58,"MTG_PL_PSA_1M ")</f>
        <v>1666.7</v>
      </c>
      <c r="N58" cm="1">
        <f t="array" ref="N58">_xll.BDP(D58,"MTG_PL_PSA_3M ")</f>
        <v>1666.7</v>
      </c>
      <c r="O58" cm="1">
        <f t="array" ref="O58">_xll.BDP(D58,"MTG_PL_PSA_6M ")</f>
        <v>1666.7</v>
      </c>
    </row>
    <row r="59" spans="1:15" x14ac:dyDescent="0.25">
      <c r="A59" t="s">
        <v>189</v>
      </c>
      <c r="B59" t="s">
        <v>190</v>
      </c>
      <c r="C59" t="s">
        <v>100</v>
      </c>
      <c r="D59" t="s">
        <v>191</v>
      </c>
      <c r="E59" t="str" cm="1">
        <f t="array" ref="E59">_xll.BDH($D59,"MTG_GEN_CPR_3M","20090331","20090331","Dts=H")</f>
        <v>#N/A Invalid Field</v>
      </c>
      <c r="F59" t="str" cm="1">
        <f t="array" ref="F59">_xll.BDH($D59,"MTG_GEN_CPR_6M","20090331","20090331","Dts=H")</f>
        <v>#N/A Invalid Field</v>
      </c>
      <c r="G59" t="str" cm="1">
        <f t="array" ref="G59">_xll.BDH($D59,"MTG_GEN_CPR_12M","20090331","20090331","Dts=H")</f>
        <v>#N/A Invalid Field</v>
      </c>
      <c r="H59" t="str" cm="1">
        <f t="array" ref="H59">_xll.BDH($D59,"MTG_GEN_CPR_3M","20090610","20090610","Dts=H")</f>
        <v>#N/A Invalid Field</v>
      </c>
      <c r="I59" t="str" cm="1">
        <f t="array" ref="I59">_xll.BDH($D59,"MTG_GEN_CPR_6M","20090610","20090610","Dts=H")</f>
        <v>#N/A Invalid Field</v>
      </c>
      <c r="J59" t="str" cm="1">
        <f t="array" ref="J59">_xll.BDH($D59,"MTG_GEN_CPR_12M","20090610","20090610","Dts=H")</f>
        <v>#N/A Invalid Field</v>
      </c>
      <c r="K59" t="str" cm="1">
        <f t="array" ref="K59">_xll.BDP("31283H4W2 Mtge","MTG_PREPAY_TYP")</f>
        <v>PSA</v>
      </c>
      <c r="L59" t="str" cm="1">
        <f t="array" ref="L59">_xll.BDP(D59,"MTG_PREPAY_SPEED")</f>
        <v>#N/A N/A</v>
      </c>
      <c r="M59" cm="1">
        <f t="array" ref="M59">_xll.BDP(D59,"MTG_PL_PSA_1M ")</f>
        <v>1666.7</v>
      </c>
      <c r="N59" cm="1">
        <f t="array" ref="N59">_xll.BDP(D59,"MTG_PL_PSA_3M ")</f>
        <v>1666.7</v>
      </c>
      <c r="O59" cm="1">
        <f t="array" ref="O59">_xll.BDP(D59,"MTG_PL_PSA_6M ")</f>
        <v>1666.7</v>
      </c>
    </row>
    <row r="60" spans="1:15" x14ac:dyDescent="0.25">
      <c r="A60" t="s">
        <v>192</v>
      </c>
      <c r="B60" t="s">
        <v>193</v>
      </c>
      <c r="C60" t="s">
        <v>100</v>
      </c>
      <c r="D60" t="s">
        <v>194</v>
      </c>
      <c r="E60" t="str" cm="1">
        <f t="array" ref="E60">_xll.BDH($D60,"MTG_GEN_CPR_3M","20090331","20090331","Dts=H")</f>
        <v>#N/A Invalid Field</v>
      </c>
      <c r="F60" t="str" cm="1">
        <f t="array" ref="F60">_xll.BDH($D60,"MTG_GEN_CPR_6M","20090331","20090331","Dts=H")</f>
        <v>#N/A Invalid Field</v>
      </c>
      <c r="G60" t="str" cm="1">
        <f t="array" ref="G60">_xll.BDH($D60,"MTG_GEN_CPR_12M","20090331","20090331","Dts=H")</f>
        <v>#N/A Invalid Field</v>
      </c>
      <c r="H60" t="str" cm="1">
        <f t="array" ref="H60">_xll.BDH($D60,"MTG_GEN_CPR_3M","20090610","20090610","Dts=H")</f>
        <v>#N/A Invalid Field</v>
      </c>
      <c r="I60" t="str" cm="1">
        <f t="array" ref="I60">_xll.BDH($D60,"MTG_GEN_CPR_6M","20090610","20090610","Dts=H")</f>
        <v>#N/A Invalid Field</v>
      </c>
      <c r="J60" t="str" cm="1">
        <f t="array" ref="J60">_xll.BDH($D60,"MTG_GEN_CPR_12M","20090610","20090610","Dts=H")</f>
        <v>#N/A Invalid Field</v>
      </c>
      <c r="K60" t="str" cm="1">
        <f t="array" ref="K60">_xll.BDP("31283H4W2 Mtge","MTG_PREPAY_TYP")</f>
        <v>PSA</v>
      </c>
      <c r="L60" t="str" cm="1">
        <f t="array" ref="L60">_xll.BDP(D60,"MTG_PREPAY_SPEED")</f>
        <v>#N/A N/A</v>
      </c>
      <c r="M60" cm="1">
        <f t="array" ref="M60">_xll.BDP(D60,"MTG_PL_PSA_1M ")</f>
        <v>0</v>
      </c>
      <c r="N60" cm="1">
        <f t="array" ref="N60">_xll.BDP(D60,"MTG_PL_PSA_3M ")</f>
        <v>1603.9</v>
      </c>
      <c r="O60" cm="1">
        <f t="array" ref="O60">_xll.BDP(D60,"MTG_PL_PSA_6M ")</f>
        <v>1441.9</v>
      </c>
    </row>
    <row r="61" spans="1:15" x14ac:dyDescent="0.25">
      <c r="A61" t="s">
        <v>195</v>
      </c>
      <c r="B61" t="s">
        <v>196</v>
      </c>
      <c r="C61" t="s">
        <v>100</v>
      </c>
      <c r="D61" t="s">
        <v>197</v>
      </c>
      <c r="E61" t="str" cm="1">
        <f t="array" ref="E61">_xll.BDH($D61,"MTG_GEN_CPR_3M","20090331","20090331","Dts=H")</f>
        <v>#N/A Invalid Field</v>
      </c>
      <c r="F61" t="str" cm="1">
        <f t="array" ref="F61">_xll.BDH($D61,"MTG_GEN_CPR_6M","20090331","20090331","Dts=H")</f>
        <v>#N/A Invalid Field</v>
      </c>
      <c r="G61" t="str" cm="1">
        <f t="array" ref="G61">_xll.BDH($D61,"MTG_GEN_CPR_12M","20090331","20090331","Dts=H")</f>
        <v>#N/A Invalid Field</v>
      </c>
      <c r="H61" t="str" cm="1">
        <f t="array" ref="H61">_xll.BDH($D61,"MTG_GEN_CPR_3M","20090610","20090610","Dts=H")</f>
        <v>#N/A Invalid Field</v>
      </c>
      <c r="I61" t="str" cm="1">
        <f t="array" ref="I61">_xll.BDH($D61,"MTG_GEN_CPR_6M","20090610","20090610","Dts=H")</f>
        <v>#N/A Invalid Field</v>
      </c>
      <c r="J61" t="str" cm="1">
        <f t="array" ref="J61">_xll.BDH($D61,"MTG_GEN_CPR_12M","20090610","20090610","Dts=H")</f>
        <v>#N/A Invalid Field</v>
      </c>
      <c r="K61" t="str" cm="1">
        <f t="array" ref="K61">_xll.BDP("31283H4W2 Mtge","MTG_PREPAY_TYP")</f>
        <v>PSA</v>
      </c>
      <c r="L61" t="str" cm="1">
        <f t="array" ref="L61">_xll.BDP(D61,"MTG_PREPAY_SPEED")</f>
        <v>#N/A N/A</v>
      </c>
      <c r="M61" cm="1">
        <f t="array" ref="M61">_xll.BDP(D61,"MTG_PL_PSA_1M ")</f>
        <v>0</v>
      </c>
      <c r="N61" cm="1">
        <f t="array" ref="N61">_xll.BDP(D61,"MTG_PL_PSA_3M ")</f>
        <v>1632.8</v>
      </c>
      <c r="O61" cm="1">
        <f t="array" ref="O61">_xll.BDP(D61,"MTG_PL_PSA_6M ")</f>
        <v>1457.5</v>
      </c>
    </row>
    <row r="62" spans="1:15" x14ac:dyDescent="0.25">
      <c r="A62" t="s">
        <v>198</v>
      </c>
      <c r="B62" t="s">
        <v>199</v>
      </c>
      <c r="C62" t="s">
        <v>100</v>
      </c>
      <c r="D62" t="s">
        <v>200</v>
      </c>
      <c r="E62" t="str" cm="1">
        <f t="array" ref="E62">_xll.BDH($D62,"MTG_GEN_CPR_3M","20090331","20090331","Dts=H")</f>
        <v>#N/A Invalid Field</v>
      </c>
      <c r="F62" t="str" cm="1">
        <f t="array" ref="F62">_xll.BDH($D62,"MTG_GEN_CPR_6M","20090331","20090331","Dts=H")</f>
        <v>#N/A Invalid Field</v>
      </c>
      <c r="G62" t="str" cm="1">
        <f t="array" ref="G62">_xll.BDH($D62,"MTG_GEN_CPR_12M","20090331","20090331","Dts=H")</f>
        <v>#N/A Invalid Field</v>
      </c>
      <c r="H62" t="str" cm="1">
        <f t="array" ref="H62">_xll.BDH($D62,"MTG_GEN_CPR_3M","20090610","20090610","Dts=H")</f>
        <v>#N/A Invalid Field</v>
      </c>
      <c r="I62" t="str" cm="1">
        <f t="array" ref="I62">_xll.BDH($D62,"MTG_GEN_CPR_6M","20090610","20090610","Dts=H")</f>
        <v>#N/A Invalid Field</v>
      </c>
      <c r="J62" t="str" cm="1">
        <f t="array" ref="J62">_xll.BDH($D62,"MTG_GEN_CPR_12M","20090610","20090610","Dts=H")</f>
        <v>#N/A Invalid Field</v>
      </c>
      <c r="K62" t="str" cm="1">
        <f t="array" ref="K62">_xll.BDP("31283H4W2 Mtge","MTG_PREPAY_TYP")</f>
        <v>PSA</v>
      </c>
      <c r="L62" t="str" cm="1">
        <f t="array" ref="L62">_xll.BDP(D62,"MTG_PREPAY_SPEED")</f>
        <v>#N/A N/A</v>
      </c>
      <c r="M62" cm="1">
        <f t="array" ref="M62">_xll.BDP(D62,"MTG_PL_PSA_1M ")</f>
        <v>0</v>
      </c>
      <c r="N62" cm="1">
        <f t="array" ref="N62">_xll.BDP(D62,"MTG_PL_PSA_3M ")</f>
        <v>-5836.6</v>
      </c>
      <c r="O62" cm="1">
        <f t="array" ref="O62">_xll.BDP(D62,"MTG_PL_PSA_6M ")</f>
        <v>-2020.6</v>
      </c>
    </row>
    <row r="63" spans="1:15" x14ac:dyDescent="0.25">
      <c r="A63" t="s">
        <v>201</v>
      </c>
      <c r="B63" t="s">
        <v>202</v>
      </c>
      <c r="C63" t="s">
        <v>100</v>
      </c>
      <c r="D63" t="s">
        <v>203</v>
      </c>
      <c r="E63" t="str" cm="1">
        <f t="array" ref="E63">_xll.BDH($D63,"MTG_GEN_CPR_3M","20090331","20090331","Dts=H")</f>
        <v>#N/A Invalid Field</v>
      </c>
      <c r="F63" t="str" cm="1">
        <f t="array" ref="F63">_xll.BDH($D63,"MTG_GEN_CPR_6M","20090331","20090331","Dts=H")</f>
        <v>#N/A Invalid Field</v>
      </c>
      <c r="G63" t="str" cm="1">
        <f t="array" ref="G63">_xll.BDH($D63,"MTG_GEN_CPR_12M","20090331","20090331","Dts=H")</f>
        <v>#N/A Invalid Field</v>
      </c>
      <c r="H63" t="str" cm="1">
        <f t="array" ref="H63">_xll.BDH($D63,"MTG_GEN_CPR_3M","20090610","20090610","Dts=H")</f>
        <v>#N/A Invalid Field</v>
      </c>
      <c r="I63" t="str" cm="1">
        <f t="array" ref="I63">_xll.BDH($D63,"MTG_GEN_CPR_6M","20090610","20090610","Dts=H")</f>
        <v>#N/A Invalid Field</v>
      </c>
      <c r="J63" t="str" cm="1">
        <f t="array" ref="J63">_xll.BDH($D63,"MTG_GEN_CPR_12M","20090610","20090610","Dts=H")</f>
        <v>#N/A Invalid Field</v>
      </c>
      <c r="K63" t="str" cm="1">
        <f t="array" ref="K63">_xll.BDP("31283H4W2 Mtge","MTG_PREPAY_TYP")</f>
        <v>PSA</v>
      </c>
      <c r="L63" t="str" cm="1">
        <f t="array" ref="L63">_xll.BDP(D63,"MTG_PREPAY_SPEED")</f>
        <v>#N/A N/A</v>
      </c>
      <c r="M63" cm="1">
        <f t="array" ref="M63">_xll.BDP(D63,"MTG_PL_PSA_1M ")</f>
        <v>1666.7</v>
      </c>
      <c r="N63" cm="1">
        <f t="array" ref="N63">_xll.BDP(D63,"MTG_PL_PSA_3M ")</f>
        <v>1666.7</v>
      </c>
      <c r="O63" cm="1">
        <f t="array" ref="O63">_xll.BDP(D63,"MTG_PL_PSA_6M ")</f>
        <v>1666.7</v>
      </c>
    </row>
    <row r="64" spans="1:15" x14ac:dyDescent="0.25">
      <c r="A64" t="s">
        <v>204</v>
      </c>
      <c r="B64" t="s">
        <v>205</v>
      </c>
      <c r="C64" t="s">
        <v>100</v>
      </c>
      <c r="D64" t="s">
        <v>206</v>
      </c>
      <c r="E64" t="str" cm="1">
        <f t="array" ref="E64">_xll.BDH($D64,"MTG_GEN_CPR_3M","20090331","20090331","Dts=H")</f>
        <v>#N/A Invalid Field</v>
      </c>
      <c r="F64" t="str" cm="1">
        <f t="array" ref="F64">_xll.BDH($D64,"MTG_GEN_CPR_6M","20090331","20090331","Dts=H")</f>
        <v>#N/A Invalid Field</v>
      </c>
      <c r="G64" t="str" cm="1">
        <f t="array" ref="G64">_xll.BDH($D64,"MTG_GEN_CPR_12M","20090331","20090331","Dts=H")</f>
        <v>#N/A Invalid Field</v>
      </c>
      <c r="H64" t="str" cm="1">
        <f t="array" ref="H64">_xll.BDH($D64,"MTG_GEN_CPR_3M","20090610","20090610","Dts=H")</f>
        <v>#N/A Invalid Field</v>
      </c>
      <c r="I64" t="str" cm="1">
        <f t="array" ref="I64">_xll.BDH($D64,"MTG_GEN_CPR_6M","20090610","20090610","Dts=H")</f>
        <v>#N/A Invalid Field</v>
      </c>
      <c r="J64" t="str" cm="1">
        <f t="array" ref="J64">_xll.BDH($D64,"MTG_GEN_CPR_12M","20090610","20090610","Dts=H")</f>
        <v>#N/A Invalid Field</v>
      </c>
      <c r="K64" t="str" cm="1">
        <f t="array" ref="K64">_xll.BDP("31283H4W2 Mtge","MTG_PREPAY_TYP")</f>
        <v>PSA</v>
      </c>
      <c r="L64" t="str" cm="1">
        <f t="array" ref="L64">_xll.BDP(D64,"MTG_PREPAY_SPEED")</f>
        <v>#N/A N/A</v>
      </c>
      <c r="M64" cm="1">
        <f t="array" ref="M64">_xll.BDP(D64,"MTG_PL_PSA_1M ")</f>
        <v>0</v>
      </c>
      <c r="N64" cm="1">
        <f t="array" ref="N64">_xll.BDP(D64,"MTG_PL_PSA_3M ")</f>
        <v>664.5</v>
      </c>
      <c r="O64" cm="1">
        <f t="array" ref="O64">_xll.BDP(D64,"MTG_PL_PSA_6M ")</f>
        <v>510.4</v>
      </c>
    </row>
    <row r="65" spans="1:15" x14ac:dyDescent="0.25">
      <c r="A65" t="s">
        <v>207</v>
      </c>
      <c r="B65" t="s">
        <v>208</v>
      </c>
      <c r="C65" t="s">
        <v>100</v>
      </c>
      <c r="D65" t="s">
        <v>209</v>
      </c>
      <c r="E65" t="str" cm="1">
        <f t="array" ref="E65">_xll.BDH($D65,"MTG_GEN_CPR_3M","20090331","20090331","Dts=H")</f>
        <v>#N/A Invalid Field</v>
      </c>
      <c r="F65" t="str" cm="1">
        <f t="array" ref="F65">_xll.BDH($D65,"MTG_GEN_CPR_6M","20090331","20090331","Dts=H")</f>
        <v>#N/A Invalid Field</v>
      </c>
      <c r="G65" t="str" cm="1">
        <f t="array" ref="G65">_xll.BDH($D65,"MTG_GEN_CPR_12M","20090331","20090331","Dts=H")</f>
        <v>#N/A Invalid Field</v>
      </c>
      <c r="H65" t="str" cm="1">
        <f t="array" ref="H65">_xll.BDH($D65,"MTG_GEN_CPR_3M","20090610","20090610","Dts=H")</f>
        <v>#N/A Invalid Field</v>
      </c>
      <c r="I65" t="str" cm="1">
        <f t="array" ref="I65">_xll.BDH($D65,"MTG_GEN_CPR_6M","20090610","20090610","Dts=H")</f>
        <v>#N/A Invalid Field</v>
      </c>
      <c r="J65" t="str" cm="1">
        <f t="array" ref="J65">_xll.BDH($D65,"MTG_GEN_CPR_12M","20090610","20090610","Dts=H")</f>
        <v>#N/A Invalid Field</v>
      </c>
      <c r="K65" t="str" cm="1">
        <f t="array" ref="K65">_xll.BDP("31283H4W2 Mtge","MTG_PREPAY_TYP")</f>
        <v>PSA</v>
      </c>
      <c r="L65" t="str" cm="1">
        <f t="array" ref="L65">_xll.BDP(D65,"MTG_PREPAY_SPEED")</f>
        <v>#N/A N/A</v>
      </c>
      <c r="M65" cm="1">
        <f t="array" ref="M65">_xll.BDP(D65,"MTG_PL_PSA_1M ")</f>
        <v>0</v>
      </c>
      <c r="N65" cm="1">
        <f t="array" ref="N65">_xll.BDP(D65,"MTG_PL_PSA_3M ")</f>
        <v>1582.4</v>
      </c>
      <c r="O65" cm="1">
        <f t="array" ref="O65">_xll.BDP(D65,"MTG_PL_PSA_6M ")</f>
        <v>1336.8</v>
      </c>
    </row>
    <row r="66" spans="1:15" x14ac:dyDescent="0.25">
      <c r="A66" t="s">
        <v>210</v>
      </c>
      <c r="B66" t="s">
        <v>211</v>
      </c>
      <c r="C66" t="s">
        <v>100</v>
      </c>
      <c r="D66" t="s">
        <v>212</v>
      </c>
      <c r="E66" t="str" cm="1">
        <f t="array" ref="E66">_xll.BDH($D66,"MTG_GEN_CPR_3M","20090331","20090331","Dts=H")</f>
        <v>#N/A Invalid Field</v>
      </c>
      <c r="F66" t="str" cm="1">
        <f t="array" ref="F66">_xll.BDH($D66,"MTG_GEN_CPR_6M","20090331","20090331","Dts=H")</f>
        <v>#N/A Invalid Field</v>
      </c>
      <c r="G66" t="str" cm="1">
        <f t="array" ref="G66">_xll.BDH($D66,"MTG_GEN_CPR_12M","20090331","20090331","Dts=H")</f>
        <v>#N/A Invalid Field</v>
      </c>
      <c r="H66" t="str" cm="1">
        <f t="array" ref="H66">_xll.BDH($D66,"MTG_GEN_CPR_3M","20090610","20090610","Dts=H")</f>
        <v>#N/A Invalid Field</v>
      </c>
      <c r="I66" t="str" cm="1">
        <f t="array" ref="I66">_xll.BDH($D66,"MTG_GEN_CPR_6M","20090610","20090610","Dts=H")</f>
        <v>#N/A Invalid Field</v>
      </c>
      <c r="J66" t="str" cm="1">
        <f t="array" ref="J66">_xll.BDH($D66,"MTG_GEN_CPR_12M","20090610","20090610","Dts=H")</f>
        <v>#N/A Invalid Field</v>
      </c>
      <c r="K66" t="str" cm="1">
        <f t="array" ref="K66">_xll.BDP("31283H4W2 Mtge","MTG_PREPAY_TYP")</f>
        <v>PSA</v>
      </c>
      <c r="L66" t="str" cm="1">
        <f t="array" ref="L66">_xll.BDP(D66,"MTG_PREPAY_SPEED")</f>
        <v>#N/A N/A</v>
      </c>
      <c r="M66" cm="1">
        <f t="array" ref="M66">_xll.BDP(D66,"MTG_PL_PSA_1M ")</f>
        <v>0</v>
      </c>
      <c r="N66" cm="1">
        <f t="array" ref="N66">_xll.BDP(D66,"MTG_PL_PSA_3M ")</f>
        <v>1553.3</v>
      </c>
      <c r="O66" cm="1">
        <f t="array" ref="O66">_xll.BDP(D66,"MTG_PL_PSA_6M ")</f>
        <v>1291.8</v>
      </c>
    </row>
    <row r="67" spans="1:15" x14ac:dyDescent="0.25">
      <c r="A67" t="s">
        <v>213</v>
      </c>
      <c r="B67" t="s">
        <v>214</v>
      </c>
      <c r="C67" t="s">
        <v>100</v>
      </c>
      <c r="D67" t="s">
        <v>215</v>
      </c>
      <c r="E67" t="str" cm="1">
        <f t="array" ref="E67">_xll.BDH($D67,"MTG_GEN_CPR_3M","20090331","20090331","Dts=H")</f>
        <v>#N/A Invalid Field</v>
      </c>
      <c r="F67" t="str" cm="1">
        <f t="array" ref="F67">_xll.BDH($D67,"MTG_GEN_CPR_6M","20090331","20090331","Dts=H")</f>
        <v>#N/A Invalid Field</v>
      </c>
      <c r="G67" t="str" cm="1">
        <f t="array" ref="G67">_xll.BDH($D67,"MTG_GEN_CPR_12M","20090331","20090331","Dts=H")</f>
        <v>#N/A Invalid Field</v>
      </c>
      <c r="H67" t="str" cm="1">
        <f t="array" ref="H67">_xll.BDH($D67,"MTG_GEN_CPR_3M","20090610","20090610","Dts=H")</f>
        <v>#N/A Invalid Field</v>
      </c>
      <c r="I67" t="str" cm="1">
        <f t="array" ref="I67">_xll.BDH($D67,"MTG_GEN_CPR_6M","20090610","20090610","Dts=H")</f>
        <v>#N/A Invalid Field</v>
      </c>
      <c r="J67" t="str" cm="1">
        <f t="array" ref="J67">_xll.BDH($D67,"MTG_GEN_CPR_12M","20090610","20090610","Dts=H")</f>
        <v>#N/A Invalid Field</v>
      </c>
      <c r="K67" t="str" cm="1">
        <f t="array" ref="K67">_xll.BDP("31283H4W2 Mtge","MTG_PREPAY_TYP")</f>
        <v>PSA</v>
      </c>
      <c r="L67" cm="1">
        <f t="array" ref="L67">_xll.BDP(D67,"MTG_PREPAY_SPEED")</f>
        <v>3.83</v>
      </c>
      <c r="M67" cm="1">
        <f t="array" ref="M67">_xll.BDP(D67,"MTG_PL_PSA_1M ")</f>
        <v>59.7</v>
      </c>
      <c r="N67" cm="1">
        <f t="array" ref="N67">_xll.BDP(D67,"MTG_PL_PSA_3M ")</f>
        <v>58.3</v>
      </c>
      <c r="O67" cm="1">
        <f t="array" ref="O67">_xll.BDP(D67,"MTG_PL_PSA_6M ")</f>
        <v>63.9</v>
      </c>
    </row>
    <row r="68" spans="1:15" x14ac:dyDescent="0.25">
      <c r="A68" t="s">
        <v>216</v>
      </c>
      <c r="B68" t="s">
        <v>217</v>
      </c>
      <c r="C68" t="s">
        <v>100</v>
      </c>
      <c r="D68" t="s">
        <v>218</v>
      </c>
      <c r="E68" t="str" cm="1">
        <f t="array" ref="E68">_xll.BDH($D68,"MTG_GEN_CPR_3M","20090331","20090331","Dts=H")</f>
        <v>#N/A Invalid Field</v>
      </c>
      <c r="F68" t="str" cm="1">
        <f t="array" ref="F68">_xll.BDH($D68,"MTG_GEN_CPR_6M","20090331","20090331","Dts=H")</f>
        <v>#N/A Invalid Field</v>
      </c>
      <c r="G68" t="str" cm="1">
        <f t="array" ref="G68">_xll.BDH($D68,"MTG_GEN_CPR_12M","20090331","20090331","Dts=H")</f>
        <v>#N/A Invalid Field</v>
      </c>
      <c r="H68" t="str" cm="1">
        <f t="array" ref="H68">_xll.BDH($D68,"MTG_GEN_CPR_3M","20090610","20090610","Dts=H")</f>
        <v>#N/A Invalid Field</v>
      </c>
      <c r="I68" t="str" cm="1">
        <f t="array" ref="I68">_xll.BDH($D68,"MTG_GEN_CPR_6M","20090610","20090610","Dts=H")</f>
        <v>#N/A Invalid Field</v>
      </c>
      <c r="J68" t="str" cm="1">
        <f t="array" ref="J68">_xll.BDH($D68,"MTG_GEN_CPR_12M","20090610","20090610","Dts=H")</f>
        <v>#N/A Invalid Field</v>
      </c>
      <c r="K68" t="str" cm="1">
        <f t="array" ref="K68">_xll.BDP("31283H4W2 Mtge","MTG_PREPAY_TYP")</f>
        <v>PSA</v>
      </c>
      <c r="L68" cm="1">
        <f t="array" ref="L68">_xll.BDP(D68,"MTG_PREPAY_SPEED")</f>
        <v>24.67</v>
      </c>
      <c r="M68" cm="1">
        <f t="array" ref="M68">_xll.BDP(D68,"MTG_PL_PSA_1M ")</f>
        <v>1352.9</v>
      </c>
      <c r="N68" cm="1">
        <f t="array" ref="N68">_xll.BDP(D68,"MTG_PL_PSA_3M ")</f>
        <v>717.7</v>
      </c>
      <c r="O68" cm="1">
        <f t="array" ref="O68">_xll.BDP(D68,"MTG_PL_PSA_6M ")</f>
        <v>411.2</v>
      </c>
    </row>
    <row r="69" spans="1:15" x14ac:dyDescent="0.25">
      <c r="A69" t="s">
        <v>219</v>
      </c>
      <c r="B69" t="s">
        <v>220</v>
      </c>
      <c r="C69" t="s">
        <v>100</v>
      </c>
      <c r="D69" t="s">
        <v>221</v>
      </c>
      <c r="E69" t="str" cm="1">
        <f t="array" ref="E69">_xll.BDH($D69,"MTG_GEN_CPR_3M","20090331","20090331","Dts=H")</f>
        <v>#N/A Invalid Field</v>
      </c>
      <c r="F69" t="str" cm="1">
        <f t="array" ref="F69">_xll.BDH($D69,"MTG_GEN_CPR_6M","20090331","20090331","Dts=H")</f>
        <v>#N/A Invalid Field</v>
      </c>
      <c r="G69" t="str" cm="1">
        <f t="array" ref="G69">_xll.BDH($D69,"MTG_GEN_CPR_12M","20090331","20090331","Dts=H")</f>
        <v>#N/A Invalid Field</v>
      </c>
      <c r="H69" t="str" cm="1">
        <f t="array" ref="H69">_xll.BDH($D69,"MTG_GEN_CPR_3M","20090610","20090610","Dts=H")</f>
        <v>#N/A Invalid Field</v>
      </c>
      <c r="I69" t="str" cm="1">
        <f t="array" ref="I69">_xll.BDH($D69,"MTG_GEN_CPR_6M","20090610","20090610","Dts=H")</f>
        <v>#N/A Invalid Field</v>
      </c>
      <c r="J69" t="str" cm="1">
        <f t="array" ref="J69">_xll.BDH($D69,"MTG_GEN_CPR_12M","20090610","20090610","Dts=H")</f>
        <v>#N/A Invalid Field</v>
      </c>
      <c r="K69" t="str" cm="1">
        <f t="array" ref="K69">_xll.BDP("31283H4W2 Mtge","MTG_PREPAY_TYP")</f>
        <v>PSA</v>
      </c>
      <c r="L69" cm="1">
        <f t="array" ref="L69">_xll.BDP(D69,"MTG_PREPAY_SPEED")</f>
        <v>15.46</v>
      </c>
      <c r="M69" cm="1">
        <f t="array" ref="M69">_xll.BDP(D69,"MTG_PL_PSA_1M ")</f>
        <v>267.3</v>
      </c>
      <c r="N69" cm="1">
        <f t="array" ref="N69">_xll.BDP(D69,"MTG_PL_PSA_3M ")</f>
        <v>253.1</v>
      </c>
      <c r="O69" cm="1">
        <f t="array" ref="O69">_xll.BDP(D69,"MTG_PL_PSA_6M ")</f>
        <v>257.60000000000002</v>
      </c>
    </row>
    <row r="70" spans="1:15" x14ac:dyDescent="0.25">
      <c r="A70" t="s">
        <v>222</v>
      </c>
      <c r="B70" t="s">
        <v>223</v>
      </c>
      <c r="C70" t="s">
        <v>100</v>
      </c>
      <c r="D70" t="s">
        <v>224</v>
      </c>
      <c r="E70" t="str" cm="1">
        <f t="array" ref="E70">_xll.BDH($D70,"MTG_GEN_CPR_3M","20090331","20090331","Dts=H")</f>
        <v>#N/A Invalid Field</v>
      </c>
      <c r="F70" t="str" cm="1">
        <f t="array" ref="F70">_xll.BDH($D70,"MTG_GEN_CPR_6M","20090331","20090331","Dts=H")</f>
        <v>#N/A Invalid Field</v>
      </c>
      <c r="G70" t="str" cm="1">
        <f t="array" ref="G70">_xll.BDH($D70,"MTG_GEN_CPR_12M","20090331","20090331","Dts=H")</f>
        <v>#N/A Invalid Field</v>
      </c>
      <c r="H70" t="str" cm="1">
        <f t="array" ref="H70">_xll.BDH($D70,"MTG_GEN_CPR_3M","20090610","20090610","Dts=H")</f>
        <v>#N/A Invalid Field</v>
      </c>
      <c r="I70" t="str" cm="1">
        <f t="array" ref="I70">_xll.BDH($D70,"MTG_GEN_CPR_6M","20090610","20090610","Dts=H")</f>
        <v>#N/A Invalid Field</v>
      </c>
      <c r="J70" t="str" cm="1">
        <f t="array" ref="J70">_xll.BDH($D70,"MTG_GEN_CPR_12M","20090610","20090610","Dts=H")</f>
        <v>#N/A Invalid Field</v>
      </c>
      <c r="K70" t="str" cm="1">
        <f t="array" ref="K70">_xll.BDP("31283H4W2 Mtge","MTG_PREPAY_TYP")</f>
        <v>PSA</v>
      </c>
      <c r="L70" cm="1">
        <f t="array" ref="L70">_xll.BDP(D70,"MTG_PREPAY_SPEED")</f>
        <v>0.33</v>
      </c>
      <c r="M70" cm="1">
        <f t="array" ref="M70">_xll.BDP(D70,"MTG_PL_PSA_1M ")</f>
        <v>5.8</v>
      </c>
      <c r="N70" cm="1">
        <f t="array" ref="N70">_xll.BDP(D70,"MTG_PL_PSA_3M ")</f>
        <v>5.7</v>
      </c>
      <c r="O70" cm="1">
        <f t="array" ref="O70">_xll.BDP(D70,"MTG_PL_PSA_6M ")</f>
        <v>5.5</v>
      </c>
    </row>
    <row r="71" spans="1:15" x14ac:dyDescent="0.25">
      <c r="A71" t="s">
        <v>225</v>
      </c>
      <c r="B71" t="s">
        <v>226</v>
      </c>
      <c r="C71" t="s">
        <v>100</v>
      </c>
      <c r="D71" t="s">
        <v>227</v>
      </c>
      <c r="E71" t="str" cm="1">
        <f t="array" ref="E71">_xll.BDH($D71,"MTG_GEN_CPR_3M","20090331","20090331","Dts=H")</f>
        <v>#N/A Invalid Field</v>
      </c>
      <c r="F71" t="str" cm="1">
        <f t="array" ref="F71">_xll.BDH($D71,"MTG_GEN_CPR_6M","20090331","20090331","Dts=H")</f>
        <v>#N/A Invalid Field</v>
      </c>
      <c r="G71" t="str" cm="1">
        <f t="array" ref="G71">_xll.BDH($D71,"MTG_GEN_CPR_12M","20090331","20090331","Dts=H")</f>
        <v>#N/A Invalid Field</v>
      </c>
      <c r="H71" t="str" cm="1">
        <f t="array" ref="H71">_xll.BDH($D71,"MTG_GEN_CPR_3M","20090610","20090610","Dts=H")</f>
        <v>#N/A Invalid Field</v>
      </c>
      <c r="I71" t="str" cm="1">
        <f t="array" ref="I71">_xll.BDH($D71,"MTG_GEN_CPR_6M","20090610","20090610","Dts=H")</f>
        <v>#N/A Invalid Field</v>
      </c>
      <c r="J71" t="str" cm="1">
        <f t="array" ref="J71">_xll.BDH($D71,"MTG_GEN_CPR_12M","20090610","20090610","Dts=H")</f>
        <v>#N/A Invalid Field</v>
      </c>
      <c r="K71" t="str" cm="1">
        <f t="array" ref="K71">_xll.BDP("31283H4W2 Mtge","MTG_PREPAY_TYP")</f>
        <v>PSA</v>
      </c>
      <c r="L71" cm="1">
        <f t="array" ref="L71">_xll.BDP(D71,"MTG_PREPAY_SPEED")</f>
        <v>6.02</v>
      </c>
      <c r="M71" cm="1">
        <f t="array" ref="M71">_xll.BDP(D71,"MTG_PL_PSA_1M ")</f>
        <v>24</v>
      </c>
      <c r="N71" cm="1">
        <f t="array" ref="N71">_xll.BDP(D71,"MTG_PL_PSA_3M ")</f>
        <v>48.6</v>
      </c>
      <c r="O71" cm="1">
        <f t="array" ref="O71">_xll.BDP(D71,"MTG_PL_PSA_6M ")</f>
        <v>100.4</v>
      </c>
    </row>
    <row r="72" spans="1:15" x14ac:dyDescent="0.25">
      <c r="A72" t="s">
        <v>228</v>
      </c>
      <c r="B72" t="s">
        <v>229</v>
      </c>
      <c r="C72" t="s">
        <v>100</v>
      </c>
      <c r="D72" t="s">
        <v>230</v>
      </c>
      <c r="E72" t="str" cm="1">
        <f t="array" ref="E72">_xll.BDH($D72,"MTG_GEN_CPR_3M","20090331","20090331","Dts=H")</f>
        <v>#N/A Invalid Field</v>
      </c>
      <c r="F72" t="str" cm="1">
        <f t="array" ref="F72">_xll.BDH($D72,"MTG_GEN_CPR_6M","20090331","20090331","Dts=H")</f>
        <v>#N/A Invalid Field</v>
      </c>
      <c r="G72" t="str" cm="1">
        <f t="array" ref="G72">_xll.BDH($D72,"MTG_GEN_CPR_12M","20090331","20090331","Dts=H")</f>
        <v>#N/A Invalid Field</v>
      </c>
      <c r="H72" t="str" cm="1">
        <f t="array" ref="H72">_xll.BDH($D72,"MTG_GEN_CPR_3M","20090610","20090610","Dts=H")</f>
        <v>#N/A Invalid Field</v>
      </c>
      <c r="I72" t="str" cm="1">
        <f t="array" ref="I72">_xll.BDH($D72,"MTG_GEN_CPR_6M","20090610","20090610","Dts=H")</f>
        <v>#N/A Invalid Field</v>
      </c>
      <c r="J72" t="str" cm="1">
        <f t="array" ref="J72">_xll.BDH($D72,"MTG_GEN_CPR_12M","20090610","20090610","Dts=H")</f>
        <v>#N/A Invalid Field</v>
      </c>
      <c r="K72" t="str" cm="1">
        <f t="array" ref="K72">_xll.BDP("31283H4W2 Mtge","MTG_PREPAY_TYP")</f>
        <v>PSA</v>
      </c>
      <c r="L72" cm="1">
        <f t="array" ref="L72">_xll.BDP(D72,"MTG_PREPAY_SPEED")</f>
        <v>213</v>
      </c>
      <c r="M72" cm="1">
        <f t="array" ref="M72">_xll.BDP(D72,"MTG_PL_PSA_1M ")</f>
        <v>68.3</v>
      </c>
      <c r="N72" cm="1">
        <f t="array" ref="N72">_xll.BDP(D72,"MTG_PL_PSA_3M ")</f>
        <v>67.5</v>
      </c>
      <c r="O72" cm="1">
        <f t="array" ref="O72">_xll.BDP(D72,"MTG_PL_PSA_6M ")</f>
        <v>65.7</v>
      </c>
    </row>
    <row r="73" spans="1:15" x14ac:dyDescent="0.25">
      <c r="A73" t="s">
        <v>231</v>
      </c>
      <c r="B73" t="s">
        <v>232</v>
      </c>
      <c r="C73" t="s">
        <v>100</v>
      </c>
      <c r="D73" t="s">
        <v>233</v>
      </c>
      <c r="E73" t="str" cm="1">
        <f t="array" ref="E73">_xll.BDH($D73,"MTG_GEN_CPR_3M","20090331","20090331","Dts=H")</f>
        <v>#N/A Invalid Field</v>
      </c>
      <c r="F73" t="str" cm="1">
        <f t="array" ref="F73">_xll.BDH($D73,"MTG_GEN_CPR_6M","20090331","20090331","Dts=H")</f>
        <v>#N/A Invalid Field</v>
      </c>
      <c r="G73" t="str" cm="1">
        <f t="array" ref="G73">_xll.BDH($D73,"MTG_GEN_CPR_12M","20090331","20090331","Dts=H")</f>
        <v>#N/A Invalid Field</v>
      </c>
      <c r="H73" t="str" cm="1">
        <f t="array" ref="H73">_xll.BDH($D73,"MTG_GEN_CPR_3M","20090610","20090610","Dts=H")</f>
        <v>#N/A Invalid Field</v>
      </c>
      <c r="I73" t="str" cm="1">
        <f t="array" ref="I73">_xll.BDH($D73,"MTG_GEN_CPR_6M","20090610","20090610","Dts=H")</f>
        <v>#N/A Invalid Field</v>
      </c>
      <c r="J73" t="str" cm="1">
        <f t="array" ref="J73">_xll.BDH($D73,"MTG_GEN_CPR_12M","20090610","20090610","Dts=H")</f>
        <v>#N/A Invalid Field</v>
      </c>
      <c r="K73" t="str" cm="1">
        <f t="array" ref="K73">_xll.BDP("31283H4W2 Mtge","MTG_PREPAY_TYP")</f>
        <v>PSA</v>
      </c>
      <c r="L73" cm="1">
        <f t="array" ref="L73">_xll.BDP(D73,"MTG_PREPAY_SPEED")</f>
        <v>191</v>
      </c>
      <c r="M73" cm="1">
        <f t="array" ref="M73">_xll.BDP(D73,"MTG_PL_PSA_1M ")</f>
        <v>11.3</v>
      </c>
      <c r="N73" cm="1">
        <f t="array" ref="N73">_xll.BDP(D73,"MTG_PL_PSA_3M ")</f>
        <v>715.9</v>
      </c>
      <c r="O73" cm="1">
        <f t="array" ref="O73">_xll.BDP(D73,"MTG_PL_PSA_6M ")</f>
        <v>411.6</v>
      </c>
    </row>
    <row r="74" spans="1:15" x14ac:dyDescent="0.25">
      <c r="A74" t="s">
        <v>234</v>
      </c>
      <c r="B74" t="s">
        <v>235</v>
      </c>
      <c r="C74" t="s">
        <v>100</v>
      </c>
      <c r="D74" t="s">
        <v>236</v>
      </c>
      <c r="E74" t="str" cm="1">
        <f t="array" ref="E74">_xll.BDH($D74,"MTG_GEN_CPR_3M","20090331","20090331","Dts=H")</f>
        <v>#N/A Invalid Field</v>
      </c>
      <c r="F74" t="str" cm="1">
        <f t="array" ref="F74">_xll.BDH($D74,"MTG_GEN_CPR_6M","20090331","20090331","Dts=H")</f>
        <v>#N/A Invalid Field</v>
      </c>
      <c r="G74" t="str" cm="1">
        <f t="array" ref="G74">_xll.BDH($D74,"MTG_GEN_CPR_12M","20090331","20090331","Dts=H")</f>
        <v>#N/A Invalid Field</v>
      </c>
      <c r="H74" t="str" cm="1">
        <f t="array" ref="H74">_xll.BDH($D74,"MTG_GEN_CPR_3M","20090610","20090610","Dts=H")</f>
        <v>#N/A Invalid Field</v>
      </c>
      <c r="I74" t="str" cm="1">
        <f t="array" ref="I74">_xll.BDH($D74,"MTG_GEN_CPR_6M","20090610","20090610","Dts=H")</f>
        <v>#N/A Invalid Field</v>
      </c>
      <c r="J74" t="str" cm="1">
        <f t="array" ref="J74">_xll.BDH($D74,"MTG_GEN_CPR_12M","20090610","20090610","Dts=H")</f>
        <v>#N/A Invalid Field</v>
      </c>
      <c r="K74" t="str" cm="1">
        <f t="array" ref="K74">_xll.BDP("31283H4W2 Mtge","MTG_PREPAY_TYP")</f>
        <v>PSA</v>
      </c>
      <c r="L74" cm="1">
        <f t="array" ref="L74">_xll.BDP(D74,"MTG_PREPAY_SPEED")</f>
        <v>186</v>
      </c>
      <c r="M74" cm="1">
        <f t="array" ref="M74">_xll.BDP(D74,"MTG_PL_PSA_1M ")</f>
        <v>3.6</v>
      </c>
      <c r="N74" cm="1">
        <f t="array" ref="N74">_xll.BDP(D74,"MTG_PL_PSA_3M ")</f>
        <v>3.6</v>
      </c>
      <c r="O74" cm="1">
        <f t="array" ref="O74">_xll.BDP(D74,"MTG_PL_PSA_6M ")</f>
        <v>3.5</v>
      </c>
    </row>
    <row r="75" spans="1:15" x14ac:dyDescent="0.25">
      <c r="A75" t="s">
        <v>237</v>
      </c>
      <c r="B75" t="s">
        <v>238</v>
      </c>
      <c r="C75" t="s">
        <v>100</v>
      </c>
      <c r="D75" t="s">
        <v>239</v>
      </c>
      <c r="E75" t="str" cm="1">
        <f t="array" ref="E75">_xll.BDH($D75,"MTG_GEN_CPR_3M","20090331","20090331","Dts=H")</f>
        <v>#N/A Invalid Field</v>
      </c>
      <c r="F75" t="str" cm="1">
        <f t="array" ref="F75">_xll.BDH($D75,"MTG_GEN_CPR_6M","20090331","20090331","Dts=H")</f>
        <v>#N/A Invalid Field</v>
      </c>
      <c r="G75" t="str" cm="1">
        <f t="array" ref="G75">_xll.BDH($D75,"MTG_GEN_CPR_12M","20090331","20090331","Dts=H")</f>
        <v>#N/A Invalid Field</v>
      </c>
      <c r="H75" t="str" cm="1">
        <f t="array" ref="H75">_xll.BDH($D75,"MTG_GEN_CPR_3M","20090610","20090610","Dts=H")</f>
        <v>#N/A Invalid Field</v>
      </c>
      <c r="I75" t="str" cm="1">
        <f t="array" ref="I75">_xll.BDH($D75,"MTG_GEN_CPR_6M","20090610","20090610","Dts=H")</f>
        <v>#N/A Invalid Field</v>
      </c>
      <c r="J75" t="str" cm="1">
        <f t="array" ref="J75">_xll.BDH($D75,"MTG_GEN_CPR_12M","20090610","20090610","Dts=H")</f>
        <v>#N/A Invalid Field</v>
      </c>
      <c r="K75" t="str" cm="1">
        <f t="array" ref="K75">_xll.BDP("31283H4W2 Mtge","MTG_PREPAY_TYP")</f>
        <v>PSA</v>
      </c>
      <c r="L75" cm="1">
        <f t="array" ref="L75">_xll.BDP(D75,"MTG_PREPAY_SPEED")</f>
        <v>186</v>
      </c>
      <c r="M75" cm="1">
        <f t="array" ref="M75">_xll.BDP(D75,"MTG_PL_PSA_1M ")</f>
        <v>0.5</v>
      </c>
      <c r="N75" cm="1">
        <f t="array" ref="N75">_xll.BDP(D75,"MTG_PL_PSA_3M ")</f>
        <v>0.5</v>
      </c>
      <c r="O75" cm="1">
        <f t="array" ref="O75">_xll.BDP(D75,"MTG_PL_PSA_6M ")</f>
        <v>0.5</v>
      </c>
    </row>
    <row r="76" spans="1:15" x14ac:dyDescent="0.25">
      <c r="A76" t="s">
        <v>240</v>
      </c>
      <c r="B76" t="s">
        <v>241</v>
      </c>
      <c r="C76" t="s">
        <v>100</v>
      </c>
      <c r="D76" t="s">
        <v>242</v>
      </c>
      <c r="E76" t="str" cm="1">
        <f t="array" ref="E76">_xll.BDH($D76,"MTG_GEN_CPR_3M","20090331","20090331","Dts=H")</f>
        <v>#N/A Invalid Field</v>
      </c>
      <c r="F76" t="str" cm="1">
        <f t="array" ref="F76">_xll.BDH($D76,"MTG_GEN_CPR_6M","20090331","20090331","Dts=H")</f>
        <v>#N/A Invalid Field</v>
      </c>
      <c r="G76" t="str" cm="1">
        <f t="array" ref="G76">_xll.BDH($D76,"MTG_GEN_CPR_12M","20090331","20090331","Dts=H")</f>
        <v>#N/A Invalid Field</v>
      </c>
      <c r="H76" t="str" cm="1">
        <f t="array" ref="H76">_xll.BDH($D76,"MTG_GEN_CPR_3M","20090610","20090610","Dts=H")</f>
        <v>#N/A Invalid Field</v>
      </c>
      <c r="I76" t="str" cm="1">
        <f t="array" ref="I76">_xll.BDH($D76,"MTG_GEN_CPR_6M","20090610","20090610","Dts=H")</f>
        <v>#N/A Invalid Field</v>
      </c>
      <c r="J76" t="str" cm="1">
        <f t="array" ref="J76">_xll.BDH($D76,"MTG_GEN_CPR_12M","20090610","20090610","Dts=H")</f>
        <v>#N/A Invalid Field</v>
      </c>
      <c r="K76" t="str" cm="1">
        <f t="array" ref="K76">_xll.BDP("31283H4W2 Mtge","MTG_PREPAY_TYP")</f>
        <v>PSA</v>
      </c>
      <c r="L76" cm="1">
        <f t="array" ref="L76">_xll.BDP(D76,"MTG_PREPAY_SPEED")</f>
        <v>140</v>
      </c>
      <c r="M76" cm="1">
        <f t="array" ref="M76">_xll.BDP(D76,"MTG_PL_PSA_1M ")</f>
        <v>13.8</v>
      </c>
      <c r="N76" cm="1">
        <f t="array" ref="N76">_xll.BDP(D76,"MTG_PL_PSA_3M ")</f>
        <v>17.7</v>
      </c>
      <c r="O76" cm="1">
        <f t="array" ref="O76">_xll.BDP(D76,"MTG_PL_PSA_6M ")</f>
        <v>210.6</v>
      </c>
    </row>
    <row r="77" spans="1:15" x14ac:dyDescent="0.25">
      <c r="A77" t="s">
        <v>243</v>
      </c>
      <c r="B77" t="s">
        <v>244</v>
      </c>
      <c r="C77" t="s">
        <v>100</v>
      </c>
      <c r="D77" t="s">
        <v>245</v>
      </c>
      <c r="E77" t="str" cm="1">
        <f t="array" ref="E77">_xll.BDH($D77,"MTG_GEN_CPR_3M","20090331","20090331","Dts=H")</f>
        <v>#N/A Invalid Field</v>
      </c>
      <c r="F77" t="str" cm="1">
        <f t="array" ref="F77">_xll.BDH($D77,"MTG_GEN_CPR_6M","20090331","20090331","Dts=H")</f>
        <v>#N/A Invalid Field</v>
      </c>
      <c r="G77" t="str" cm="1">
        <f t="array" ref="G77">_xll.BDH($D77,"MTG_GEN_CPR_12M","20090331","20090331","Dts=H")</f>
        <v>#N/A Invalid Field</v>
      </c>
      <c r="H77" t="str" cm="1">
        <f t="array" ref="H77">_xll.BDH($D77,"MTG_GEN_CPR_3M","20090610","20090610","Dts=H")</f>
        <v>#N/A Invalid Field</v>
      </c>
      <c r="I77" t="str" cm="1">
        <f t="array" ref="I77">_xll.BDH($D77,"MTG_GEN_CPR_6M","20090610","20090610","Dts=H")</f>
        <v>#N/A Invalid Field</v>
      </c>
      <c r="J77" t="str" cm="1">
        <f t="array" ref="J77">_xll.BDH($D77,"MTG_GEN_CPR_12M","20090610","20090610","Dts=H")</f>
        <v>#N/A Invalid Field</v>
      </c>
      <c r="K77" t="str" cm="1">
        <f t="array" ref="K77">_xll.BDP("31283H4W2 Mtge","MTG_PREPAY_TYP")</f>
        <v>PSA</v>
      </c>
      <c r="L77" cm="1">
        <f t="array" ref="L77">_xll.BDP(D77,"MTG_PREPAY_SPEED")</f>
        <v>140</v>
      </c>
      <c r="M77" cm="1">
        <f t="array" ref="M77">_xll.BDP(D77,"MTG_PL_PSA_1M ")</f>
        <v>349.3</v>
      </c>
      <c r="N77" cm="1">
        <f t="array" ref="N77">_xll.BDP(D77,"MTG_PL_PSA_3M ")</f>
        <v>145.4</v>
      </c>
      <c r="O77" cm="1">
        <f t="array" ref="O77">_xll.BDP(D77,"MTG_PL_PSA_6M ")</f>
        <v>272.89999999999998</v>
      </c>
    </row>
    <row r="78" spans="1:15" x14ac:dyDescent="0.25">
      <c r="A78" t="s">
        <v>246</v>
      </c>
      <c r="B78" t="s">
        <v>247</v>
      </c>
      <c r="C78" t="s">
        <v>100</v>
      </c>
      <c r="D78" t="s">
        <v>248</v>
      </c>
      <c r="E78" t="str" cm="1">
        <f t="array" ref="E78">_xll.BDH($D78,"MTG_GEN_CPR_3M","20090331","20090331","Dts=H")</f>
        <v>#N/A Invalid Field</v>
      </c>
      <c r="F78" t="str" cm="1">
        <f t="array" ref="F78">_xll.BDH($D78,"MTG_GEN_CPR_6M","20090331","20090331","Dts=H")</f>
        <v>#N/A Invalid Field</v>
      </c>
      <c r="G78" t="str" cm="1">
        <f t="array" ref="G78">_xll.BDH($D78,"MTG_GEN_CPR_12M","20090331","20090331","Dts=H")</f>
        <v>#N/A Invalid Field</v>
      </c>
      <c r="H78" t="str" cm="1">
        <f t="array" ref="H78">_xll.BDH($D78,"MTG_GEN_CPR_3M","20090610","20090610","Dts=H")</f>
        <v>#N/A Invalid Field</v>
      </c>
      <c r="I78" t="str" cm="1">
        <f t="array" ref="I78">_xll.BDH($D78,"MTG_GEN_CPR_6M","20090610","20090610","Dts=H")</f>
        <v>#N/A Invalid Field</v>
      </c>
      <c r="J78" t="str" cm="1">
        <f t="array" ref="J78">_xll.BDH($D78,"MTG_GEN_CPR_12M","20090610","20090610","Dts=H")</f>
        <v>#N/A Invalid Field</v>
      </c>
      <c r="K78" t="str" cm="1">
        <f t="array" ref="K78">_xll.BDP("31283H4W2 Mtge","MTG_PREPAY_TYP")</f>
        <v>PSA</v>
      </c>
      <c r="L78" cm="1">
        <f t="array" ref="L78">_xll.BDP(D78,"MTG_PREPAY_SPEED")</f>
        <v>170</v>
      </c>
      <c r="M78" cm="1">
        <f t="array" ref="M78">_xll.BDP(D78,"MTG_PL_PSA_1M ")</f>
        <v>11.7</v>
      </c>
      <c r="N78" cm="1">
        <f t="array" ref="N78">_xll.BDP(D78,"MTG_PL_PSA_3M ")</f>
        <v>13.4</v>
      </c>
      <c r="O78" cm="1">
        <f t="array" ref="O78">_xll.BDP(D78,"MTG_PL_PSA_6M ")</f>
        <v>287.7</v>
      </c>
    </row>
    <row r="79" spans="1:15" x14ac:dyDescent="0.25">
      <c r="A79" t="s">
        <v>249</v>
      </c>
      <c r="B79" t="s">
        <v>250</v>
      </c>
      <c r="C79" t="s">
        <v>100</v>
      </c>
      <c r="D79" t="s">
        <v>251</v>
      </c>
      <c r="E79" t="str" cm="1">
        <f t="array" ref="E79">_xll.BDH($D79,"MTG_GEN_CPR_3M","20090331","20090331","Dts=H")</f>
        <v>#N/A Invalid Field</v>
      </c>
      <c r="F79" t="str" cm="1">
        <f t="array" ref="F79">_xll.BDH($D79,"MTG_GEN_CPR_6M","20090331","20090331","Dts=H")</f>
        <v>#N/A Invalid Field</v>
      </c>
      <c r="G79" t="str" cm="1">
        <f t="array" ref="G79">_xll.BDH($D79,"MTG_GEN_CPR_12M","20090331","20090331","Dts=H")</f>
        <v>#N/A Invalid Field</v>
      </c>
      <c r="H79" t="str" cm="1">
        <f t="array" ref="H79">_xll.BDH($D79,"MTG_GEN_CPR_3M","20090610","20090610","Dts=H")</f>
        <v>#N/A Invalid Field</v>
      </c>
      <c r="I79" t="str" cm="1">
        <f t="array" ref="I79">_xll.BDH($D79,"MTG_GEN_CPR_6M","20090610","20090610","Dts=H")</f>
        <v>#N/A Invalid Field</v>
      </c>
      <c r="J79" t="str" cm="1">
        <f t="array" ref="J79">_xll.BDH($D79,"MTG_GEN_CPR_12M","20090610","20090610","Dts=H")</f>
        <v>#N/A Invalid Field</v>
      </c>
      <c r="K79" t="str" cm="1">
        <f t="array" ref="K79">_xll.BDP("31283H4W2 Mtge","MTG_PREPAY_TYP")</f>
        <v>PSA</v>
      </c>
      <c r="L79" cm="1">
        <f t="array" ref="L79">_xll.BDP(D79,"MTG_PREPAY_SPEED")</f>
        <v>186</v>
      </c>
      <c r="M79" cm="1">
        <f t="array" ref="M79">_xll.BDP(D79,"MTG_PL_PSA_1M ")</f>
        <v>0.3</v>
      </c>
      <c r="N79" cm="1">
        <f t="array" ref="N79">_xll.BDP(D79,"MTG_PL_PSA_3M ")</f>
        <v>0.3</v>
      </c>
      <c r="O79" cm="1">
        <f t="array" ref="O79">_xll.BDP(D79,"MTG_PL_PSA_6M ")</f>
        <v>0.3</v>
      </c>
    </row>
    <row r="80" spans="1:15" x14ac:dyDescent="0.25">
      <c r="A80" t="s">
        <v>252</v>
      </c>
      <c r="B80" t="s">
        <v>253</v>
      </c>
      <c r="C80" t="s">
        <v>100</v>
      </c>
      <c r="D80" t="s">
        <v>254</v>
      </c>
      <c r="E80" t="str" cm="1">
        <f t="array" ref="E80">_xll.BDH($D80,"MTG_GEN_CPR_3M","20090331","20090331","Dts=H")</f>
        <v>#N/A Invalid Field</v>
      </c>
      <c r="F80" t="str" cm="1">
        <f t="array" ref="F80">_xll.BDH($D80,"MTG_GEN_CPR_6M","20090331","20090331","Dts=H")</f>
        <v>#N/A Invalid Field</v>
      </c>
      <c r="G80" t="str" cm="1">
        <f t="array" ref="G80">_xll.BDH($D80,"MTG_GEN_CPR_12M","20090331","20090331","Dts=H")</f>
        <v>#N/A Invalid Field</v>
      </c>
      <c r="H80" t="str" cm="1">
        <f t="array" ref="H80">_xll.BDH($D80,"MTG_GEN_CPR_3M","20090610","20090610","Dts=H")</f>
        <v>#N/A Invalid Field</v>
      </c>
      <c r="I80" t="str" cm="1">
        <f t="array" ref="I80">_xll.BDH($D80,"MTG_GEN_CPR_6M","20090610","20090610","Dts=H")</f>
        <v>#N/A Invalid Field</v>
      </c>
      <c r="J80" t="str" cm="1">
        <f t="array" ref="J80">_xll.BDH($D80,"MTG_GEN_CPR_12M","20090610","20090610","Dts=H")</f>
        <v>#N/A Invalid Field</v>
      </c>
      <c r="K80" t="str" cm="1">
        <f t="array" ref="K80">_xll.BDP("31283H4W2 Mtge","MTG_PREPAY_TYP")</f>
        <v>PSA</v>
      </c>
      <c r="L80" cm="1">
        <f t="array" ref="L80">_xll.BDP(D80,"MTG_PREPAY_SPEED")</f>
        <v>0</v>
      </c>
      <c r="M80" cm="1">
        <f t="array" ref="M80">_xll.BDP(D80,"MTG_PL_PSA_1M ")</f>
        <v>-106.1</v>
      </c>
      <c r="N80" cm="1">
        <f t="array" ref="N80">_xll.BDP(D80,"MTG_PL_PSA_3M ")</f>
        <v>0</v>
      </c>
      <c r="O80" cm="1">
        <f t="array" ref="O80">_xll.BDP(D80,"MTG_PL_PSA_6M ")</f>
        <v>0</v>
      </c>
    </row>
    <row r="81" spans="1:15" x14ac:dyDescent="0.25">
      <c r="A81" t="s">
        <v>255</v>
      </c>
      <c r="B81" t="s">
        <v>256</v>
      </c>
      <c r="C81" t="s">
        <v>100</v>
      </c>
      <c r="D81" t="s">
        <v>257</v>
      </c>
      <c r="E81" t="str" cm="1">
        <f t="array" ref="E81">_xll.BDH($D81,"MTG_GEN_CPR_3M","20090331","20090331","Dts=H")</f>
        <v>#N/A Invalid Field</v>
      </c>
      <c r="F81" t="str" cm="1">
        <f t="array" ref="F81">_xll.BDH($D81,"MTG_GEN_CPR_6M","20090331","20090331","Dts=H")</f>
        <v>#N/A Invalid Field</v>
      </c>
      <c r="G81" t="str" cm="1">
        <f t="array" ref="G81">_xll.BDH($D81,"MTG_GEN_CPR_12M","20090331","20090331","Dts=H")</f>
        <v>#N/A Invalid Field</v>
      </c>
      <c r="H81" t="str" cm="1">
        <f t="array" ref="H81">_xll.BDH($D81,"MTG_GEN_CPR_3M","20090610","20090610","Dts=H")</f>
        <v>#N/A Invalid Field</v>
      </c>
      <c r="I81" t="str" cm="1">
        <f t="array" ref="I81">_xll.BDH($D81,"MTG_GEN_CPR_6M","20090610","20090610","Dts=H")</f>
        <v>#N/A Invalid Field</v>
      </c>
      <c r="J81" t="str" cm="1">
        <f t="array" ref="J81">_xll.BDH($D81,"MTG_GEN_CPR_12M","20090610","20090610","Dts=H")</f>
        <v>#N/A Invalid Field</v>
      </c>
      <c r="K81" t="str" cm="1">
        <f t="array" ref="K81">_xll.BDP("31283H4W2 Mtge","MTG_PREPAY_TYP")</f>
        <v>PSA</v>
      </c>
      <c r="L81" cm="1">
        <f t="array" ref="L81">_xll.BDP(D81,"MTG_PREPAY_SPEED")</f>
        <v>110</v>
      </c>
      <c r="M81" cm="1">
        <f t="array" ref="M81">_xll.BDP(D81,"MTG_PL_PSA_1M ")</f>
        <v>41.5</v>
      </c>
      <c r="N81" cm="1">
        <f t="array" ref="N81">_xll.BDP(D81,"MTG_PL_PSA_3M ")</f>
        <v>68.400000000000006</v>
      </c>
      <c r="O81" cm="1">
        <f t="array" ref="O81">_xll.BDP(D81,"MTG_PL_PSA_6M ")</f>
        <v>90.9</v>
      </c>
    </row>
    <row r="82" spans="1:15" x14ac:dyDescent="0.25">
      <c r="A82" t="s">
        <v>258</v>
      </c>
      <c r="B82" t="s">
        <v>259</v>
      </c>
      <c r="C82" t="s">
        <v>100</v>
      </c>
      <c r="D82" t="s">
        <v>260</v>
      </c>
      <c r="E82" t="str" cm="1">
        <f t="array" ref="E82">_xll.BDH($D82,"MTG_GEN_CPR_3M","20090331","20090331","Dts=H")</f>
        <v>#N/A Invalid Field</v>
      </c>
      <c r="F82" t="str" cm="1">
        <f t="array" ref="F82">_xll.BDH($D82,"MTG_GEN_CPR_6M","20090331","20090331","Dts=H")</f>
        <v>#N/A Invalid Field</v>
      </c>
      <c r="G82" t="str" cm="1">
        <f t="array" ref="G82">_xll.BDH($D82,"MTG_GEN_CPR_12M","20090331","20090331","Dts=H")</f>
        <v>#N/A Invalid Field</v>
      </c>
      <c r="H82" t="str" cm="1">
        <f t="array" ref="H82">_xll.BDH($D82,"MTG_GEN_CPR_3M","20090610","20090610","Dts=H")</f>
        <v>#N/A Invalid Field</v>
      </c>
      <c r="I82" t="str" cm="1">
        <f t="array" ref="I82">_xll.BDH($D82,"MTG_GEN_CPR_6M","20090610","20090610","Dts=H")</f>
        <v>#N/A Invalid Field</v>
      </c>
      <c r="J82" t="str" cm="1">
        <f t="array" ref="J82">_xll.BDH($D82,"MTG_GEN_CPR_12M","20090610","20090610","Dts=H")</f>
        <v>#N/A Invalid Field</v>
      </c>
      <c r="K82" t="str" cm="1">
        <f t="array" ref="K82">_xll.BDP("31283H4W2 Mtge","MTG_PREPAY_TYP")</f>
        <v>PSA</v>
      </c>
      <c r="L82" t="str" cm="1">
        <f t="array" ref="L82">_xll.BDP(D82,"MTG_PREPAY_SPEED")</f>
        <v>#N/A N/A</v>
      </c>
      <c r="M82" cm="1">
        <f t="array" ref="M82">_xll.BDP(D82,"MTG_PL_PSA_1M ")</f>
        <v>0</v>
      </c>
      <c r="N82" cm="1">
        <f t="array" ref="N82">_xll.BDP(D82,"MTG_PL_PSA_3M ")</f>
        <v>255.9</v>
      </c>
      <c r="O82" cm="1">
        <f t="array" ref="O82">_xll.BDP(D82,"MTG_PL_PSA_6M ")</f>
        <v>972.3</v>
      </c>
    </row>
    <row r="83" spans="1:15" x14ac:dyDescent="0.25">
      <c r="A83" t="s">
        <v>261</v>
      </c>
      <c r="B83" t="s">
        <v>262</v>
      </c>
      <c r="C83" t="s">
        <v>100</v>
      </c>
      <c r="D83" t="s">
        <v>263</v>
      </c>
      <c r="E83" t="str" cm="1">
        <f t="array" ref="E83">_xll.BDH($D83,"MTG_GEN_CPR_3M","20090331","20090331","Dts=H")</f>
        <v>#N/A Invalid Field</v>
      </c>
      <c r="F83" t="str" cm="1">
        <f t="array" ref="F83">_xll.BDH($D83,"MTG_GEN_CPR_6M","20090331","20090331","Dts=H")</f>
        <v>#N/A Invalid Field</v>
      </c>
      <c r="G83" t="str" cm="1">
        <f t="array" ref="G83">_xll.BDH($D83,"MTG_GEN_CPR_12M","20090331","20090331","Dts=H")</f>
        <v>#N/A Invalid Field</v>
      </c>
      <c r="H83" t="str" cm="1">
        <f t="array" ref="H83">_xll.BDH($D83,"MTG_GEN_CPR_3M","20090610","20090610","Dts=H")</f>
        <v>#N/A Invalid Field</v>
      </c>
      <c r="I83" t="str" cm="1">
        <f t="array" ref="I83">_xll.BDH($D83,"MTG_GEN_CPR_6M","20090610","20090610","Dts=H")</f>
        <v>#N/A Invalid Field</v>
      </c>
      <c r="J83" t="str" cm="1">
        <f t="array" ref="J83">_xll.BDH($D83,"MTG_GEN_CPR_12M","20090610","20090610","Dts=H")</f>
        <v>#N/A Invalid Field</v>
      </c>
      <c r="K83" t="str" cm="1">
        <f t="array" ref="K83">_xll.BDP("31283H4W2 Mtge","MTG_PREPAY_TYP")</f>
        <v>PSA</v>
      </c>
      <c r="L83" t="str" cm="1">
        <f t="array" ref="L83">_xll.BDP(D83,"MTG_PREPAY_SPEED")</f>
        <v>#N/A N/A</v>
      </c>
      <c r="M83" cm="1">
        <f t="array" ref="M83">_xll.BDP(D83,"MTG_PL_PSA_1M ")</f>
        <v>0</v>
      </c>
      <c r="N83" cm="1">
        <f t="array" ref="N83">_xll.BDP(D83,"MTG_PL_PSA_3M ")</f>
        <v>911.6</v>
      </c>
      <c r="O83" cm="1">
        <f t="array" ref="O83">_xll.BDP(D83,"MTG_PL_PSA_6M ")</f>
        <v>1117.5999999999999</v>
      </c>
    </row>
    <row r="84" spans="1:15" x14ac:dyDescent="0.25">
      <c r="A84" t="s">
        <v>264</v>
      </c>
      <c r="B84" t="s">
        <v>265</v>
      </c>
      <c r="C84" t="s">
        <v>100</v>
      </c>
      <c r="D84" t="s">
        <v>266</v>
      </c>
      <c r="E84" t="str" cm="1">
        <f t="array" ref="E84">_xll.BDH($D84,"MTG_GEN_CPR_3M","20090331","20090331","Dts=H")</f>
        <v>#N/A Invalid Field</v>
      </c>
      <c r="F84" t="str" cm="1">
        <f t="array" ref="F84">_xll.BDH($D84,"MTG_GEN_CPR_6M","20090331","20090331","Dts=H")</f>
        <v>#N/A Invalid Field</v>
      </c>
      <c r="G84" t="str" cm="1">
        <f t="array" ref="G84">_xll.BDH($D84,"MTG_GEN_CPR_12M","20090331","20090331","Dts=H")</f>
        <v>#N/A Invalid Field</v>
      </c>
      <c r="H84" t="str" cm="1">
        <f t="array" ref="H84">_xll.BDH($D84,"MTG_GEN_CPR_3M","20090610","20090610","Dts=H")</f>
        <v>#N/A Invalid Field</v>
      </c>
      <c r="I84" t="str" cm="1">
        <f t="array" ref="I84">_xll.BDH($D84,"MTG_GEN_CPR_6M","20090610","20090610","Dts=H")</f>
        <v>#N/A Invalid Field</v>
      </c>
      <c r="J84" t="str" cm="1">
        <f t="array" ref="J84">_xll.BDH($D84,"MTG_GEN_CPR_12M","20090610","20090610","Dts=H")</f>
        <v>#N/A Invalid Field</v>
      </c>
      <c r="K84" t="str" cm="1">
        <f t="array" ref="K84">_xll.BDP("31283H4W2 Mtge","MTG_PREPAY_TYP")</f>
        <v>PSA</v>
      </c>
      <c r="L84" cm="1">
        <f t="array" ref="L84">_xll.BDP(D84,"MTG_PREPAY_SPEED")</f>
        <v>140</v>
      </c>
      <c r="M84" cm="1">
        <f t="array" ref="M84">_xll.BDP(D84,"MTG_PL_PSA_1M ")</f>
        <v>171</v>
      </c>
      <c r="N84" cm="1">
        <f t="array" ref="N84">_xll.BDP(D84,"MTG_PL_PSA_3M ")</f>
        <v>125.7</v>
      </c>
      <c r="O84" cm="1">
        <f t="array" ref="O84">_xll.BDP(D84,"MTG_PL_PSA_6M ")</f>
        <v>115</v>
      </c>
    </row>
    <row r="85" spans="1:15" x14ac:dyDescent="0.25">
      <c r="A85" t="s">
        <v>267</v>
      </c>
      <c r="B85" t="s">
        <v>268</v>
      </c>
      <c r="C85" t="s">
        <v>100</v>
      </c>
      <c r="D85" t="s">
        <v>269</v>
      </c>
      <c r="E85" t="str" cm="1">
        <f t="array" ref="E85">_xll.BDH($D85,"MTG_GEN_CPR_3M","20090331","20090331","Dts=H")</f>
        <v>#N/A Invalid Field</v>
      </c>
      <c r="F85" t="str" cm="1">
        <f t="array" ref="F85">_xll.BDH($D85,"MTG_GEN_CPR_6M","20090331","20090331","Dts=H")</f>
        <v>#N/A Invalid Field</v>
      </c>
      <c r="G85" t="str" cm="1">
        <f t="array" ref="G85">_xll.BDH($D85,"MTG_GEN_CPR_12M","20090331","20090331","Dts=H")</f>
        <v>#N/A Invalid Field</v>
      </c>
      <c r="H85" t="str" cm="1">
        <f t="array" ref="H85">_xll.BDH($D85,"MTG_GEN_CPR_3M","20090610","20090610","Dts=H")</f>
        <v>#N/A Invalid Field</v>
      </c>
      <c r="I85" t="str" cm="1">
        <f t="array" ref="I85">_xll.BDH($D85,"MTG_GEN_CPR_6M","20090610","20090610","Dts=H")</f>
        <v>#N/A Invalid Field</v>
      </c>
      <c r="J85" t="str" cm="1">
        <f t="array" ref="J85">_xll.BDH($D85,"MTG_GEN_CPR_12M","20090610","20090610","Dts=H")</f>
        <v>#N/A Invalid Field</v>
      </c>
      <c r="K85" t="str" cm="1">
        <f t="array" ref="K85">_xll.BDP("31283H4W2 Mtge","MTG_PREPAY_TYP")</f>
        <v>PSA</v>
      </c>
      <c r="L85" cm="1">
        <f t="array" ref="L85">_xll.BDP(D85,"MTG_PREPAY_SPEED")</f>
        <v>186</v>
      </c>
      <c r="M85" cm="1">
        <f t="array" ref="M85">_xll.BDP(D85,"MTG_PL_PSA_1M ")</f>
        <v>82.7</v>
      </c>
      <c r="N85" cm="1">
        <f t="array" ref="N85">_xll.BDP(D85,"MTG_PL_PSA_3M ")</f>
        <v>86.6</v>
      </c>
      <c r="O85" cm="1">
        <f t="array" ref="O85">_xll.BDP(D85,"MTG_PL_PSA_6M ")</f>
        <v>86.1</v>
      </c>
    </row>
    <row r="86" spans="1:15" x14ac:dyDescent="0.25">
      <c r="A86" t="s">
        <v>270</v>
      </c>
      <c r="B86" t="s">
        <v>271</v>
      </c>
      <c r="C86" t="s">
        <v>100</v>
      </c>
      <c r="D86" t="s">
        <v>272</v>
      </c>
      <c r="E86" t="str" cm="1">
        <f t="array" ref="E86">_xll.BDH($D86,"MTG_GEN_CPR_3M","20090331","20090331","Dts=H")</f>
        <v>#N/A Invalid Field</v>
      </c>
      <c r="F86" t="str" cm="1">
        <f t="array" ref="F86">_xll.BDH($D86,"MTG_GEN_CPR_6M","20090331","20090331","Dts=H")</f>
        <v>#N/A Invalid Field</v>
      </c>
      <c r="G86" t="str" cm="1">
        <f t="array" ref="G86">_xll.BDH($D86,"MTG_GEN_CPR_12M","20090331","20090331","Dts=H")</f>
        <v>#N/A Invalid Field</v>
      </c>
      <c r="H86" t="str" cm="1">
        <f t="array" ref="H86">_xll.BDH($D86,"MTG_GEN_CPR_3M","20090610","20090610","Dts=H")</f>
        <v>#N/A Invalid Field</v>
      </c>
      <c r="I86" t="str" cm="1">
        <f t="array" ref="I86">_xll.BDH($D86,"MTG_GEN_CPR_6M","20090610","20090610","Dts=H")</f>
        <v>#N/A Invalid Field</v>
      </c>
      <c r="J86" t="str" cm="1">
        <f t="array" ref="J86">_xll.BDH($D86,"MTG_GEN_CPR_12M","20090610","20090610","Dts=H")</f>
        <v>#N/A Invalid Field</v>
      </c>
      <c r="K86" t="str" cm="1">
        <f t="array" ref="K86">_xll.BDP("31283H4W2 Mtge","MTG_PREPAY_TYP")</f>
        <v>PSA</v>
      </c>
      <c r="L86" cm="1">
        <f t="array" ref="L86">_xll.BDP(D86,"MTG_PREPAY_SPEED")</f>
        <v>170</v>
      </c>
      <c r="M86" cm="1">
        <f t="array" ref="M86">_xll.BDP(D86,"MTG_PL_PSA_1M ")</f>
        <v>48</v>
      </c>
      <c r="N86" cm="1">
        <f t="array" ref="N86">_xll.BDP(D86,"MTG_PL_PSA_3M ")</f>
        <v>70.099999999999994</v>
      </c>
      <c r="O86" cm="1">
        <f t="array" ref="O86">_xll.BDP(D86,"MTG_PL_PSA_6M ")</f>
        <v>90.4</v>
      </c>
    </row>
    <row r="87" spans="1:15" x14ac:dyDescent="0.25">
      <c r="A87" t="s">
        <v>273</v>
      </c>
      <c r="B87" t="s">
        <v>274</v>
      </c>
      <c r="C87" t="s">
        <v>100</v>
      </c>
      <c r="D87" t="s">
        <v>275</v>
      </c>
      <c r="E87" t="str" cm="1">
        <f t="array" ref="E87">_xll.BDH($D87,"MTG_GEN_CPR_3M","20090331","20090331","Dts=H")</f>
        <v>#N/A Invalid Field</v>
      </c>
      <c r="F87" t="str" cm="1">
        <f t="array" ref="F87">_xll.BDH($D87,"MTG_GEN_CPR_6M","20090331","20090331","Dts=H")</f>
        <v>#N/A Invalid Field</v>
      </c>
      <c r="G87" t="str" cm="1">
        <f t="array" ref="G87">_xll.BDH($D87,"MTG_GEN_CPR_12M","20090331","20090331","Dts=H")</f>
        <v>#N/A Invalid Field</v>
      </c>
      <c r="H87" t="str" cm="1">
        <f t="array" ref="H87">_xll.BDH($D87,"MTG_GEN_CPR_3M","20090610","20090610","Dts=H")</f>
        <v>#N/A Invalid Field</v>
      </c>
      <c r="I87" t="str" cm="1">
        <f t="array" ref="I87">_xll.BDH($D87,"MTG_GEN_CPR_6M","20090610","20090610","Dts=H")</f>
        <v>#N/A Invalid Field</v>
      </c>
      <c r="J87" t="str" cm="1">
        <f t="array" ref="J87">_xll.BDH($D87,"MTG_GEN_CPR_12M","20090610","20090610","Dts=H")</f>
        <v>#N/A Invalid Field</v>
      </c>
      <c r="K87" t="str" cm="1">
        <f t="array" ref="K87">_xll.BDP("31283H4W2 Mtge","MTG_PREPAY_TYP")</f>
        <v>PSA</v>
      </c>
      <c r="L87" cm="1">
        <f t="array" ref="L87">_xll.BDP(D87,"MTG_PREPAY_SPEED")</f>
        <v>170</v>
      </c>
      <c r="M87" cm="1">
        <f t="array" ref="M87">_xll.BDP(D87,"MTG_PL_PSA_1M ")</f>
        <v>119.4</v>
      </c>
      <c r="N87" cm="1">
        <f t="array" ref="N87">_xll.BDP(D87,"MTG_PL_PSA_3M ")</f>
        <v>102.5</v>
      </c>
      <c r="O87" cm="1">
        <f t="array" ref="O87">_xll.BDP(D87,"MTG_PL_PSA_6M ")</f>
        <v>116.8</v>
      </c>
    </row>
    <row r="88" spans="1:15" x14ac:dyDescent="0.25">
      <c r="A88" t="s">
        <v>276</v>
      </c>
      <c r="B88" t="s">
        <v>277</v>
      </c>
      <c r="C88" t="s">
        <v>100</v>
      </c>
      <c r="D88" t="s">
        <v>278</v>
      </c>
      <c r="E88" t="str" cm="1">
        <f t="array" ref="E88">_xll.BDH($D88,"MTG_GEN_CPR_3M","20090331","20090331","Dts=H")</f>
        <v>#N/A Invalid Field</v>
      </c>
      <c r="F88" t="str" cm="1">
        <f t="array" ref="F88">_xll.BDH($D88,"MTG_GEN_CPR_6M","20090331","20090331","Dts=H")</f>
        <v>#N/A Invalid Field</v>
      </c>
      <c r="G88" t="str" cm="1">
        <f t="array" ref="G88">_xll.BDH($D88,"MTG_GEN_CPR_12M","20090331","20090331","Dts=H")</f>
        <v>#N/A Invalid Field</v>
      </c>
      <c r="H88" t="str" cm="1">
        <f t="array" ref="H88">_xll.BDH($D88,"MTG_GEN_CPR_3M","20090610","20090610","Dts=H")</f>
        <v>#N/A Invalid Field</v>
      </c>
      <c r="I88" t="str" cm="1">
        <f t="array" ref="I88">_xll.BDH($D88,"MTG_GEN_CPR_6M","20090610","20090610","Dts=H")</f>
        <v>#N/A Invalid Field</v>
      </c>
      <c r="J88" t="str" cm="1">
        <f t="array" ref="J88">_xll.BDH($D88,"MTG_GEN_CPR_12M","20090610","20090610","Dts=H")</f>
        <v>#N/A Invalid Field</v>
      </c>
      <c r="K88" t="str" cm="1">
        <f t="array" ref="K88">_xll.BDP("31283H4W2 Mtge","MTG_PREPAY_TYP")</f>
        <v>PSA</v>
      </c>
      <c r="L88" cm="1">
        <f t="array" ref="L88">_xll.BDP(D88,"MTG_PREPAY_SPEED")</f>
        <v>186</v>
      </c>
      <c r="M88" cm="1">
        <f t="array" ref="M88">_xll.BDP(D88,"MTG_PL_PSA_1M ")</f>
        <v>28.2</v>
      </c>
      <c r="N88" cm="1">
        <f t="array" ref="N88">_xll.BDP(D88,"MTG_PL_PSA_3M ")</f>
        <v>25.8</v>
      </c>
      <c r="O88" cm="1">
        <f t="array" ref="O88">_xll.BDP(D88,"MTG_PL_PSA_6M ")</f>
        <v>84.5</v>
      </c>
    </row>
    <row r="89" spans="1:15" x14ac:dyDescent="0.25">
      <c r="A89" t="s">
        <v>279</v>
      </c>
      <c r="B89" t="s">
        <v>280</v>
      </c>
      <c r="C89" t="s">
        <v>100</v>
      </c>
      <c r="D89" t="s">
        <v>281</v>
      </c>
      <c r="E89" t="str" cm="1">
        <f t="array" ref="E89">_xll.BDH($D89,"MTG_GEN_CPR_3M","20090331","20090331","Dts=H")</f>
        <v>#N/A Invalid Field</v>
      </c>
      <c r="F89" t="str" cm="1">
        <f t="array" ref="F89">_xll.BDH($D89,"MTG_GEN_CPR_6M","20090331","20090331","Dts=H")</f>
        <v>#N/A Invalid Field</v>
      </c>
      <c r="G89" t="str" cm="1">
        <f t="array" ref="G89">_xll.BDH($D89,"MTG_GEN_CPR_12M","20090331","20090331","Dts=H")</f>
        <v>#N/A Invalid Field</v>
      </c>
      <c r="H89" t="str" cm="1">
        <f t="array" ref="H89">_xll.BDH($D89,"MTG_GEN_CPR_3M","20090610","20090610","Dts=H")</f>
        <v>#N/A Invalid Field</v>
      </c>
      <c r="I89" t="str" cm="1">
        <f t="array" ref="I89">_xll.BDH($D89,"MTG_GEN_CPR_6M","20090610","20090610","Dts=H")</f>
        <v>#N/A Invalid Field</v>
      </c>
      <c r="J89" t="str" cm="1">
        <f t="array" ref="J89">_xll.BDH($D89,"MTG_GEN_CPR_12M","20090610","20090610","Dts=H")</f>
        <v>#N/A Invalid Field</v>
      </c>
      <c r="K89" t="str" cm="1">
        <f t="array" ref="K89">_xll.BDP("31283H4W2 Mtge","MTG_PREPAY_TYP")</f>
        <v>PSA</v>
      </c>
      <c r="L89" cm="1">
        <f t="array" ref="L89">_xll.BDP(D89,"MTG_PREPAY_SPEED")</f>
        <v>170</v>
      </c>
      <c r="M89" cm="1">
        <f t="array" ref="M89">_xll.BDP(D89,"MTG_PL_PSA_1M ")</f>
        <v>107.8</v>
      </c>
      <c r="N89" cm="1">
        <f t="array" ref="N89">_xll.BDP(D89,"MTG_PL_PSA_3M ")</f>
        <v>227.7</v>
      </c>
      <c r="O89" cm="1">
        <f t="array" ref="O89">_xll.BDP(D89,"MTG_PL_PSA_6M ")</f>
        <v>166.1</v>
      </c>
    </row>
    <row r="90" spans="1:15" x14ac:dyDescent="0.25">
      <c r="A90" t="s">
        <v>282</v>
      </c>
      <c r="B90" t="s">
        <v>283</v>
      </c>
      <c r="C90" t="s">
        <v>100</v>
      </c>
      <c r="D90" t="s">
        <v>284</v>
      </c>
      <c r="E90" t="str" cm="1">
        <f t="array" ref="E90">_xll.BDH($D90,"MTG_GEN_CPR_3M","20090331","20090331","Dts=H")</f>
        <v>#N/A Invalid Field</v>
      </c>
      <c r="F90" t="str" cm="1">
        <f t="array" ref="F90">_xll.BDH($D90,"MTG_GEN_CPR_6M","20090331","20090331","Dts=H")</f>
        <v>#N/A Invalid Field</v>
      </c>
      <c r="G90" t="str" cm="1">
        <f t="array" ref="G90">_xll.BDH($D90,"MTG_GEN_CPR_12M","20090331","20090331","Dts=H")</f>
        <v>#N/A Invalid Field</v>
      </c>
      <c r="H90" t="str" cm="1">
        <f t="array" ref="H90">_xll.BDH($D90,"MTG_GEN_CPR_3M","20090610","20090610","Dts=H")</f>
        <v>#N/A Invalid Field</v>
      </c>
      <c r="I90" t="str" cm="1">
        <f t="array" ref="I90">_xll.BDH($D90,"MTG_GEN_CPR_6M","20090610","20090610","Dts=H")</f>
        <v>#N/A Invalid Field</v>
      </c>
      <c r="J90" t="str" cm="1">
        <f t="array" ref="J90">_xll.BDH($D90,"MTG_GEN_CPR_12M","20090610","20090610","Dts=H")</f>
        <v>#N/A Invalid Field</v>
      </c>
      <c r="K90" t="str" cm="1">
        <f t="array" ref="K90">_xll.BDP("31283H4W2 Mtge","MTG_PREPAY_TYP")</f>
        <v>PSA</v>
      </c>
      <c r="L90" cm="1">
        <f t="array" ref="L90">_xll.BDP(D90,"MTG_PREPAY_SPEED")</f>
        <v>170</v>
      </c>
      <c r="M90" cm="1">
        <f t="array" ref="M90">_xll.BDP(D90,"MTG_PL_PSA_1M ")</f>
        <v>84.2</v>
      </c>
      <c r="N90" cm="1">
        <f t="array" ref="N90">_xll.BDP(D90,"MTG_PL_PSA_3M ")</f>
        <v>83.6</v>
      </c>
      <c r="O90" cm="1">
        <f t="array" ref="O90">_xll.BDP(D90,"MTG_PL_PSA_6M ")</f>
        <v>136.30000000000001</v>
      </c>
    </row>
    <row r="91" spans="1:15" x14ac:dyDescent="0.25">
      <c r="A91" t="s">
        <v>285</v>
      </c>
      <c r="B91" t="s">
        <v>286</v>
      </c>
      <c r="C91" t="s">
        <v>100</v>
      </c>
      <c r="D91" t="s">
        <v>287</v>
      </c>
      <c r="E91" t="str" cm="1">
        <f t="array" ref="E91">_xll.BDH($D91,"MTG_GEN_CPR_3M","20090331","20090331","Dts=H")</f>
        <v>#N/A Invalid Field</v>
      </c>
      <c r="F91" t="str" cm="1">
        <f t="array" ref="F91">_xll.BDH($D91,"MTG_GEN_CPR_6M","20090331","20090331","Dts=H")</f>
        <v>#N/A Invalid Field</v>
      </c>
      <c r="G91" t="str" cm="1">
        <f t="array" ref="G91">_xll.BDH($D91,"MTG_GEN_CPR_12M","20090331","20090331","Dts=H")</f>
        <v>#N/A Invalid Field</v>
      </c>
      <c r="H91" t="str" cm="1">
        <f t="array" ref="H91">_xll.BDH($D91,"MTG_GEN_CPR_3M","20090610","20090610","Dts=H")</f>
        <v>#N/A Invalid Field</v>
      </c>
      <c r="I91" t="str" cm="1">
        <f t="array" ref="I91">_xll.BDH($D91,"MTG_GEN_CPR_6M","20090610","20090610","Dts=H")</f>
        <v>#N/A Invalid Field</v>
      </c>
      <c r="J91" t="str" cm="1">
        <f t="array" ref="J91">_xll.BDH($D91,"MTG_GEN_CPR_12M","20090610","20090610","Dts=H")</f>
        <v>#N/A Invalid Field</v>
      </c>
      <c r="K91" t="str" cm="1">
        <f t="array" ref="K91">_xll.BDP("31283H4W2 Mtge","MTG_PREPAY_TYP")</f>
        <v>PSA</v>
      </c>
      <c r="L91" cm="1">
        <f t="array" ref="L91">_xll.BDP(D91,"MTG_PREPAY_SPEED")</f>
        <v>186</v>
      </c>
      <c r="M91" cm="1">
        <f t="array" ref="M91">_xll.BDP(D91,"MTG_PL_PSA_1M ")</f>
        <v>3.5</v>
      </c>
      <c r="N91" cm="1">
        <f t="array" ref="N91">_xll.BDP(D91,"MTG_PL_PSA_3M ")</f>
        <v>3.4</v>
      </c>
      <c r="O91" cm="1">
        <f t="array" ref="O91">_xll.BDP(D91,"MTG_PL_PSA_6M ")</f>
        <v>7.3</v>
      </c>
    </row>
    <row r="92" spans="1:15" x14ac:dyDescent="0.25">
      <c r="A92" t="s">
        <v>288</v>
      </c>
      <c r="B92" t="s">
        <v>289</v>
      </c>
      <c r="C92" t="s">
        <v>100</v>
      </c>
      <c r="D92" t="s">
        <v>290</v>
      </c>
      <c r="E92" t="str" cm="1">
        <f t="array" ref="E92">_xll.BDH($D92,"MTG_GEN_CPR_3M","20090331","20090331","Dts=H")</f>
        <v>#N/A Invalid Field</v>
      </c>
      <c r="F92" t="str" cm="1">
        <f t="array" ref="F92">_xll.BDH($D92,"MTG_GEN_CPR_6M","20090331","20090331","Dts=H")</f>
        <v>#N/A Invalid Field</v>
      </c>
      <c r="G92" t="str" cm="1">
        <f t="array" ref="G92">_xll.BDH($D92,"MTG_GEN_CPR_12M","20090331","20090331","Dts=H")</f>
        <v>#N/A Invalid Field</v>
      </c>
      <c r="H92" t="str" cm="1">
        <f t="array" ref="H92">_xll.BDH($D92,"MTG_GEN_CPR_3M","20090610","20090610","Dts=H")</f>
        <v>#N/A Invalid Field</v>
      </c>
      <c r="I92" t="str" cm="1">
        <f t="array" ref="I92">_xll.BDH($D92,"MTG_GEN_CPR_6M","20090610","20090610","Dts=H")</f>
        <v>#N/A Invalid Field</v>
      </c>
      <c r="J92" t="str" cm="1">
        <f t="array" ref="J92">_xll.BDH($D92,"MTG_GEN_CPR_12M","20090610","20090610","Dts=H")</f>
        <v>#N/A Invalid Field</v>
      </c>
      <c r="K92" t="str" cm="1">
        <f t="array" ref="K92">_xll.BDP("31283H4W2 Mtge","MTG_PREPAY_TYP")</f>
        <v>PSA</v>
      </c>
      <c r="L92" t="str" cm="1">
        <f t="array" ref="L92">_xll.BDP(D92,"MTG_PREPAY_SPEED")</f>
        <v>#N/A N/A</v>
      </c>
      <c r="M92" cm="1">
        <f t="array" ref="M92">_xll.BDP(D92,"MTG_PL_PSA_1M ")</f>
        <v>0</v>
      </c>
      <c r="N92" cm="1">
        <f t="array" ref="N92">_xll.BDP(D92,"MTG_PL_PSA_3M ")</f>
        <v>1529.8</v>
      </c>
      <c r="O92" cm="1">
        <f t="array" ref="O92">_xll.BDP(D92,"MTG_PL_PSA_6M ")</f>
        <v>1442.5</v>
      </c>
    </row>
    <row r="93" spans="1:15" x14ac:dyDescent="0.25">
      <c r="A93" t="s">
        <v>291</v>
      </c>
      <c r="B93" t="s">
        <v>292</v>
      </c>
      <c r="C93" t="s">
        <v>100</v>
      </c>
      <c r="D93" t="s">
        <v>293</v>
      </c>
      <c r="E93" t="str" cm="1">
        <f t="array" ref="E93">_xll.BDH($D93,"MTG_GEN_CPR_3M","20090331","20090331","Dts=H")</f>
        <v>#N/A Invalid Field</v>
      </c>
      <c r="F93" t="str" cm="1">
        <f t="array" ref="F93">_xll.BDH($D93,"MTG_GEN_CPR_6M","20090331","20090331","Dts=H")</f>
        <v>#N/A Invalid Field</v>
      </c>
      <c r="G93" t="str" cm="1">
        <f t="array" ref="G93">_xll.BDH($D93,"MTG_GEN_CPR_12M","20090331","20090331","Dts=H")</f>
        <v>#N/A Invalid Field</v>
      </c>
      <c r="H93" t="str" cm="1">
        <f t="array" ref="H93">_xll.BDH($D93,"MTG_GEN_CPR_3M","20090610","20090610","Dts=H")</f>
        <v>#N/A Invalid Field</v>
      </c>
      <c r="I93" t="str" cm="1">
        <f t="array" ref="I93">_xll.BDH($D93,"MTG_GEN_CPR_6M","20090610","20090610","Dts=H")</f>
        <v>#N/A Invalid Field</v>
      </c>
      <c r="J93" t="str" cm="1">
        <f t="array" ref="J93">_xll.BDH($D93,"MTG_GEN_CPR_12M","20090610","20090610","Dts=H")</f>
        <v>#N/A Invalid Field</v>
      </c>
      <c r="K93" t="str" cm="1">
        <f t="array" ref="K93">_xll.BDP("31283H4W2 Mtge","MTG_PREPAY_TYP")</f>
        <v>PSA</v>
      </c>
      <c r="L93" t="str" cm="1">
        <f t="array" ref="L93">_xll.BDP(D93,"MTG_PREPAY_SPEED")</f>
        <v>#N/A N/A</v>
      </c>
      <c r="M93" cm="1">
        <f t="array" ref="M93">_xll.BDP(D93,"MTG_PL_PSA_1M ")</f>
        <v>0</v>
      </c>
      <c r="N93" cm="1">
        <f t="array" ref="N93">_xll.BDP(D93,"MTG_PL_PSA_3M ")</f>
        <v>1236.5999999999999</v>
      </c>
      <c r="O93" cm="1">
        <f t="array" ref="O93">_xll.BDP(D93,"MTG_PL_PSA_6M ")</f>
        <v>1521.8</v>
      </c>
    </row>
    <row r="94" spans="1:15" x14ac:dyDescent="0.25">
      <c r="A94" t="s">
        <v>294</v>
      </c>
      <c r="B94" t="s">
        <v>295</v>
      </c>
      <c r="C94" t="s">
        <v>100</v>
      </c>
      <c r="D94" t="s">
        <v>296</v>
      </c>
      <c r="E94" t="str" cm="1">
        <f t="array" ref="E94">_xll.BDH($D94,"MTG_GEN_CPR_3M","20090331","20090331","Dts=H")</f>
        <v>#N/A Invalid Field</v>
      </c>
      <c r="F94" t="str" cm="1">
        <f t="array" ref="F94">_xll.BDH($D94,"MTG_GEN_CPR_6M","20090331","20090331","Dts=H")</f>
        <v>#N/A Invalid Field</v>
      </c>
      <c r="G94" t="str" cm="1">
        <f t="array" ref="G94">_xll.BDH($D94,"MTG_GEN_CPR_12M","20090331","20090331","Dts=H")</f>
        <v>#N/A Invalid Field</v>
      </c>
      <c r="H94" t="str" cm="1">
        <f t="array" ref="H94">_xll.BDH($D94,"MTG_GEN_CPR_3M","20090610","20090610","Dts=H")</f>
        <v>#N/A Invalid Field</v>
      </c>
      <c r="I94" t="str" cm="1">
        <f t="array" ref="I94">_xll.BDH($D94,"MTG_GEN_CPR_6M","20090610","20090610","Dts=H")</f>
        <v>#N/A Invalid Field</v>
      </c>
      <c r="J94" t="str" cm="1">
        <f t="array" ref="J94">_xll.BDH($D94,"MTG_GEN_CPR_12M","20090610","20090610","Dts=H")</f>
        <v>#N/A Invalid Field</v>
      </c>
      <c r="K94" t="str" cm="1">
        <f t="array" ref="K94">_xll.BDP("31283H4W2 Mtge","MTG_PREPAY_TYP")</f>
        <v>PSA</v>
      </c>
      <c r="L94" t="str" cm="1">
        <f t="array" ref="L94">_xll.BDP(D94,"MTG_PREPAY_SPEED")</f>
        <v>#N/A N/A</v>
      </c>
      <c r="M94" cm="1">
        <f t="array" ref="M94">_xll.BDP(D94,"MTG_PL_PSA_1M ")</f>
        <v>0</v>
      </c>
      <c r="N94" cm="1">
        <f t="array" ref="N94">_xll.BDP(D94,"MTG_PL_PSA_3M ")</f>
        <v>1472.4</v>
      </c>
      <c r="O94" cm="1">
        <f t="array" ref="O94">_xll.BDP(D94,"MTG_PL_PSA_6M ")</f>
        <v>1094</v>
      </c>
    </row>
    <row r="95" spans="1:15" x14ac:dyDescent="0.25">
      <c r="A95" t="s">
        <v>297</v>
      </c>
      <c r="B95" t="s">
        <v>298</v>
      </c>
      <c r="C95" t="s">
        <v>100</v>
      </c>
      <c r="D95" t="s">
        <v>299</v>
      </c>
      <c r="E95" t="str" cm="1">
        <f t="array" ref="E95">_xll.BDH($D95,"MTG_GEN_CPR_3M","20090331","20090331","Dts=H")</f>
        <v>#N/A Invalid Field</v>
      </c>
      <c r="F95" t="str" cm="1">
        <f t="array" ref="F95">_xll.BDH($D95,"MTG_GEN_CPR_6M","20090331","20090331","Dts=H")</f>
        <v>#N/A Invalid Field</v>
      </c>
      <c r="G95" t="str" cm="1">
        <f t="array" ref="G95">_xll.BDH($D95,"MTG_GEN_CPR_12M","20090331","20090331","Dts=H")</f>
        <v>#N/A Invalid Field</v>
      </c>
      <c r="H95" t="str" cm="1">
        <f t="array" ref="H95">_xll.BDH($D95,"MTG_GEN_CPR_3M","20090610","20090610","Dts=H")</f>
        <v>#N/A Invalid Field</v>
      </c>
      <c r="I95" t="str" cm="1">
        <f t="array" ref="I95">_xll.BDH($D95,"MTG_GEN_CPR_6M","20090610","20090610","Dts=H")</f>
        <v>#N/A Invalid Field</v>
      </c>
      <c r="J95" t="str" cm="1">
        <f t="array" ref="J95">_xll.BDH($D95,"MTG_GEN_CPR_12M","20090610","20090610","Dts=H")</f>
        <v>#N/A Invalid Field</v>
      </c>
      <c r="K95" t="str" cm="1">
        <f t="array" ref="K95">_xll.BDP("31283H4W2 Mtge","MTG_PREPAY_TYP")</f>
        <v>PSA</v>
      </c>
      <c r="L95" t="str" cm="1">
        <f t="array" ref="L95">_xll.BDP(D95,"MTG_PREPAY_SPEED")</f>
        <v>#N/A N/A</v>
      </c>
      <c r="M95" cm="1">
        <f t="array" ref="M95">_xll.BDP(D95,"MTG_PL_PSA_1M ")</f>
        <v>0</v>
      </c>
      <c r="N95" cm="1">
        <f t="array" ref="N95">_xll.BDP(D95,"MTG_PL_PSA_3M ")</f>
        <v>1600.5</v>
      </c>
      <c r="O95" cm="1">
        <f t="array" ref="O95">_xll.BDP(D95,"MTG_PL_PSA_6M ")</f>
        <v>1438.9</v>
      </c>
    </row>
    <row r="96" spans="1:15" x14ac:dyDescent="0.25">
      <c r="A96" t="s">
        <v>300</v>
      </c>
      <c r="B96" t="s">
        <v>301</v>
      </c>
      <c r="C96" t="s">
        <v>100</v>
      </c>
      <c r="D96" t="s">
        <v>302</v>
      </c>
      <c r="E96" t="str" cm="1">
        <f t="array" ref="E96">_xll.BDH($D96,"MTG_GEN_CPR_3M","20090331","20090331","Dts=H")</f>
        <v>#N/A Invalid Field</v>
      </c>
      <c r="F96" t="str" cm="1">
        <f t="array" ref="F96">_xll.BDH($D96,"MTG_GEN_CPR_6M","20090331","20090331","Dts=H")</f>
        <v>#N/A Invalid Field</v>
      </c>
      <c r="G96" t="str" cm="1">
        <f t="array" ref="G96">_xll.BDH($D96,"MTG_GEN_CPR_12M","20090331","20090331","Dts=H")</f>
        <v>#N/A Invalid Field</v>
      </c>
      <c r="H96" t="str" cm="1">
        <f t="array" ref="H96">_xll.BDH($D96,"MTG_GEN_CPR_3M","20090610","20090610","Dts=H")</f>
        <v>#N/A Invalid Field</v>
      </c>
      <c r="I96" t="str" cm="1">
        <f t="array" ref="I96">_xll.BDH($D96,"MTG_GEN_CPR_6M","20090610","20090610","Dts=H")</f>
        <v>#N/A Invalid Field</v>
      </c>
      <c r="J96" t="str" cm="1">
        <f t="array" ref="J96">_xll.BDH($D96,"MTG_GEN_CPR_12M","20090610","20090610","Dts=H")</f>
        <v>#N/A Invalid Field</v>
      </c>
      <c r="K96" t="str" cm="1">
        <f t="array" ref="K96">_xll.BDP("31283H4W2 Mtge","MTG_PREPAY_TYP")</f>
        <v>PSA</v>
      </c>
      <c r="L96" t="str" cm="1">
        <f t="array" ref="L96">_xll.BDP(D96,"MTG_PREPAY_SPEED")</f>
        <v>#N/A N/A</v>
      </c>
      <c r="M96" cm="1">
        <f t="array" ref="M96">_xll.BDP(D96,"MTG_PL_PSA_1M ")</f>
        <v>1666.7</v>
      </c>
      <c r="N96" cm="1">
        <f t="array" ref="N96">_xll.BDP(D96,"MTG_PL_PSA_3M ")</f>
        <v>1666.7</v>
      </c>
      <c r="O96" cm="1">
        <f t="array" ref="O96">_xll.BDP(D96,"MTG_PL_PSA_6M ")</f>
        <v>1666.7</v>
      </c>
    </row>
    <row r="97" spans="1:15" x14ac:dyDescent="0.25">
      <c r="A97" t="s">
        <v>303</v>
      </c>
      <c r="B97" t="s">
        <v>304</v>
      </c>
      <c r="C97" t="s">
        <v>100</v>
      </c>
      <c r="D97" t="s">
        <v>305</v>
      </c>
      <c r="E97" t="str" cm="1">
        <f t="array" ref="E97">_xll.BDH($D97,"MTG_GEN_CPR_3M","20090331","20090331","Dts=H")</f>
        <v>#N/A Invalid Field</v>
      </c>
      <c r="F97" t="str" cm="1">
        <f t="array" ref="F97">_xll.BDH($D97,"MTG_GEN_CPR_6M","20090331","20090331","Dts=H")</f>
        <v>#N/A Invalid Field</v>
      </c>
      <c r="G97" t="str" cm="1">
        <f t="array" ref="G97">_xll.BDH($D97,"MTG_GEN_CPR_12M","20090331","20090331","Dts=H")</f>
        <v>#N/A Invalid Field</v>
      </c>
      <c r="H97" t="str" cm="1">
        <f t="array" ref="H97">_xll.BDH($D97,"MTG_GEN_CPR_3M","20090610","20090610","Dts=H")</f>
        <v>#N/A Invalid Field</v>
      </c>
      <c r="I97" t="str" cm="1">
        <f t="array" ref="I97">_xll.BDH($D97,"MTG_GEN_CPR_6M","20090610","20090610","Dts=H")</f>
        <v>#N/A Invalid Field</v>
      </c>
      <c r="J97" t="str" cm="1">
        <f t="array" ref="J97">_xll.BDH($D97,"MTG_GEN_CPR_12M","20090610","20090610","Dts=H")</f>
        <v>#N/A Invalid Field</v>
      </c>
      <c r="K97" t="str" cm="1">
        <f t="array" ref="K97">_xll.BDP("31283H4W2 Mtge","MTG_PREPAY_TYP")</f>
        <v>PSA</v>
      </c>
      <c r="L97" t="str" cm="1">
        <f t="array" ref="L97">_xll.BDP(D97,"MTG_PREPAY_SPEED")</f>
        <v>#N/A N/A</v>
      </c>
      <c r="M97" cm="1">
        <f t="array" ref="M97">_xll.BDP(D97,"MTG_PL_PSA_1M ")</f>
        <v>1666.7</v>
      </c>
      <c r="N97" cm="1">
        <f t="array" ref="N97">_xll.BDP(D97,"MTG_PL_PSA_3M ")</f>
        <v>1666.7</v>
      </c>
      <c r="O97" cm="1">
        <f t="array" ref="O97">_xll.BDP(D97,"MTG_PL_PSA_6M ")</f>
        <v>1666.7</v>
      </c>
    </row>
    <row r="98" spans="1:15" x14ac:dyDescent="0.25">
      <c r="A98" t="s">
        <v>306</v>
      </c>
      <c r="B98" t="s">
        <v>307</v>
      </c>
      <c r="C98" t="s">
        <v>100</v>
      </c>
      <c r="D98" t="s">
        <v>308</v>
      </c>
      <c r="E98" t="str" cm="1">
        <f t="array" ref="E98">_xll.BDH($D98,"MTG_GEN_CPR_3M","20090331","20090331","Dts=H")</f>
        <v>#N/A Invalid Field</v>
      </c>
      <c r="F98" t="str" cm="1">
        <f t="array" ref="F98">_xll.BDH($D98,"MTG_GEN_CPR_6M","20090331","20090331","Dts=H")</f>
        <v>#N/A Invalid Field</v>
      </c>
      <c r="G98" t="str" cm="1">
        <f t="array" ref="G98">_xll.BDH($D98,"MTG_GEN_CPR_12M","20090331","20090331","Dts=H")</f>
        <v>#N/A Invalid Field</v>
      </c>
      <c r="H98" t="str" cm="1">
        <f t="array" ref="H98">_xll.BDH($D98,"MTG_GEN_CPR_3M","20090610","20090610","Dts=H")</f>
        <v>#N/A Invalid Field</v>
      </c>
      <c r="I98" t="str" cm="1">
        <f t="array" ref="I98">_xll.BDH($D98,"MTG_GEN_CPR_6M","20090610","20090610","Dts=H")</f>
        <v>#N/A Invalid Field</v>
      </c>
      <c r="J98" t="str" cm="1">
        <f t="array" ref="J98">_xll.BDH($D98,"MTG_GEN_CPR_12M","20090610","20090610","Dts=H")</f>
        <v>#N/A Invalid Field</v>
      </c>
      <c r="K98" t="str" cm="1">
        <f t="array" ref="K98">_xll.BDP("31283H4W2 Mtge","MTG_PREPAY_TYP")</f>
        <v>PSA</v>
      </c>
      <c r="L98" cm="1">
        <f t="array" ref="L98">_xll.BDP(D98,"MTG_PREPAY_SPEED")</f>
        <v>0</v>
      </c>
      <c r="M98" cm="1">
        <f t="array" ref="M98">_xll.BDP(D98,"MTG_PL_PSA_1M ")</f>
        <v>-0.9</v>
      </c>
      <c r="N98" cm="1">
        <f t="array" ref="N98">_xll.BDP(D98,"MTG_PL_PSA_3M ")</f>
        <v>-0.8</v>
      </c>
      <c r="O98" cm="1">
        <f t="array" ref="O98">_xll.BDP(D98,"MTG_PL_PSA_6M ")</f>
        <v>-0.8</v>
      </c>
    </row>
    <row r="99" spans="1:15" x14ac:dyDescent="0.25">
      <c r="A99" t="s">
        <v>309</v>
      </c>
      <c r="B99" t="s">
        <v>310</v>
      </c>
      <c r="C99" t="s">
        <v>100</v>
      </c>
      <c r="D99" t="s">
        <v>311</v>
      </c>
      <c r="E99" t="str" cm="1">
        <f t="array" ref="E99">_xll.BDH($D99,"MTG_GEN_CPR_3M","20090331","20090331","Dts=H")</f>
        <v>#N/A Invalid Field</v>
      </c>
      <c r="F99" t="str" cm="1">
        <f t="array" ref="F99">_xll.BDH($D99,"MTG_GEN_CPR_6M","20090331","20090331","Dts=H")</f>
        <v>#N/A Invalid Field</v>
      </c>
      <c r="G99" t="str" cm="1">
        <f t="array" ref="G99">_xll.BDH($D99,"MTG_GEN_CPR_12M","20090331","20090331","Dts=H")</f>
        <v>#N/A Invalid Field</v>
      </c>
      <c r="H99" t="str" cm="1">
        <f t="array" ref="H99">_xll.BDH($D99,"MTG_GEN_CPR_3M","20090610","20090610","Dts=H")</f>
        <v>#N/A Invalid Field</v>
      </c>
      <c r="I99" t="str" cm="1">
        <f t="array" ref="I99">_xll.BDH($D99,"MTG_GEN_CPR_6M","20090610","20090610","Dts=H")</f>
        <v>#N/A Invalid Field</v>
      </c>
      <c r="J99" t="str" cm="1">
        <f t="array" ref="J99">_xll.BDH($D99,"MTG_GEN_CPR_12M","20090610","20090610","Dts=H")</f>
        <v>#N/A Invalid Field</v>
      </c>
      <c r="K99" t="str" cm="1">
        <f t="array" ref="K99">_xll.BDP("31283H4W2 Mtge","MTG_PREPAY_TYP")</f>
        <v>PSA</v>
      </c>
      <c r="L99" cm="1">
        <f t="array" ref="L99">_xll.BDP(D99,"MTG_PREPAY_SPEED")</f>
        <v>0.26</v>
      </c>
      <c r="M99" cm="1">
        <f t="array" ref="M99">_xll.BDP(D99,"MTG_PL_PSA_1M ")</f>
        <v>-19.2</v>
      </c>
      <c r="N99" cm="1">
        <f t="array" ref="N99">_xll.BDP(D99,"MTG_PL_PSA_3M ")</f>
        <v>12</v>
      </c>
      <c r="O99" cm="1">
        <f t="array" ref="O99">_xll.BDP(D99,"MTG_PL_PSA_6M ")</f>
        <v>4.3</v>
      </c>
    </row>
    <row r="100" spans="1:15" x14ac:dyDescent="0.25">
      <c r="A100" t="s">
        <v>312</v>
      </c>
      <c r="B100" t="s">
        <v>313</v>
      </c>
      <c r="C100" t="s">
        <v>100</v>
      </c>
      <c r="D100" t="s">
        <v>314</v>
      </c>
      <c r="E100" t="str" cm="1">
        <f t="array" ref="E100">_xll.BDH($D100,"MTG_GEN_CPR_3M","20090331","20090331","Dts=H")</f>
        <v>#N/A Invalid Field</v>
      </c>
      <c r="F100" t="str" cm="1">
        <f t="array" ref="F100">_xll.BDH($D100,"MTG_GEN_CPR_6M","20090331","20090331","Dts=H")</f>
        <v>#N/A Invalid Field</v>
      </c>
      <c r="G100" t="str" cm="1">
        <f t="array" ref="G100">_xll.BDH($D100,"MTG_GEN_CPR_12M","20090331","20090331","Dts=H")</f>
        <v>#N/A Invalid Field</v>
      </c>
      <c r="H100" t="str" cm="1">
        <f t="array" ref="H100">_xll.BDH($D100,"MTG_GEN_CPR_3M","20090610","20090610","Dts=H")</f>
        <v>#N/A Invalid Field</v>
      </c>
      <c r="I100" t="str" cm="1">
        <f t="array" ref="I100">_xll.BDH($D100,"MTG_GEN_CPR_6M","20090610","20090610","Dts=H")</f>
        <v>#N/A Invalid Field</v>
      </c>
      <c r="J100" t="str" cm="1">
        <f t="array" ref="J100">_xll.BDH($D100,"MTG_GEN_CPR_12M","20090610","20090610","Dts=H")</f>
        <v>#N/A Invalid Field</v>
      </c>
      <c r="K100" t="str" cm="1">
        <f t="array" ref="K100">_xll.BDP("31283H4W2 Mtge","MTG_PREPAY_TYP")</f>
        <v>PSA</v>
      </c>
      <c r="L100" cm="1">
        <f t="array" ref="L100">_xll.BDP(D100,"MTG_PREPAY_SPEED")</f>
        <v>2.23</v>
      </c>
      <c r="M100" cm="1">
        <f t="array" ref="M100">_xll.BDP(D100,"MTG_PL_PSA_1M ")</f>
        <v>-89</v>
      </c>
      <c r="N100" cm="1">
        <f t="array" ref="N100">_xll.BDP(D100,"MTG_PL_PSA_3M ")</f>
        <v>39.799999999999997</v>
      </c>
      <c r="O100" cm="1">
        <f t="array" ref="O100">_xll.BDP(D100,"MTG_PL_PSA_6M ")</f>
        <v>37.200000000000003</v>
      </c>
    </row>
    <row r="101" spans="1:15" x14ac:dyDescent="0.25">
      <c r="A101" t="s">
        <v>315</v>
      </c>
      <c r="B101" t="s">
        <v>316</v>
      </c>
      <c r="C101" t="s">
        <v>100</v>
      </c>
      <c r="D101" t="s">
        <v>317</v>
      </c>
      <c r="E101" t="str" cm="1">
        <f t="array" ref="E101">_xll.BDH($D101,"MTG_GEN_CPR_3M","20090331","20090331","Dts=H")</f>
        <v>#N/A Invalid Field</v>
      </c>
      <c r="F101" t="str" cm="1">
        <f t="array" ref="F101">_xll.BDH($D101,"MTG_GEN_CPR_6M","20090331","20090331","Dts=H")</f>
        <v>#N/A Invalid Field</v>
      </c>
      <c r="G101" t="str" cm="1">
        <f t="array" ref="G101">_xll.BDH($D101,"MTG_GEN_CPR_12M","20090331","20090331","Dts=H")</f>
        <v>#N/A Invalid Field</v>
      </c>
      <c r="H101" t="str" cm="1">
        <f t="array" ref="H101">_xll.BDH($D101,"MTG_GEN_CPR_3M","20090610","20090610","Dts=H")</f>
        <v>#N/A Invalid Field</v>
      </c>
      <c r="I101" t="str" cm="1">
        <f t="array" ref="I101">_xll.BDH($D101,"MTG_GEN_CPR_6M","20090610","20090610","Dts=H")</f>
        <v>#N/A Invalid Field</v>
      </c>
      <c r="J101" t="str" cm="1">
        <f t="array" ref="J101">_xll.BDH($D101,"MTG_GEN_CPR_12M","20090610","20090610","Dts=H")</f>
        <v>#N/A Invalid Field</v>
      </c>
      <c r="K101" t="str" cm="1">
        <f t="array" ref="K101">_xll.BDP("31283H4W2 Mtge","MTG_PREPAY_TYP")</f>
        <v>PSA</v>
      </c>
      <c r="L101" cm="1">
        <f t="array" ref="L101">_xll.BDP(D101,"MTG_PREPAY_SPEED")</f>
        <v>0</v>
      </c>
      <c r="M101" cm="1">
        <f t="array" ref="M101">_xll.BDP(D101,"MTG_PL_PSA_1M ")</f>
        <v>0</v>
      </c>
      <c r="N101" cm="1">
        <f t="array" ref="N101">_xll.BDP(D101,"MTG_PL_PSA_3M ")</f>
        <v>0</v>
      </c>
      <c r="O101" cm="1">
        <f t="array" ref="O101">_xll.BDP(D101,"MTG_PL_PSA_6M ")</f>
        <v>0</v>
      </c>
    </row>
    <row r="102" spans="1:15" x14ac:dyDescent="0.25">
      <c r="A102" t="s">
        <v>318</v>
      </c>
      <c r="B102" t="s">
        <v>319</v>
      </c>
      <c r="C102" t="s">
        <v>100</v>
      </c>
      <c r="D102" t="s">
        <v>320</v>
      </c>
      <c r="E102" t="str" cm="1">
        <f t="array" ref="E102">_xll.BDH($D102,"MTG_GEN_CPR_3M","20090331","20090331","Dts=H")</f>
        <v>#N/A Invalid Field</v>
      </c>
      <c r="F102" t="str" cm="1">
        <f t="array" ref="F102">_xll.BDH($D102,"MTG_GEN_CPR_6M","20090331","20090331","Dts=H")</f>
        <v>#N/A Invalid Field</v>
      </c>
      <c r="G102" t="str" cm="1">
        <f t="array" ref="G102">_xll.BDH($D102,"MTG_GEN_CPR_12M","20090331","20090331","Dts=H")</f>
        <v>#N/A Invalid Field</v>
      </c>
      <c r="H102" t="str" cm="1">
        <f t="array" ref="H102">_xll.BDH($D102,"MTG_GEN_CPR_3M","20090610","20090610","Dts=H")</f>
        <v>#N/A Invalid Field</v>
      </c>
      <c r="I102" t="str" cm="1">
        <f t="array" ref="I102">_xll.BDH($D102,"MTG_GEN_CPR_6M","20090610","20090610","Dts=H")</f>
        <v>#N/A Invalid Field</v>
      </c>
      <c r="J102" t="str" cm="1">
        <f t="array" ref="J102">_xll.BDH($D102,"MTG_GEN_CPR_12M","20090610","20090610","Dts=H")</f>
        <v>#N/A Invalid Field</v>
      </c>
      <c r="K102" t="str" cm="1">
        <f t="array" ref="K102">_xll.BDP("31283H4W2 Mtge","MTG_PREPAY_TYP")</f>
        <v>PSA</v>
      </c>
      <c r="L102" cm="1">
        <f t="array" ref="L102">_xll.BDP(D102,"MTG_PREPAY_SPEED")</f>
        <v>188</v>
      </c>
      <c r="M102" cm="1">
        <f t="array" ref="M102">_xll.BDP(D102,"MTG_PL_PSA_1M ")</f>
        <v>102.4</v>
      </c>
      <c r="N102" cm="1">
        <f t="array" ref="N102">_xll.BDP(D102,"MTG_PL_PSA_3M ")</f>
        <v>218.8</v>
      </c>
      <c r="O102" cm="1">
        <f t="array" ref="O102">_xll.BDP(D102,"MTG_PL_PSA_6M ")</f>
        <v>207.2</v>
      </c>
    </row>
    <row r="103" spans="1:15" x14ac:dyDescent="0.25">
      <c r="A103" t="s">
        <v>321</v>
      </c>
      <c r="B103" t="s">
        <v>322</v>
      </c>
      <c r="C103" t="s">
        <v>100</v>
      </c>
      <c r="D103" t="s">
        <v>323</v>
      </c>
      <c r="E103" t="str" cm="1">
        <f t="array" ref="E103">_xll.BDH($D103,"MTG_GEN_CPR_3M","20090331","20090331","Dts=H")</f>
        <v>#N/A Invalid Field</v>
      </c>
      <c r="F103" t="str" cm="1">
        <f t="array" ref="F103">_xll.BDH($D103,"MTG_GEN_CPR_6M","20090331","20090331","Dts=H")</f>
        <v>#N/A Invalid Field</v>
      </c>
      <c r="G103" t="str" cm="1">
        <f t="array" ref="G103">_xll.BDH($D103,"MTG_GEN_CPR_12M","20090331","20090331","Dts=H")</f>
        <v>#N/A Invalid Field</v>
      </c>
      <c r="H103" t="str" cm="1">
        <f t="array" ref="H103">_xll.BDH($D103,"MTG_GEN_CPR_3M","20090610","20090610","Dts=H")</f>
        <v>#N/A Invalid Field</v>
      </c>
      <c r="I103" t="str" cm="1">
        <f t="array" ref="I103">_xll.BDH($D103,"MTG_GEN_CPR_6M","20090610","20090610","Dts=H")</f>
        <v>#N/A Invalid Field</v>
      </c>
      <c r="J103" t="str" cm="1">
        <f t="array" ref="J103">_xll.BDH($D103,"MTG_GEN_CPR_12M","20090610","20090610","Dts=H")</f>
        <v>#N/A Invalid Field</v>
      </c>
      <c r="K103" t="str" cm="1">
        <f t="array" ref="K103">_xll.BDP("31283H4W2 Mtge","MTG_PREPAY_TYP")</f>
        <v>PSA</v>
      </c>
      <c r="L103" t="str" cm="1">
        <f t="array" ref="L103">_xll.BDP(D103,"MTG_PREPAY_SPEED")</f>
        <v>#N/A N/A</v>
      </c>
      <c r="M103" cm="1">
        <f t="array" ref="M103">_xll.BDP(D103,"MTG_PL_PSA_1M ")</f>
        <v>1666.7</v>
      </c>
      <c r="N103" cm="1">
        <f t="array" ref="N103">_xll.BDP(D103,"MTG_PL_PSA_3M ")</f>
        <v>1666.7</v>
      </c>
      <c r="O103" cm="1">
        <f t="array" ref="O103">_xll.BDP(D103,"MTG_PL_PSA_6M ")</f>
        <v>1666.7</v>
      </c>
    </row>
    <row r="104" spans="1:15" x14ac:dyDescent="0.25">
      <c r="A104" t="s">
        <v>324</v>
      </c>
      <c r="B104" t="s">
        <v>325</v>
      </c>
      <c r="C104" t="s">
        <v>100</v>
      </c>
      <c r="D104" t="s">
        <v>326</v>
      </c>
      <c r="E104" t="str" cm="1">
        <f t="array" ref="E104">_xll.BDH($D104,"MTG_GEN_CPR_3M","20090331","20090331","Dts=H")</f>
        <v>#N/A Invalid Field</v>
      </c>
      <c r="F104" t="str" cm="1">
        <f t="array" ref="F104">_xll.BDH($D104,"MTG_GEN_CPR_6M","20090331","20090331","Dts=H")</f>
        <v>#N/A Invalid Field</v>
      </c>
      <c r="G104" t="str" cm="1">
        <f t="array" ref="G104">_xll.BDH($D104,"MTG_GEN_CPR_12M","20090331","20090331","Dts=H")</f>
        <v>#N/A Invalid Field</v>
      </c>
      <c r="H104" t="str" cm="1">
        <f t="array" ref="H104">_xll.BDH($D104,"MTG_GEN_CPR_3M","20090610","20090610","Dts=H")</f>
        <v>#N/A Invalid Field</v>
      </c>
      <c r="I104" t="str" cm="1">
        <f t="array" ref="I104">_xll.BDH($D104,"MTG_GEN_CPR_6M","20090610","20090610","Dts=H")</f>
        <v>#N/A Invalid Field</v>
      </c>
      <c r="J104" t="str" cm="1">
        <f t="array" ref="J104">_xll.BDH($D104,"MTG_GEN_CPR_12M","20090610","20090610","Dts=H")</f>
        <v>#N/A Invalid Field</v>
      </c>
      <c r="K104" t="str" cm="1">
        <f t="array" ref="K104">_xll.BDP("31283H4W2 Mtge","MTG_PREPAY_TYP")</f>
        <v>PSA</v>
      </c>
      <c r="L104" t="str" cm="1">
        <f t="array" ref="L104">_xll.BDP(D104,"MTG_PREPAY_SPEED")</f>
        <v>#N/A N/A</v>
      </c>
      <c r="M104" cm="1">
        <f t="array" ref="M104">_xll.BDP(D104,"MTG_PL_PSA_1M ")</f>
        <v>1666.7</v>
      </c>
      <c r="N104" cm="1">
        <f t="array" ref="N104">_xll.BDP(D104,"MTG_PL_PSA_3M ")</f>
        <v>1666.7</v>
      </c>
      <c r="O104" cm="1">
        <f t="array" ref="O104">_xll.BDP(D104,"MTG_PL_PSA_6M ")</f>
        <v>1666.7</v>
      </c>
    </row>
    <row r="105" spans="1:15" x14ac:dyDescent="0.25">
      <c r="A105" t="s">
        <v>327</v>
      </c>
      <c r="B105" t="s">
        <v>328</v>
      </c>
      <c r="C105" t="s">
        <v>100</v>
      </c>
      <c r="D105" t="s">
        <v>329</v>
      </c>
      <c r="E105" t="str" cm="1">
        <f t="array" ref="E105">_xll.BDH($D105,"MTG_GEN_CPR_3M","20090331","20090331","Dts=H")</f>
        <v>#N/A Invalid Field</v>
      </c>
      <c r="F105" t="str" cm="1">
        <f t="array" ref="F105">_xll.BDH($D105,"MTG_GEN_CPR_6M","20090331","20090331","Dts=H")</f>
        <v>#N/A Invalid Field</v>
      </c>
      <c r="G105" t="str" cm="1">
        <f t="array" ref="G105">_xll.BDH($D105,"MTG_GEN_CPR_12M","20090331","20090331","Dts=H")</f>
        <v>#N/A Invalid Field</v>
      </c>
      <c r="H105" t="str" cm="1">
        <f t="array" ref="H105">_xll.BDH($D105,"MTG_GEN_CPR_3M","20090610","20090610","Dts=H")</f>
        <v>#N/A Invalid Field</v>
      </c>
      <c r="I105" t="str" cm="1">
        <f t="array" ref="I105">_xll.BDH($D105,"MTG_GEN_CPR_6M","20090610","20090610","Dts=H")</f>
        <v>#N/A Invalid Field</v>
      </c>
      <c r="J105" t="str" cm="1">
        <f t="array" ref="J105">_xll.BDH($D105,"MTG_GEN_CPR_12M","20090610","20090610","Dts=H")</f>
        <v>#N/A Invalid Field</v>
      </c>
      <c r="K105" t="str" cm="1">
        <f t="array" ref="K105">_xll.BDP("31283H4W2 Mtge","MTG_PREPAY_TYP")</f>
        <v>PSA</v>
      </c>
      <c r="L105" t="str" cm="1">
        <f t="array" ref="L105">_xll.BDP(D105,"MTG_PREPAY_SPEED")</f>
        <v>#N/A N/A</v>
      </c>
      <c r="M105" cm="1">
        <f t="array" ref="M105">_xll.BDP(D105,"MTG_PL_PSA_1M ")</f>
        <v>0</v>
      </c>
      <c r="N105" cm="1">
        <f t="array" ref="N105">_xll.BDP(D105,"MTG_PL_PSA_3M ")</f>
        <v>1666.7</v>
      </c>
      <c r="O105" cm="1">
        <f t="array" ref="O105">_xll.BDP(D105,"MTG_PL_PSA_6M ")</f>
        <v>1666.2</v>
      </c>
    </row>
    <row r="106" spans="1:15" x14ac:dyDescent="0.25">
      <c r="A106" t="s">
        <v>330</v>
      </c>
      <c r="B106" t="s">
        <v>331</v>
      </c>
      <c r="C106" t="s">
        <v>100</v>
      </c>
      <c r="D106" t="s">
        <v>332</v>
      </c>
      <c r="E106" t="str" cm="1">
        <f t="array" ref="E106">_xll.BDH($D106,"MTG_GEN_CPR_3M","20090331","20090331","Dts=H")</f>
        <v>#N/A Invalid Field</v>
      </c>
      <c r="F106" t="str" cm="1">
        <f t="array" ref="F106">_xll.BDH($D106,"MTG_GEN_CPR_6M","20090331","20090331","Dts=H")</f>
        <v>#N/A Invalid Field</v>
      </c>
      <c r="G106" t="str" cm="1">
        <f t="array" ref="G106">_xll.BDH($D106,"MTG_GEN_CPR_12M","20090331","20090331","Dts=H")</f>
        <v>#N/A Invalid Field</v>
      </c>
      <c r="H106" t="str" cm="1">
        <f t="array" ref="H106">_xll.BDH($D106,"MTG_GEN_CPR_3M","20090610","20090610","Dts=H")</f>
        <v>#N/A Invalid Field</v>
      </c>
      <c r="I106" t="str" cm="1">
        <f t="array" ref="I106">_xll.BDH($D106,"MTG_GEN_CPR_6M","20090610","20090610","Dts=H")</f>
        <v>#N/A Invalid Field</v>
      </c>
      <c r="J106" t="str" cm="1">
        <f t="array" ref="J106">_xll.BDH($D106,"MTG_GEN_CPR_12M","20090610","20090610","Dts=H")</f>
        <v>#N/A Invalid Field</v>
      </c>
      <c r="K106" t="str" cm="1">
        <f t="array" ref="K106">_xll.BDP("31283H4W2 Mtge","MTG_PREPAY_TYP")</f>
        <v>PSA</v>
      </c>
      <c r="L106" cm="1">
        <f t="array" ref="L106">_xll.BDP(D106,"MTG_PREPAY_SPEED")</f>
        <v>11.64</v>
      </c>
      <c r="M106" cm="1">
        <f t="array" ref="M106">_xll.BDP(D106,"MTG_PL_PSA_1M ")</f>
        <v>659.7</v>
      </c>
      <c r="N106" cm="1">
        <f t="array" ref="N106">_xll.BDP(D106,"MTG_PL_PSA_3M ")</f>
        <v>287.89999999999998</v>
      </c>
      <c r="O106" cm="1">
        <f t="array" ref="O106">_xll.BDP(D106,"MTG_PL_PSA_6M ")</f>
        <v>194</v>
      </c>
    </row>
    <row r="107" spans="1:15" x14ac:dyDescent="0.25">
      <c r="A107" t="s">
        <v>333</v>
      </c>
      <c r="B107" t="s">
        <v>334</v>
      </c>
      <c r="C107" t="s">
        <v>100</v>
      </c>
      <c r="D107" t="s">
        <v>335</v>
      </c>
      <c r="E107" t="str" cm="1">
        <f t="array" ref="E107">_xll.BDH($D107,"MTG_GEN_CPR_3M","20090331","20090331","Dts=H")</f>
        <v>#N/A Invalid Field</v>
      </c>
      <c r="F107" t="str" cm="1">
        <f t="array" ref="F107">_xll.BDH($D107,"MTG_GEN_CPR_6M","20090331","20090331","Dts=H")</f>
        <v>#N/A Invalid Field</v>
      </c>
      <c r="G107" t="str" cm="1">
        <f t="array" ref="G107">_xll.BDH($D107,"MTG_GEN_CPR_12M","20090331","20090331","Dts=H")</f>
        <v>#N/A Invalid Field</v>
      </c>
      <c r="H107" t="str" cm="1">
        <f t="array" ref="H107">_xll.BDH($D107,"MTG_GEN_CPR_3M","20090610","20090610","Dts=H")</f>
        <v>#N/A Invalid Field</v>
      </c>
      <c r="I107" t="str" cm="1">
        <f t="array" ref="I107">_xll.BDH($D107,"MTG_GEN_CPR_6M","20090610","20090610","Dts=H")</f>
        <v>#N/A Invalid Field</v>
      </c>
      <c r="J107" t="str" cm="1">
        <f t="array" ref="J107">_xll.BDH($D107,"MTG_GEN_CPR_12M","20090610","20090610","Dts=H")</f>
        <v>#N/A Invalid Field</v>
      </c>
      <c r="K107" t="str" cm="1">
        <f t="array" ref="K107">_xll.BDP("31283H4W2 Mtge","MTG_PREPAY_TYP")</f>
        <v>PSA</v>
      </c>
      <c r="L107" cm="1">
        <f t="array" ref="L107">_xll.BDP(D107,"MTG_PREPAY_SPEED")</f>
        <v>0.3</v>
      </c>
      <c r="M107" cm="1">
        <f t="array" ref="M107">_xll.BDP(D107,"MTG_PL_PSA_1M ")</f>
        <v>0.4</v>
      </c>
      <c r="N107" cm="1">
        <f t="array" ref="N107">_xll.BDP(D107,"MTG_PL_PSA_3M ")</f>
        <v>9.9</v>
      </c>
      <c r="O107" cm="1">
        <f t="array" ref="O107">_xll.BDP(D107,"MTG_PL_PSA_6M ")</f>
        <v>5</v>
      </c>
    </row>
    <row r="108" spans="1:15" x14ac:dyDescent="0.25">
      <c r="A108" t="s">
        <v>336</v>
      </c>
      <c r="B108" t="s">
        <v>337</v>
      </c>
      <c r="C108" t="s">
        <v>100</v>
      </c>
      <c r="D108" t="s">
        <v>338</v>
      </c>
      <c r="E108" t="str" cm="1">
        <f t="array" ref="E108">_xll.BDH($D108,"MTG_GEN_CPR_3M","20090331","20090331","Dts=H")</f>
        <v>#N/A Invalid Field</v>
      </c>
      <c r="F108" t="str" cm="1">
        <f t="array" ref="F108">_xll.BDH($D108,"MTG_GEN_CPR_6M","20090331","20090331","Dts=H")</f>
        <v>#N/A Invalid Field</v>
      </c>
      <c r="G108" t="str" cm="1">
        <f t="array" ref="G108">_xll.BDH($D108,"MTG_GEN_CPR_12M","20090331","20090331","Dts=H")</f>
        <v>#N/A Invalid Field</v>
      </c>
      <c r="H108" t="str" cm="1">
        <f t="array" ref="H108">_xll.BDH($D108,"MTG_GEN_CPR_3M","20090610","20090610","Dts=H")</f>
        <v>#N/A Invalid Field</v>
      </c>
      <c r="I108" t="str" cm="1">
        <f t="array" ref="I108">_xll.BDH($D108,"MTG_GEN_CPR_6M","20090610","20090610","Dts=H")</f>
        <v>#N/A Invalid Field</v>
      </c>
      <c r="J108" t="str" cm="1">
        <f t="array" ref="J108">_xll.BDH($D108,"MTG_GEN_CPR_12M","20090610","20090610","Dts=H")</f>
        <v>#N/A Invalid Field</v>
      </c>
      <c r="K108" t="str" cm="1">
        <f t="array" ref="K108">_xll.BDP("31283H4W2 Mtge","MTG_PREPAY_TYP")</f>
        <v>PSA</v>
      </c>
      <c r="L108" t="str" cm="1">
        <f t="array" ref="L108">_xll.BDP(D108,"MTG_PREPAY_SPEED")</f>
        <v>#N/A N/A</v>
      </c>
      <c r="M108" cm="1">
        <f t="array" ref="M108">_xll.BDP(D108,"MTG_PL_PSA_1M ")</f>
        <v>1666.7</v>
      </c>
      <c r="N108" cm="1">
        <f t="array" ref="N108">_xll.BDP(D108,"MTG_PL_PSA_3M ")</f>
        <v>1666.7</v>
      </c>
      <c r="O108" cm="1">
        <f t="array" ref="O108">_xll.BDP(D108,"MTG_PL_PSA_6M ")</f>
        <v>1666.7</v>
      </c>
    </row>
    <row r="109" spans="1:15" x14ac:dyDescent="0.25">
      <c r="A109" t="s">
        <v>339</v>
      </c>
      <c r="B109" t="s">
        <v>340</v>
      </c>
      <c r="C109" t="s">
        <v>100</v>
      </c>
      <c r="D109" t="s">
        <v>341</v>
      </c>
      <c r="E109" t="str" cm="1">
        <f t="array" ref="E109">_xll.BDH($D109,"MTG_GEN_CPR_3M","20090331","20090331","Dts=H")</f>
        <v>#N/A Invalid Field</v>
      </c>
      <c r="F109" t="str" cm="1">
        <f t="array" ref="F109">_xll.BDH($D109,"MTG_GEN_CPR_6M","20090331","20090331","Dts=H")</f>
        <v>#N/A Invalid Field</v>
      </c>
      <c r="G109" t="str" cm="1">
        <f t="array" ref="G109">_xll.BDH($D109,"MTG_GEN_CPR_12M","20090331","20090331","Dts=H")</f>
        <v>#N/A Invalid Field</v>
      </c>
      <c r="H109" t="str" cm="1">
        <f t="array" ref="H109">_xll.BDH($D109,"MTG_GEN_CPR_3M","20090610","20090610","Dts=H")</f>
        <v>#N/A Invalid Field</v>
      </c>
      <c r="I109" t="str" cm="1">
        <f t="array" ref="I109">_xll.BDH($D109,"MTG_GEN_CPR_6M","20090610","20090610","Dts=H")</f>
        <v>#N/A Invalid Field</v>
      </c>
      <c r="J109" t="str" cm="1">
        <f t="array" ref="J109">_xll.BDH($D109,"MTG_GEN_CPR_12M","20090610","20090610","Dts=H")</f>
        <v>#N/A Invalid Field</v>
      </c>
      <c r="K109" t="str" cm="1">
        <f t="array" ref="K109">_xll.BDP("31283H4W2 Mtge","MTG_PREPAY_TYP")</f>
        <v>PSA</v>
      </c>
      <c r="L109" cm="1">
        <f t="array" ref="L109">_xll.BDP(D109,"MTG_PREPAY_SPEED")</f>
        <v>17.5</v>
      </c>
      <c r="M109" cm="1">
        <f t="array" ref="M109">_xll.BDP(D109,"MTG_PL_PSA_1M ")</f>
        <v>0</v>
      </c>
      <c r="N109" cm="1">
        <f t="array" ref="N109">_xll.BDP(D109,"MTG_PL_PSA_3M ")</f>
        <v>165.8</v>
      </c>
      <c r="O109" cm="1">
        <f t="array" ref="O109">_xll.BDP(D109,"MTG_PL_PSA_6M ")</f>
        <v>291.60000000000002</v>
      </c>
    </row>
    <row r="110" spans="1:15" x14ac:dyDescent="0.25">
      <c r="A110" t="s">
        <v>342</v>
      </c>
      <c r="B110" t="s">
        <v>343</v>
      </c>
      <c r="C110" t="s">
        <v>100</v>
      </c>
      <c r="D110" t="s">
        <v>344</v>
      </c>
      <c r="E110" t="str" cm="1">
        <f t="array" ref="E110">_xll.BDH($D110,"MTG_GEN_CPR_3M","20090331","20090331","Dts=H")</f>
        <v>#N/A Invalid Field</v>
      </c>
      <c r="F110" t="str" cm="1">
        <f t="array" ref="F110">_xll.BDH($D110,"MTG_GEN_CPR_6M","20090331","20090331","Dts=H")</f>
        <v>#N/A Invalid Field</v>
      </c>
      <c r="G110" t="str" cm="1">
        <f t="array" ref="G110">_xll.BDH($D110,"MTG_GEN_CPR_12M","20090331","20090331","Dts=H")</f>
        <v>#N/A Invalid Field</v>
      </c>
      <c r="H110" t="str" cm="1">
        <f t="array" ref="H110">_xll.BDH($D110,"MTG_GEN_CPR_3M","20090610","20090610","Dts=H")</f>
        <v>#N/A Invalid Field</v>
      </c>
      <c r="I110" t="str" cm="1">
        <f t="array" ref="I110">_xll.BDH($D110,"MTG_GEN_CPR_6M","20090610","20090610","Dts=H")</f>
        <v>#N/A Invalid Field</v>
      </c>
      <c r="J110" t="str" cm="1">
        <f t="array" ref="J110">_xll.BDH($D110,"MTG_GEN_CPR_12M","20090610","20090610","Dts=H")</f>
        <v>#N/A Invalid Field</v>
      </c>
      <c r="K110" t="str" cm="1">
        <f t="array" ref="K110">_xll.BDP("31283H4W2 Mtge","MTG_PREPAY_TYP")</f>
        <v>PSA</v>
      </c>
      <c r="L110" cm="1">
        <f t="array" ref="L110">_xll.BDP(D110,"MTG_PREPAY_SPEED")</f>
        <v>1.82</v>
      </c>
      <c r="M110" cm="1">
        <f t="array" ref="M110">_xll.BDP(D110,"MTG_PL_PSA_1M ")</f>
        <v>6.6</v>
      </c>
      <c r="N110" cm="1">
        <f t="array" ref="N110">_xll.BDP(D110,"MTG_PL_PSA_3M ")</f>
        <v>6.5</v>
      </c>
      <c r="O110" cm="1">
        <f t="array" ref="O110">_xll.BDP(D110,"MTG_PL_PSA_6M ")</f>
        <v>30.3</v>
      </c>
    </row>
    <row r="111" spans="1:15" x14ac:dyDescent="0.25">
      <c r="A111" t="s">
        <v>345</v>
      </c>
      <c r="B111" t="s">
        <v>346</v>
      </c>
      <c r="C111" t="s">
        <v>100</v>
      </c>
      <c r="D111" t="s">
        <v>347</v>
      </c>
      <c r="E111" t="str" cm="1">
        <f t="array" ref="E111">_xll.BDH($D111,"MTG_GEN_CPR_3M","20090331","20090331","Dts=H")</f>
        <v>#N/A Invalid Field</v>
      </c>
      <c r="F111" t="str" cm="1">
        <f t="array" ref="F111">_xll.BDH($D111,"MTG_GEN_CPR_6M","20090331","20090331","Dts=H")</f>
        <v>#N/A Invalid Field</v>
      </c>
      <c r="G111" t="str" cm="1">
        <f t="array" ref="G111">_xll.BDH($D111,"MTG_GEN_CPR_12M","20090331","20090331","Dts=H")</f>
        <v>#N/A Invalid Field</v>
      </c>
      <c r="H111" t="str" cm="1">
        <f t="array" ref="H111">_xll.BDH($D111,"MTG_GEN_CPR_3M","20090610","20090610","Dts=H")</f>
        <v>#N/A Invalid Field</v>
      </c>
      <c r="I111" t="str" cm="1">
        <f t="array" ref="I111">_xll.BDH($D111,"MTG_GEN_CPR_6M","20090610","20090610","Dts=H")</f>
        <v>#N/A Invalid Field</v>
      </c>
      <c r="J111" t="str" cm="1">
        <f t="array" ref="J111">_xll.BDH($D111,"MTG_GEN_CPR_12M","20090610","20090610","Dts=H")</f>
        <v>#N/A Invalid Field</v>
      </c>
      <c r="K111" t="str" cm="1">
        <f t="array" ref="K111">_xll.BDP("31283H4W2 Mtge","MTG_PREPAY_TYP")</f>
        <v>PSA</v>
      </c>
      <c r="L111" cm="1">
        <f t="array" ref="L111">_xll.BDP(D111,"MTG_PREPAY_SPEED")</f>
        <v>1.3</v>
      </c>
      <c r="M111" cm="1">
        <f t="array" ref="M111">_xll.BDP(D111,"MTG_PL_PSA_1M ")</f>
        <v>13.4</v>
      </c>
      <c r="N111" cm="1">
        <f t="array" ref="N111">_xll.BDP(D111,"MTG_PL_PSA_3M ")</f>
        <v>14.5</v>
      </c>
      <c r="O111" cm="1">
        <f t="array" ref="O111">_xll.BDP(D111,"MTG_PL_PSA_6M ")</f>
        <v>21.7</v>
      </c>
    </row>
    <row r="112" spans="1:15" x14ac:dyDescent="0.25">
      <c r="A112" t="s">
        <v>348</v>
      </c>
      <c r="B112" t="s">
        <v>349</v>
      </c>
      <c r="C112" t="s">
        <v>100</v>
      </c>
      <c r="D112" t="s">
        <v>350</v>
      </c>
      <c r="E112" t="str" cm="1">
        <f t="array" ref="E112">_xll.BDH($D112,"MTG_GEN_CPR_3M","20090331","20090331","Dts=H")</f>
        <v>#N/A Invalid Field</v>
      </c>
      <c r="F112" t="str" cm="1">
        <f t="array" ref="F112">_xll.BDH($D112,"MTG_GEN_CPR_6M","20090331","20090331","Dts=H")</f>
        <v>#N/A Invalid Field</v>
      </c>
      <c r="G112" t="str" cm="1">
        <f t="array" ref="G112">_xll.BDH($D112,"MTG_GEN_CPR_12M","20090331","20090331","Dts=H")</f>
        <v>#N/A Invalid Field</v>
      </c>
      <c r="H112" t="str" cm="1">
        <f t="array" ref="H112">_xll.BDH($D112,"MTG_GEN_CPR_3M","20090610","20090610","Dts=H")</f>
        <v>#N/A Invalid Field</v>
      </c>
      <c r="I112" t="str" cm="1">
        <f t="array" ref="I112">_xll.BDH($D112,"MTG_GEN_CPR_6M","20090610","20090610","Dts=H")</f>
        <v>#N/A Invalid Field</v>
      </c>
      <c r="J112" t="str" cm="1">
        <f t="array" ref="J112">_xll.BDH($D112,"MTG_GEN_CPR_12M","20090610","20090610","Dts=H")</f>
        <v>#N/A Invalid Field</v>
      </c>
      <c r="K112" t="str" cm="1">
        <f t="array" ref="K112">_xll.BDP("31283H4W2 Mtge","MTG_PREPAY_TYP")</f>
        <v>PSA</v>
      </c>
      <c r="L112" t="str" cm="1">
        <f t="array" ref="L112">_xll.BDP(D112,"MTG_PREPAY_SPEED")</f>
        <v>#N/A N/A</v>
      </c>
      <c r="M112" cm="1">
        <f t="array" ref="M112">_xll.BDP(D112,"MTG_PL_PSA_1M ")</f>
        <v>1666.7</v>
      </c>
      <c r="N112" cm="1">
        <f t="array" ref="N112">_xll.BDP(D112,"MTG_PL_PSA_3M ")</f>
        <v>1666.7</v>
      </c>
      <c r="O112" cm="1">
        <f t="array" ref="O112">_xll.BDP(D112,"MTG_PL_PSA_6M ")</f>
        <v>1666.7</v>
      </c>
    </row>
    <row r="113" spans="1:15" x14ac:dyDescent="0.25">
      <c r="A113" t="s">
        <v>351</v>
      </c>
      <c r="B113" t="s">
        <v>352</v>
      </c>
      <c r="C113" t="s">
        <v>100</v>
      </c>
      <c r="D113" t="s">
        <v>353</v>
      </c>
      <c r="E113" t="str" cm="1">
        <f t="array" ref="E113">_xll.BDH($D113,"MTG_GEN_CPR_3M","20090331","20090331","Dts=H")</f>
        <v>#N/A Invalid Field</v>
      </c>
      <c r="F113" t="str" cm="1">
        <f t="array" ref="F113">_xll.BDH($D113,"MTG_GEN_CPR_6M","20090331","20090331","Dts=H")</f>
        <v>#N/A Invalid Field</v>
      </c>
      <c r="G113" t="str" cm="1">
        <f t="array" ref="G113">_xll.BDH($D113,"MTG_GEN_CPR_12M","20090331","20090331","Dts=H")</f>
        <v>#N/A Invalid Field</v>
      </c>
      <c r="H113" t="str" cm="1">
        <f t="array" ref="H113">_xll.BDH($D113,"MTG_GEN_CPR_3M","20090610","20090610","Dts=H")</f>
        <v>#N/A Invalid Field</v>
      </c>
      <c r="I113" t="str" cm="1">
        <f t="array" ref="I113">_xll.BDH($D113,"MTG_GEN_CPR_6M","20090610","20090610","Dts=H")</f>
        <v>#N/A Invalid Field</v>
      </c>
      <c r="J113" t="str" cm="1">
        <f t="array" ref="J113">_xll.BDH($D113,"MTG_GEN_CPR_12M","20090610","20090610","Dts=H")</f>
        <v>#N/A Invalid Field</v>
      </c>
      <c r="K113" t="str" cm="1">
        <f t="array" ref="K113">_xll.BDP("31283H4W2 Mtge","MTG_PREPAY_TYP")</f>
        <v>PSA</v>
      </c>
      <c r="L113" cm="1">
        <f t="array" ref="L113">_xll.BDP(D113,"MTG_PREPAY_SPEED")</f>
        <v>191</v>
      </c>
      <c r="M113" cm="1">
        <f t="array" ref="M113">_xll.BDP(D113,"MTG_PL_PSA_1M ")</f>
        <v>106.6</v>
      </c>
      <c r="N113" cm="1">
        <f t="array" ref="N113">_xll.BDP(D113,"MTG_PL_PSA_3M ")</f>
        <v>89.9</v>
      </c>
      <c r="O113" cm="1">
        <f t="array" ref="O113">_xll.BDP(D113,"MTG_PL_PSA_6M ")</f>
        <v>310</v>
      </c>
    </row>
    <row r="114" spans="1:15" x14ac:dyDescent="0.25">
      <c r="A114" t="s">
        <v>354</v>
      </c>
      <c r="B114" t="s">
        <v>355</v>
      </c>
      <c r="C114" t="s">
        <v>100</v>
      </c>
      <c r="D114" t="s">
        <v>356</v>
      </c>
      <c r="E114" t="str" cm="1">
        <f t="array" ref="E114">_xll.BDH($D114,"MTG_GEN_CPR_3M","20090331","20090331","Dts=H")</f>
        <v>#N/A Invalid Field</v>
      </c>
      <c r="F114" t="str" cm="1">
        <f t="array" ref="F114">_xll.BDH($D114,"MTG_GEN_CPR_6M","20090331","20090331","Dts=H")</f>
        <v>#N/A Invalid Field</v>
      </c>
      <c r="G114" t="str" cm="1">
        <f t="array" ref="G114">_xll.BDH($D114,"MTG_GEN_CPR_12M","20090331","20090331","Dts=H")</f>
        <v>#N/A Invalid Field</v>
      </c>
      <c r="H114" t="str" cm="1">
        <f t="array" ref="H114">_xll.BDH($D114,"MTG_GEN_CPR_3M","20090610","20090610","Dts=H")</f>
        <v>#N/A Invalid Field</v>
      </c>
      <c r="I114" t="str" cm="1">
        <f t="array" ref="I114">_xll.BDH($D114,"MTG_GEN_CPR_6M","20090610","20090610","Dts=H")</f>
        <v>#N/A Invalid Field</v>
      </c>
      <c r="J114" t="str" cm="1">
        <f t="array" ref="J114">_xll.BDH($D114,"MTG_GEN_CPR_12M","20090610","20090610","Dts=H")</f>
        <v>#N/A Invalid Field</v>
      </c>
      <c r="K114" t="str" cm="1">
        <f t="array" ref="K114">_xll.BDP("31283H4W2 Mtge","MTG_PREPAY_TYP")</f>
        <v>PSA</v>
      </c>
      <c r="L114" cm="1">
        <f t="array" ref="L114">_xll.BDP(D114,"MTG_PREPAY_SPEED")</f>
        <v>191</v>
      </c>
      <c r="M114" cm="1">
        <f t="array" ref="M114">_xll.BDP(D114,"MTG_PL_PSA_1M ")</f>
        <v>56.1</v>
      </c>
      <c r="N114" cm="1">
        <f t="array" ref="N114">_xll.BDP(D114,"MTG_PL_PSA_3M ")</f>
        <v>233.7</v>
      </c>
      <c r="O114" cm="1">
        <f t="array" ref="O114">_xll.BDP(D114,"MTG_PL_PSA_6M ")</f>
        <v>329.5</v>
      </c>
    </row>
    <row r="115" spans="1:15" x14ac:dyDescent="0.25">
      <c r="A115" t="s">
        <v>357</v>
      </c>
      <c r="B115" t="s">
        <v>358</v>
      </c>
      <c r="C115" t="s">
        <v>100</v>
      </c>
      <c r="D115" t="s">
        <v>359</v>
      </c>
      <c r="E115" t="str" cm="1">
        <f t="array" ref="E115">_xll.BDH($D115,"MTG_GEN_CPR_3M","20090331","20090331","Dts=H")</f>
        <v>#N/A Invalid Field</v>
      </c>
      <c r="F115" t="str" cm="1">
        <f t="array" ref="F115">_xll.BDH($D115,"MTG_GEN_CPR_6M","20090331","20090331","Dts=H")</f>
        <v>#N/A Invalid Field</v>
      </c>
      <c r="G115" t="str" cm="1">
        <f t="array" ref="G115">_xll.BDH($D115,"MTG_GEN_CPR_12M","20090331","20090331","Dts=H")</f>
        <v>#N/A Invalid Field</v>
      </c>
      <c r="H115" t="str" cm="1">
        <f t="array" ref="H115">_xll.BDH($D115,"MTG_GEN_CPR_3M","20090610","20090610","Dts=H")</f>
        <v>#N/A Invalid Field</v>
      </c>
      <c r="I115" t="str" cm="1">
        <f t="array" ref="I115">_xll.BDH($D115,"MTG_GEN_CPR_6M","20090610","20090610","Dts=H")</f>
        <v>#N/A Invalid Field</v>
      </c>
      <c r="J115" t="str" cm="1">
        <f t="array" ref="J115">_xll.BDH($D115,"MTG_GEN_CPR_12M","20090610","20090610","Dts=H")</f>
        <v>#N/A Invalid Field</v>
      </c>
      <c r="K115" t="str" cm="1">
        <f t="array" ref="K115">_xll.BDP("31283H4W2 Mtge","MTG_PREPAY_TYP")</f>
        <v>PSA</v>
      </c>
      <c r="L115" cm="1">
        <f t="array" ref="L115">_xll.BDP(D115,"MTG_PREPAY_SPEED")</f>
        <v>218</v>
      </c>
      <c r="M115" cm="1">
        <f t="array" ref="M115">_xll.BDP(D115,"MTG_PL_PSA_1M ")</f>
        <v>136.1</v>
      </c>
      <c r="N115" cm="1">
        <f t="array" ref="N115">_xll.BDP(D115,"MTG_PL_PSA_3M ")</f>
        <v>488.4</v>
      </c>
      <c r="O115" cm="1">
        <f t="array" ref="O115">_xll.BDP(D115,"MTG_PL_PSA_6M ")</f>
        <v>513.29999999999995</v>
      </c>
    </row>
    <row r="116" spans="1:15" x14ac:dyDescent="0.25">
      <c r="A116" t="s">
        <v>360</v>
      </c>
      <c r="B116" t="s">
        <v>361</v>
      </c>
      <c r="C116" t="s">
        <v>100</v>
      </c>
      <c r="D116" t="s">
        <v>362</v>
      </c>
      <c r="E116" t="str" cm="1">
        <f t="array" ref="E116">_xll.BDH($D116,"MTG_GEN_CPR_3M","20090331","20090331","Dts=H")</f>
        <v>#N/A Invalid Field</v>
      </c>
      <c r="F116" t="str" cm="1">
        <f t="array" ref="F116">_xll.BDH($D116,"MTG_GEN_CPR_6M","20090331","20090331","Dts=H")</f>
        <v>#N/A Invalid Field</v>
      </c>
      <c r="G116" t="str" cm="1">
        <f t="array" ref="G116">_xll.BDH($D116,"MTG_GEN_CPR_12M","20090331","20090331","Dts=H")</f>
        <v>#N/A Invalid Field</v>
      </c>
      <c r="H116" t="str" cm="1">
        <f t="array" ref="H116">_xll.BDH($D116,"MTG_GEN_CPR_3M","20090610","20090610","Dts=H")</f>
        <v>#N/A Invalid Field</v>
      </c>
      <c r="I116" t="str" cm="1">
        <f t="array" ref="I116">_xll.BDH($D116,"MTG_GEN_CPR_6M","20090610","20090610","Dts=H")</f>
        <v>#N/A Invalid Field</v>
      </c>
      <c r="J116" t="str" cm="1">
        <f t="array" ref="J116">_xll.BDH($D116,"MTG_GEN_CPR_12M","20090610","20090610","Dts=H")</f>
        <v>#N/A Invalid Field</v>
      </c>
      <c r="K116" t="str" cm="1">
        <f t="array" ref="K116">_xll.BDP("31283H4W2 Mtge","MTG_PREPAY_TYP")</f>
        <v>PSA</v>
      </c>
      <c r="L116" cm="1">
        <f t="array" ref="L116">_xll.BDP(D116,"MTG_PREPAY_SPEED")</f>
        <v>186</v>
      </c>
      <c r="M116" cm="1">
        <f t="array" ref="M116">_xll.BDP(D116,"MTG_PL_PSA_1M ")</f>
        <v>144.69999999999999</v>
      </c>
      <c r="N116" cm="1">
        <f t="array" ref="N116">_xll.BDP(D116,"MTG_PL_PSA_3M ")</f>
        <v>384.7</v>
      </c>
      <c r="O116" cm="1">
        <f t="array" ref="O116">_xll.BDP(D116,"MTG_PL_PSA_6M ")</f>
        <v>419.8</v>
      </c>
    </row>
    <row r="117" spans="1:15" x14ac:dyDescent="0.25">
      <c r="A117" t="s">
        <v>363</v>
      </c>
      <c r="B117" t="s">
        <v>364</v>
      </c>
      <c r="C117" t="s">
        <v>100</v>
      </c>
      <c r="D117" t="s">
        <v>365</v>
      </c>
      <c r="E117" t="str" cm="1">
        <f t="array" ref="E117">_xll.BDH($D117,"MTG_GEN_CPR_3M","20090331","20090331","Dts=H")</f>
        <v>#N/A Invalid Field</v>
      </c>
      <c r="F117" t="str" cm="1">
        <f t="array" ref="F117">_xll.BDH($D117,"MTG_GEN_CPR_6M","20090331","20090331","Dts=H")</f>
        <v>#N/A Invalid Field</v>
      </c>
      <c r="G117" t="str" cm="1">
        <f t="array" ref="G117">_xll.BDH($D117,"MTG_GEN_CPR_12M","20090331","20090331","Dts=H")</f>
        <v>#N/A Invalid Field</v>
      </c>
      <c r="H117" t="str" cm="1">
        <f t="array" ref="H117">_xll.BDH($D117,"MTG_GEN_CPR_3M","20090610","20090610","Dts=H")</f>
        <v>#N/A Invalid Field</v>
      </c>
      <c r="I117" t="str" cm="1">
        <f t="array" ref="I117">_xll.BDH($D117,"MTG_GEN_CPR_6M","20090610","20090610","Dts=H")</f>
        <v>#N/A Invalid Field</v>
      </c>
      <c r="J117" t="str" cm="1">
        <f t="array" ref="J117">_xll.BDH($D117,"MTG_GEN_CPR_12M","20090610","20090610","Dts=H")</f>
        <v>#N/A Invalid Field</v>
      </c>
      <c r="K117" t="str" cm="1">
        <f t="array" ref="K117">_xll.BDP("31283H4W2 Mtge","MTG_PREPAY_TYP")</f>
        <v>PSA</v>
      </c>
      <c r="L117" cm="1">
        <f t="array" ref="L117">_xll.BDP(D117,"MTG_PREPAY_SPEED")</f>
        <v>191</v>
      </c>
      <c r="M117" cm="1">
        <f t="array" ref="M117">_xll.BDP(D117,"MTG_PL_PSA_1M ")</f>
        <v>26.6</v>
      </c>
      <c r="N117" cm="1">
        <f t="array" ref="N117">_xll.BDP(D117,"MTG_PL_PSA_3M ")</f>
        <v>24.7</v>
      </c>
      <c r="O117" cm="1">
        <f t="array" ref="O117">_xll.BDP(D117,"MTG_PL_PSA_6M ")</f>
        <v>1254.8</v>
      </c>
    </row>
    <row r="118" spans="1:15" x14ac:dyDescent="0.25">
      <c r="A118" t="s">
        <v>366</v>
      </c>
      <c r="B118" t="s">
        <v>367</v>
      </c>
      <c r="C118" t="s">
        <v>100</v>
      </c>
      <c r="D118" t="s">
        <v>368</v>
      </c>
      <c r="E118" t="str" cm="1">
        <f t="array" ref="E118">_xll.BDH($D118,"MTG_GEN_CPR_3M","20090331","20090331","Dts=H")</f>
        <v>#N/A Invalid Field</v>
      </c>
      <c r="F118" t="str" cm="1">
        <f t="array" ref="F118">_xll.BDH($D118,"MTG_GEN_CPR_6M","20090331","20090331","Dts=H")</f>
        <v>#N/A Invalid Field</v>
      </c>
      <c r="G118" t="str" cm="1">
        <f t="array" ref="G118">_xll.BDH($D118,"MTG_GEN_CPR_12M","20090331","20090331","Dts=H")</f>
        <v>#N/A Invalid Field</v>
      </c>
      <c r="H118" t="str" cm="1">
        <f t="array" ref="H118">_xll.BDH($D118,"MTG_GEN_CPR_3M","20090610","20090610","Dts=H")</f>
        <v>#N/A Invalid Field</v>
      </c>
      <c r="I118" t="str" cm="1">
        <f t="array" ref="I118">_xll.BDH($D118,"MTG_GEN_CPR_6M","20090610","20090610","Dts=H")</f>
        <v>#N/A Invalid Field</v>
      </c>
      <c r="J118" t="str" cm="1">
        <f t="array" ref="J118">_xll.BDH($D118,"MTG_GEN_CPR_12M","20090610","20090610","Dts=H")</f>
        <v>#N/A Invalid Field</v>
      </c>
      <c r="K118" t="str" cm="1">
        <f t="array" ref="K118">_xll.BDP("31283H4W2 Mtge","MTG_PREPAY_TYP")</f>
        <v>PSA</v>
      </c>
      <c r="L118" cm="1">
        <f t="array" ref="L118">_xll.BDP(D118,"MTG_PREPAY_SPEED")</f>
        <v>140</v>
      </c>
      <c r="M118" cm="1">
        <f t="array" ref="M118">_xll.BDP(D118,"MTG_PL_PSA_1M ")</f>
        <v>264.7</v>
      </c>
      <c r="N118" cm="1">
        <f t="array" ref="N118">_xll.BDP(D118,"MTG_PL_PSA_3M ")</f>
        <v>161.5</v>
      </c>
      <c r="O118" cm="1">
        <f t="array" ref="O118">_xll.BDP(D118,"MTG_PL_PSA_6M ")</f>
        <v>159.30000000000001</v>
      </c>
    </row>
    <row r="119" spans="1:15" x14ac:dyDescent="0.25">
      <c r="A119" t="s">
        <v>369</v>
      </c>
      <c r="B119" t="s">
        <v>370</v>
      </c>
      <c r="C119" t="s">
        <v>100</v>
      </c>
      <c r="D119" t="s">
        <v>371</v>
      </c>
      <c r="E119" t="str" cm="1">
        <f t="array" ref="E119">_xll.BDH($D119,"MTG_GEN_CPR_3M","20090331","20090331","Dts=H")</f>
        <v>#N/A Invalid Field</v>
      </c>
      <c r="F119" t="str" cm="1">
        <f t="array" ref="F119">_xll.BDH($D119,"MTG_GEN_CPR_6M","20090331","20090331","Dts=H")</f>
        <v>#N/A Invalid Field</v>
      </c>
      <c r="G119" t="str" cm="1">
        <f t="array" ref="G119">_xll.BDH($D119,"MTG_GEN_CPR_12M","20090331","20090331","Dts=H")</f>
        <v>#N/A Invalid Field</v>
      </c>
      <c r="H119" t="str" cm="1">
        <f t="array" ref="H119">_xll.BDH($D119,"MTG_GEN_CPR_3M","20090610","20090610","Dts=H")</f>
        <v>#N/A Invalid Field</v>
      </c>
      <c r="I119" t="str" cm="1">
        <f t="array" ref="I119">_xll.BDH($D119,"MTG_GEN_CPR_6M","20090610","20090610","Dts=H")</f>
        <v>#N/A Invalid Field</v>
      </c>
      <c r="J119" t="str" cm="1">
        <f t="array" ref="J119">_xll.BDH($D119,"MTG_GEN_CPR_12M","20090610","20090610","Dts=H")</f>
        <v>#N/A Invalid Field</v>
      </c>
      <c r="K119" t="str" cm="1">
        <f t="array" ref="K119">_xll.BDP("31283H4W2 Mtge","MTG_PREPAY_TYP")</f>
        <v>PSA</v>
      </c>
      <c r="L119" cm="1">
        <f t="array" ref="L119">_xll.BDP(D119,"MTG_PREPAY_SPEED")</f>
        <v>191</v>
      </c>
      <c r="M119" cm="1">
        <f t="array" ref="M119">_xll.BDP(D119,"MTG_PL_PSA_1M ")</f>
        <v>9.1999999999999993</v>
      </c>
      <c r="N119" cm="1">
        <f t="array" ref="N119">_xll.BDP(D119,"MTG_PL_PSA_3M ")</f>
        <v>9</v>
      </c>
      <c r="O119" cm="1">
        <f t="array" ref="O119">_xll.BDP(D119,"MTG_PL_PSA_6M ")</f>
        <v>8.8000000000000007</v>
      </c>
    </row>
    <row r="120" spans="1:15" x14ac:dyDescent="0.25">
      <c r="A120" t="s">
        <v>372</v>
      </c>
      <c r="B120" t="s">
        <v>373</v>
      </c>
      <c r="C120" t="s">
        <v>100</v>
      </c>
      <c r="D120" t="s">
        <v>374</v>
      </c>
      <c r="E120" t="str" cm="1">
        <f t="array" ref="E120">_xll.BDH($D120,"MTG_GEN_CPR_3M","20090331","20090331","Dts=H")</f>
        <v>#N/A Invalid Field</v>
      </c>
      <c r="F120" t="str" cm="1">
        <f t="array" ref="F120">_xll.BDH($D120,"MTG_GEN_CPR_6M","20090331","20090331","Dts=H")</f>
        <v>#N/A Invalid Field</v>
      </c>
      <c r="G120" t="str" cm="1">
        <f t="array" ref="G120">_xll.BDH($D120,"MTG_GEN_CPR_12M","20090331","20090331","Dts=H")</f>
        <v>#N/A Invalid Field</v>
      </c>
      <c r="H120" t="str" cm="1">
        <f t="array" ref="H120">_xll.BDH($D120,"MTG_GEN_CPR_3M","20090610","20090610","Dts=H")</f>
        <v>#N/A Invalid Field</v>
      </c>
      <c r="I120" t="str" cm="1">
        <f t="array" ref="I120">_xll.BDH($D120,"MTG_GEN_CPR_6M","20090610","20090610","Dts=H")</f>
        <v>#N/A Invalid Field</v>
      </c>
      <c r="J120" t="str" cm="1">
        <f t="array" ref="J120">_xll.BDH($D120,"MTG_GEN_CPR_12M","20090610","20090610","Dts=H")</f>
        <v>#N/A Invalid Field</v>
      </c>
      <c r="K120" t="str" cm="1">
        <f t="array" ref="K120">_xll.BDP("31283H4W2 Mtge","MTG_PREPAY_TYP")</f>
        <v>PSA</v>
      </c>
      <c r="L120" cm="1">
        <f t="array" ref="L120">_xll.BDP(D120,"MTG_PREPAY_SPEED")</f>
        <v>213</v>
      </c>
      <c r="M120" cm="1">
        <f t="array" ref="M120">_xll.BDP(D120,"MTG_PL_PSA_1M ")</f>
        <v>106.7</v>
      </c>
      <c r="N120" cm="1">
        <f t="array" ref="N120">_xll.BDP(D120,"MTG_PL_PSA_3M ")</f>
        <v>104.9</v>
      </c>
      <c r="O120" cm="1">
        <f t="array" ref="O120">_xll.BDP(D120,"MTG_PL_PSA_6M ")</f>
        <v>86</v>
      </c>
    </row>
    <row r="121" spans="1:15" x14ac:dyDescent="0.25">
      <c r="A121" t="s">
        <v>375</v>
      </c>
      <c r="B121" t="s">
        <v>376</v>
      </c>
      <c r="C121" t="s">
        <v>100</v>
      </c>
      <c r="D121" t="s">
        <v>377</v>
      </c>
      <c r="E121" t="str" cm="1">
        <f t="array" ref="E121">_xll.BDH($D121,"MTG_GEN_CPR_3M","20090331","20090331","Dts=H")</f>
        <v>#N/A Invalid Field</v>
      </c>
      <c r="F121" t="str" cm="1">
        <f t="array" ref="F121">_xll.BDH($D121,"MTG_GEN_CPR_6M","20090331","20090331","Dts=H")</f>
        <v>#N/A Invalid Field</v>
      </c>
      <c r="G121" t="str" cm="1">
        <f t="array" ref="G121">_xll.BDH($D121,"MTG_GEN_CPR_12M","20090331","20090331","Dts=H")</f>
        <v>#N/A Invalid Field</v>
      </c>
      <c r="H121" t="str" cm="1">
        <f t="array" ref="H121">_xll.BDH($D121,"MTG_GEN_CPR_3M","20090610","20090610","Dts=H")</f>
        <v>#N/A Invalid Field</v>
      </c>
      <c r="I121" t="str" cm="1">
        <f t="array" ref="I121">_xll.BDH($D121,"MTG_GEN_CPR_6M","20090610","20090610","Dts=H")</f>
        <v>#N/A Invalid Field</v>
      </c>
      <c r="J121" t="str" cm="1">
        <f t="array" ref="J121">_xll.BDH($D121,"MTG_GEN_CPR_12M","20090610","20090610","Dts=H")</f>
        <v>#N/A Invalid Field</v>
      </c>
      <c r="K121" t="str" cm="1">
        <f t="array" ref="K121">_xll.BDP("31283H4W2 Mtge","MTG_PREPAY_TYP")</f>
        <v>PSA</v>
      </c>
      <c r="L121" t="str" cm="1">
        <f t="array" ref="L121">_xll.BDP(D121,"MTG_PREPAY_SPEED")</f>
        <v>#N/A N/A</v>
      </c>
      <c r="M121" cm="1">
        <f t="array" ref="M121">_xll.BDP(D121,"MTG_PL_PSA_1M ")</f>
        <v>1666.7</v>
      </c>
      <c r="N121" cm="1">
        <f t="array" ref="N121">_xll.BDP(D121,"MTG_PL_PSA_3M ")</f>
        <v>1666.7</v>
      </c>
      <c r="O121" cm="1">
        <f t="array" ref="O121">_xll.BDP(D121,"MTG_PL_PSA_6M ")</f>
        <v>1666.7</v>
      </c>
    </row>
    <row r="122" spans="1:15" x14ac:dyDescent="0.25">
      <c r="A122" t="s">
        <v>378</v>
      </c>
      <c r="B122" t="s">
        <v>379</v>
      </c>
      <c r="C122" t="s">
        <v>100</v>
      </c>
      <c r="D122" t="s">
        <v>380</v>
      </c>
      <c r="E122" t="str" cm="1">
        <f t="array" ref="E122">_xll.BDH($D122,"MTG_GEN_CPR_3M","20090331","20090331","Dts=H")</f>
        <v>#N/A Invalid Field</v>
      </c>
      <c r="F122" t="str" cm="1">
        <f t="array" ref="F122">_xll.BDH($D122,"MTG_GEN_CPR_6M","20090331","20090331","Dts=H")</f>
        <v>#N/A Invalid Field</v>
      </c>
      <c r="G122" t="str" cm="1">
        <f t="array" ref="G122">_xll.BDH($D122,"MTG_GEN_CPR_12M","20090331","20090331","Dts=H")</f>
        <v>#N/A Invalid Field</v>
      </c>
      <c r="H122" t="str" cm="1">
        <f t="array" ref="H122">_xll.BDH($D122,"MTG_GEN_CPR_3M","20090610","20090610","Dts=H")</f>
        <v>#N/A Invalid Field</v>
      </c>
      <c r="I122" t="str" cm="1">
        <f t="array" ref="I122">_xll.BDH($D122,"MTG_GEN_CPR_6M","20090610","20090610","Dts=H")</f>
        <v>#N/A Invalid Field</v>
      </c>
      <c r="J122" t="str" cm="1">
        <f t="array" ref="J122">_xll.BDH($D122,"MTG_GEN_CPR_12M","20090610","20090610","Dts=H")</f>
        <v>#N/A Invalid Field</v>
      </c>
      <c r="K122" t="str" cm="1">
        <f t="array" ref="K122">_xll.BDP("31283H4W2 Mtge","MTG_PREPAY_TYP")</f>
        <v>PSA</v>
      </c>
      <c r="L122" cm="1">
        <f t="array" ref="L122">_xll.BDP(D122,"MTG_PREPAY_SPEED")</f>
        <v>213</v>
      </c>
      <c r="M122" cm="1">
        <f t="array" ref="M122">_xll.BDP(D122,"MTG_PL_PSA_1M ")</f>
        <v>127.3</v>
      </c>
      <c r="N122" cm="1">
        <f t="array" ref="N122">_xll.BDP(D122,"MTG_PL_PSA_3M ")</f>
        <v>118</v>
      </c>
      <c r="O122" cm="1">
        <f t="array" ref="O122">_xll.BDP(D122,"MTG_PL_PSA_6M ")</f>
        <v>106.2</v>
      </c>
    </row>
    <row r="123" spans="1:15" x14ac:dyDescent="0.25">
      <c r="A123" t="s">
        <v>381</v>
      </c>
      <c r="B123" t="s">
        <v>382</v>
      </c>
      <c r="C123" t="s">
        <v>100</v>
      </c>
      <c r="D123" t="s">
        <v>383</v>
      </c>
      <c r="E123" t="str" cm="1">
        <f t="array" ref="E123">_xll.BDH($D123,"MTG_GEN_CPR_3M","20090331","20090331","Dts=H")</f>
        <v>#N/A Invalid Field</v>
      </c>
      <c r="F123" t="str" cm="1">
        <f t="array" ref="F123">_xll.BDH($D123,"MTG_GEN_CPR_6M","20090331","20090331","Dts=H")</f>
        <v>#N/A Invalid Field</v>
      </c>
      <c r="G123" t="str" cm="1">
        <f t="array" ref="G123">_xll.BDH($D123,"MTG_GEN_CPR_12M","20090331","20090331","Dts=H")</f>
        <v>#N/A Invalid Field</v>
      </c>
      <c r="H123" t="str" cm="1">
        <f t="array" ref="H123">_xll.BDH($D123,"MTG_GEN_CPR_3M","20090610","20090610","Dts=H")</f>
        <v>#N/A Invalid Field</v>
      </c>
      <c r="I123" t="str" cm="1">
        <f t="array" ref="I123">_xll.BDH($D123,"MTG_GEN_CPR_6M","20090610","20090610","Dts=H")</f>
        <v>#N/A Invalid Field</v>
      </c>
      <c r="J123" t="str" cm="1">
        <f t="array" ref="J123">_xll.BDH($D123,"MTG_GEN_CPR_12M","20090610","20090610","Dts=H")</f>
        <v>#N/A Invalid Field</v>
      </c>
      <c r="K123" t="str" cm="1">
        <f t="array" ref="K123">_xll.BDP("31283H4W2 Mtge","MTG_PREPAY_TYP")</f>
        <v>PSA</v>
      </c>
      <c r="L123" t="str" cm="1">
        <f t="array" ref="L123">_xll.BDP(D123,"MTG_PREPAY_SPEED")</f>
        <v>#N/A N/A</v>
      </c>
      <c r="M123" cm="1">
        <f t="array" ref="M123">_xll.BDP(D123,"MTG_PL_PSA_1M ")</f>
        <v>1666.7</v>
      </c>
      <c r="N123" cm="1">
        <f t="array" ref="N123">_xll.BDP(D123,"MTG_PL_PSA_3M ")</f>
        <v>1666.7</v>
      </c>
      <c r="O123" cm="1">
        <f t="array" ref="O123">_xll.BDP(D123,"MTG_PL_PSA_6M ")</f>
        <v>1666.7</v>
      </c>
    </row>
    <row r="124" spans="1:15" x14ac:dyDescent="0.25">
      <c r="A124" t="s">
        <v>384</v>
      </c>
      <c r="B124" t="s">
        <v>385</v>
      </c>
      <c r="C124" t="s">
        <v>100</v>
      </c>
      <c r="D124" t="s">
        <v>386</v>
      </c>
      <c r="E124" t="str" cm="1">
        <f t="array" ref="E124">_xll.BDH($D124,"MTG_GEN_CPR_3M","20090331","20090331","Dts=H")</f>
        <v>#N/A Invalid Field</v>
      </c>
      <c r="F124" t="str" cm="1">
        <f t="array" ref="F124">_xll.BDH($D124,"MTG_GEN_CPR_6M","20090331","20090331","Dts=H")</f>
        <v>#N/A Invalid Field</v>
      </c>
      <c r="G124" t="str" cm="1">
        <f t="array" ref="G124">_xll.BDH($D124,"MTG_GEN_CPR_12M","20090331","20090331","Dts=H")</f>
        <v>#N/A Invalid Field</v>
      </c>
      <c r="H124" t="str" cm="1">
        <f t="array" ref="H124">_xll.BDH($D124,"MTG_GEN_CPR_3M","20090610","20090610","Dts=H")</f>
        <v>#N/A Invalid Field</v>
      </c>
      <c r="I124" t="str" cm="1">
        <f t="array" ref="I124">_xll.BDH($D124,"MTG_GEN_CPR_6M","20090610","20090610","Dts=H")</f>
        <v>#N/A Invalid Field</v>
      </c>
      <c r="J124" t="str" cm="1">
        <f t="array" ref="J124">_xll.BDH($D124,"MTG_GEN_CPR_12M","20090610","20090610","Dts=H")</f>
        <v>#N/A Invalid Field</v>
      </c>
      <c r="K124" t="str" cm="1">
        <f t="array" ref="K124">_xll.BDP("31283H4W2 Mtge","MTG_PREPAY_TYP")</f>
        <v>PSA</v>
      </c>
      <c r="L124" t="str" cm="1">
        <f t="array" ref="L124">_xll.BDP(D124,"MTG_PREPAY_SPEED")</f>
        <v>#N/A N/A</v>
      </c>
      <c r="M124" cm="1">
        <f t="array" ref="M124">_xll.BDP(D124,"MTG_PL_PSA_1M ")</f>
        <v>1666.7</v>
      </c>
      <c r="N124" cm="1">
        <f t="array" ref="N124">_xll.BDP(D124,"MTG_PL_PSA_3M ")</f>
        <v>1666.7</v>
      </c>
      <c r="O124" cm="1">
        <f t="array" ref="O124">_xll.BDP(D124,"MTG_PL_PSA_6M ")</f>
        <v>1666.7</v>
      </c>
    </row>
    <row r="125" spans="1:15" x14ac:dyDescent="0.25">
      <c r="A125" t="s">
        <v>387</v>
      </c>
      <c r="B125" t="s">
        <v>388</v>
      </c>
      <c r="C125" t="s">
        <v>100</v>
      </c>
      <c r="D125" t="s">
        <v>389</v>
      </c>
      <c r="E125" t="str" cm="1">
        <f t="array" ref="E125">_xll.BDH($D125,"MTG_GEN_CPR_3M","20090331","20090331","Dts=H")</f>
        <v>#N/A Invalid Field</v>
      </c>
      <c r="F125" t="str" cm="1">
        <f t="array" ref="F125">_xll.BDH($D125,"MTG_GEN_CPR_6M","20090331","20090331","Dts=H")</f>
        <v>#N/A Invalid Field</v>
      </c>
      <c r="G125" t="str" cm="1">
        <f t="array" ref="G125">_xll.BDH($D125,"MTG_GEN_CPR_12M","20090331","20090331","Dts=H")</f>
        <v>#N/A Invalid Field</v>
      </c>
      <c r="H125" t="str" cm="1">
        <f t="array" ref="H125">_xll.BDH($D125,"MTG_GEN_CPR_3M","20090610","20090610","Dts=H")</f>
        <v>#N/A Invalid Field</v>
      </c>
      <c r="I125" t="str" cm="1">
        <f t="array" ref="I125">_xll.BDH($D125,"MTG_GEN_CPR_6M","20090610","20090610","Dts=H")</f>
        <v>#N/A Invalid Field</v>
      </c>
      <c r="J125" t="str" cm="1">
        <f t="array" ref="J125">_xll.BDH($D125,"MTG_GEN_CPR_12M","20090610","20090610","Dts=H")</f>
        <v>#N/A Invalid Field</v>
      </c>
      <c r="K125" t="str" cm="1">
        <f t="array" ref="K125">_xll.BDP("31283H4W2 Mtge","MTG_PREPAY_TYP")</f>
        <v>PSA</v>
      </c>
      <c r="L125" t="str" cm="1">
        <f t="array" ref="L125">_xll.BDP(D125,"MTG_PREPAY_SPEED")</f>
        <v>#N/A N/A</v>
      </c>
      <c r="M125" cm="1">
        <f t="array" ref="M125">_xll.BDP(D125,"MTG_PL_PSA_1M ")</f>
        <v>1666.7</v>
      </c>
      <c r="N125" cm="1">
        <f t="array" ref="N125">_xll.BDP(D125,"MTG_PL_PSA_3M ")</f>
        <v>1666.7</v>
      </c>
      <c r="O125" cm="1">
        <f t="array" ref="O125">_xll.BDP(D125,"MTG_PL_PSA_6M ")</f>
        <v>1666.7</v>
      </c>
    </row>
    <row r="126" spans="1:15" x14ac:dyDescent="0.25">
      <c r="A126" t="s">
        <v>390</v>
      </c>
      <c r="B126" t="s">
        <v>391</v>
      </c>
      <c r="C126" t="s">
        <v>100</v>
      </c>
      <c r="D126" t="s">
        <v>392</v>
      </c>
      <c r="E126" t="str" cm="1">
        <f t="array" ref="E126">_xll.BDH($D126,"MTG_GEN_CPR_3M","20090331","20090331","Dts=H")</f>
        <v>#N/A Invalid Field</v>
      </c>
      <c r="F126" t="str" cm="1">
        <f t="array" ref="F126">_xll.BDH($D126,"MTG_GEN_CPR_6M","20090331","20090331","Dts=H")</f>
        <v>#N/A Invalid Field</v>
      </c>
      <c r="G126" t="str" cm="1">
        <f t="array" ref="G126">_xll.BDH($D126,"MTG_GEN_CPR_12M","20090331","20090331","Dts=H")</f>
        <v>#N/A Invalid Field</v>
      </c>
      <c r="H126" t="str" cm="1">
        <f t="array" ref="H126">_xll.BDH($D126,"MTG_GEN_CPR_3M","20090610","20090610","Dts=H")</f>
        <v>#N/A Invalid Field</v>
      </c>
      <c r="I126" t="str" cm="1">
        <f t="array" ref="I126">_xll.BDH($D126,"MTG_GEN_CPR_6M","20090610","20090610","Dts=H")</f>
        <v>#N/A Invalid Field</v>
      </c>
      <c r="J126" t="str" cm="1">
        <f t="array" ref="J126">_xll.BDH($D126,"MTG_GEN_CPR_12M","20090610","20090610","Dts=H")</f>
        <v>#N/A Invalid Field</v>
      </c>
      <c r="K126" t="str" cm="1">
        <f t="array" ref="K126">_xll.BDP("31283H4W2 Mtge","MTG_PREPAY_TYP")</f>
        <v>PSA</v>
      </c>
      <c r="L126" t="str" cm="1">
        <f t="array" ref="L126">_xll.BDP(D126,"MTG_PREPAY_SPEED")</f>
        <v>#N/A N/A</v>
      </c>
      <c r="M126" cm="1">
        <f t="array" ref="M126">_xll.BDP(D126,"MTG_PL_PSA_1M ")</f>
        <v>1666.7</v>
      </c>
      <c r="N126" cm="1">
        <f t="array" ref="N126">_xll.BDP(D126,"MTG_PL_PSA_3M ")</f>
        <v>1666.7</v>
      </c>
      <c r="O126" cm="1">
        <f t="array" ref="O126">_xll.BDP(D126,"MTG_PL_PSA_6M ")</f>
        <v>1666.7</v>
      </c>
    </row>
    <row r="127" spans="1:15" x14ac:dyDescent="0.25">
      <c r="A127" t="s">
        <v>393</v>
      </c>
      <c r="B127" t="s">
        <v>394</v>
      </c>
      <c r="C127" t="s">
        <v>100</v>
      </c>
      <c r="D127" t="s">
        <v>395</v>
      </c>
      <c r="E127" t="str" cm="1">
        <f t="array" ref="E127">_xll.BDH($D127,"MTG_GEN_CPR_3M","20090331","20090331","Dts=H")</f>
        <v>#N/A Invalid Field</v>
      </c>
      <c r="F127" t="str" cm="1">
        <f t="array" ref="F127">_xll.BDH($D127,"MTG_GEN_CPR_6M","20090331","20090331","Dts=H")</f>
        <v>#N/A Invalid Field</v>
      </c>
      <c r="G127" t="str" cm="1">
        <f t="array" ref="G127">_xll.BDH($D127,"MTG_GEN_CPR_12M","20090331","20090331","Dts=H")</f>
        <v>#N/A Invalid Field</v>
      </c>
      <c r="H127" t="str" cm="1">
        <f t="array" ref="H127">_xll.BDH($D127,"MTG_GEN_CPR_3M","20090610","20090610","Dts=H")</f>
        <v>#N/A Invalid Field</v>
      </c>
      <c r="I127" t="str" cm="1">
        <f t="array" ref="I127">_xll.BDH($D127,"MTG_GEN_CPR_6M","20090610","20090610","Dts=H")</f>
        <v>#N/A Invalid Field</v>
      </c>
      <c r="J127" t="str" cm="1">
        <f t="array" ref="J127">_xll.BDH($D127,"MTG_GEN_CPR_12M","20090610","20090610","Dts=H")</f>
        <v>#N/A Invalid Field</v>
      </c>
      <c r="K127" t="str" cm="1">
        <f t="array" ref="K127">_xll.BDP("31283H4W2 Mtge","MTG_PREPAY_TYP")</f>
        <v>PSA</v>
      </c>
      <c r="L127" t="str" cm="1">
        <f t="array" ref="L127">_xll.BDP(D127,"MTG_PREPAY_SPEED")</f>
        <v>#N/A N/A</v>
      </c>
      <c r="M127" cm="1">
        <f t="array" ref="M127">_xll.BDP(D127,"MTG_PL_PSA_1M ")</f>
        <v>0</v>
      </c>
      <c r="N127" cm="1">
        <f t="array" ref="N127">_xll.BDP(D127,"MTG_PL_PSA_3M ")</f>
        <v>169.6</v>
      </c>
      <c r="O127" cm="1">
        <f t="array" ref="O127">_xll.BDP(D127,"MTG_PL_PSA_6M ")</f>
        <v>122.3</v>
      </c>
    </row>
    <row r="128" spans="1:15" x14ac:dyDescent="0.25">
      <c r="A128" t="s">
        <v>396</v>
      </c>
      <c r="B128" t="s">
        <v>397</v>
      </c>
      <c r="C128" t="s">
        <v>100</v>
      </c>
      <c r="D128" t="s">
        <v>398</v>
      </c>
      <c r="E128" t="str" cm="1">
        <f t="array" ref="E128">_xll.BDH($D128,"MTG_GEN_CPR_3M","20090331","20090331","Dts=H")</f>
        <v>#N/A Invalid Field</v>
      </c>
      <c r="F128" t="str" cm="1">
        <f t="array" ref="F128">_xll.BDH($D128,"MTG_GEN_CPR_6M","20090331","20090331","Dts=H")</f>
        <v>#N/A Invalid Field</v>
      </c>
      <c r="G128" t="str" cm="1">
        <f t="array" ref="G128">_xll.BDH($D128,"MTG_GEN_CPR_12M","20090331","20090331","Dts=H")</f>
        <v>#N/A Invalid Field</v>
      </c>
      <c r="H128" t="str" cm="1">
        <f t="array" ref="H128">_xll.BDH($D128,"MTG_GEN_CPR_3M","20090610","20090610","Dts=H")</f>
        <v>#N/A Invalid Field</v>
      </c>
      <c r="I128" t="str" cm="1">
        <f t="array" ref="I128">_xll.BDH($D128,"MTG_GEN_CPR_6M","20090610","20090610","Dts=H")</f>
        <v>#N/A Invalid Field</v>
      </c>
      <c r="J128" t="str" cm="1">
        <f t="array" ref="J128">_xll.BDH($D128,"MTG_GEN_CPR_12M","20090610","20090610","Dts=H")</f>
        <v>#N/A Invalid Field</v>
      </c>
      <c r="K128" t="str" cm="1">
        <f t="array" ref="K128">_xll.BDP("31283H4W2 Mtge","MTG_PREPAY_TYP")</f>
        <v>PSA</v>
      </c>
      <c r="L128" t="str" cm="1">
        <f t="array" ref="L128">_xll.BDP(D128,"MTG_PREPAY_SPEED")</f>
        <v>#N/A N/A</v>
      </c>
      <c r="M128" cm="1">
        <f t="array" ref="M128">_xll.BDP(D128,"MTG_PL_PSA_1M ")</f>
        <v>0</v>
      </c>
      <c r="N128" cm="1">
        <f t="array" ref="N128">_xll.BDP(D128,"MTG_PL_PSA_3M ")</f>
        <v>1505.7</v>
      </c>
      <c r="O128" cm="1">
        <f t="array" ref="O128">_xll.BDP(D128,"MTG_PL_PSA_6M ")</f>
        <v>1306.5999999999999</v>
      </c>
    </row>
    <row r="129" spans="1:15" x14ac:dyDescent="0.25">
      <c r="A129" t="s">
        <v>399</v>
      </c>
      <c r="B129" t="s">
        <v>400</v>
      </c>
      <c r="C129" t="s">
        <v>100</v>
      </c>
      <c r="D129" t="s">
        <v>401</v>
      </c>
      <c r="E129" t="str" cm="1">
        <f t="array" ref="E129">_xll.BDH($D129,"MTG_GEN_CPR_3M","20090331","20090331","Dts=H")</f>
        <v>#N/A Invalid Field</v>
      </c>
      <c r="F129" t="str" cm="1">
        <f t="array" ref="F129">_xll.BDH($D129,"MTG_GEN_CPR_6M","20090331","20090331","Dts=H")</f>
        <v>#N/A Invalid Field</v>
      </c>
      <c r="G129" t="str" cm="1">
        <f t="array" ref="G129">_xll.BDH($D129,"MTG_GEN_CPR_12M","20090331","20090331","Dts=H")</f>
        <v>#N/A Invalid Field</v>
      </c>
      <c r="H129" t="str" cm="1">
        <f t="array" ref="H129">_xll.BDH($D129,"MTG_GEN_CPR_3M","20090610","20090610","Dts=H")</f>
        <v>#N/A Invalid Field</v>
      </c>
      <c r="I129" t="str" cm="1">
        <f t="array" ref="I129">_xll.BDH($D129,"MTG_GEN_CPR_6M","20090610","20090610","Dts=H")</f>
        <v>#N/A Invalid Field</v>
      </c>
      <c r="J129" t="str" cm="1">
        <f t="array" ref="J129">_xll.BDH($D129,"MTG_GEN_CPR_12M","20090610","20090610","Dts=H")</f>
        <v>#N/A Invalid Field</v>
      </c>
      <c r="K129" t="str" cm="1">
        <f t="array" ref="K129">_xll.BDP("31283H4W2 Mtge","MTG_PREPAY_TYP")</f>
        <v>PSA</v>
      </c>
      <c r="L129" t="str" cm="1">
        <f t="array" ref="L129">_xll.BDP(D129,"MTG_PREPAY_SPEED")</f>
        <v>#N/A N/A</v>
      </c>
      <c r="M129" cm="1">
        <f t="array" ref="M129">_xll.BDP(D129,"MTG_PL_PSA_1M ")</f>
        <v>0</v>
      </c>
      <c r="N129" cm="1">
        <f t="array" ref="N129">_xll.BDP(D129,"MTG_PL_PSA_3M ")</f>
        <v>1255.5999999999999</v>
      </c>
      <c r="O129" cm="1">
        <f t="array" ref="O129">_xll.BDP(D129,"MTG_PL_PSA_6M ")</f>
        <v>1120.7</v>
      </c>
    </row>
    <row r="130" spans="1:15" x14ac:dyDescent="0.25">
      <c r="A130" t="s">
        <v>402</v>
      </c>
      <c r="B130" t="s">
        <v>403</v>
      </c>
      <c r="C130" t="s">
        <v>100</v>
      </c>
      <c r="D130" t="s">
        <v>404</v>
      </c>
      <c r="E130" t="str" cm="1">
        <f t="array" ref="E130">_xll.BDH($D130,"MTG_GEN_CPR_3M","20090331","20090331","Dts=H")</f>
        <v>#N/A Invalid Field</v>
      </c>
      <c r="F130" t="str" cm="1">
        <f t="array" ref="F130">_xll.BDH($D130,"MTG_GEN_CPR_6M","20090331","20090331","Dts=H")</f>
        <v>#N/A Invalid Field</v>
      </c>
      <c r="G130" t="str" cm="1">
        <f t="array" ref="G130">_xll.BDH($D130,"MTG_GEN_CPR_12M","20090331","20090331","Dts=H")</f>
        <v>#N/A Invalid Field</v>
      </c>
      <c r="H130" t="str" cm="1">
        <f t="array" ref="H130">_xll.BDH($D130,"MTG_GEN_CPR_3M","20090610","20090610","Dts=H")</f>
        <v>#N/A Invalid Field</v>
      </c>
      <c r="I130" t="str" cm="1">
        <f t="array" ref="I130">_xll.BDH($D130,"MTG_GEN_CPR_6M","20090610","20090610","Dts=H")</f>
        <v>#N/A Invalid Field</v>
      </c>
      <c r="J130" t="str" cm="1">
        <f t="array" ref="J130">_xll.BDH($D130,"MTG_GEN_CPR_12M","20090610","20090610","Dts=H")</f>
        <v>#N/A Invalid Field</v>
      </c>
      <c r="K130" t="str" cm="1">
        <f t="array" ref="K130">_xll.BDP("31283H4W2 Mtge","MTG_PREPAY_TYP")</f>
        <v>PSA</v>
      </c>
      <c r="L130" t="str" cm="1">
        <f t="array" ref="L130">_xll.BDP(D130,"MTG_PREPAY_SPEED")</f>
        <v>#N/A N/A</v>
      </c>
      <c r="M130" cm="1">
        <f t="array" ref="M130">_xll.BDP(D130,"MTG_PL_PSA_1M ")</f>
        <v>0</v>
      </c>
      <c r="N130" cm="1">
        <f t="array" ref="N130">_xll.BDP(D130,"MTG_PL_PSA_3M ")</f>
        <v>-1772.1</v>
      </c>
      <c r="O130" cm="1">
        <f t="array" ref="O130">_xll.BDP(D130,"MTG_PL_PSA_6M ")</f>
        <v>129.1</v>
      </c>
    </row>
    <row r="131" spans="1:15" x14ac:dyDescent="0.25">
      <c r="A131" t="s">
        <v>405</v>
      </c>
      <c r="B131" t="s">
        <v>406</v>
      </c>
      <c r="C131" t="s">
        <v>100</v>
      </c>
      <c r="D131" t="s">
        <v>407</v>
      </c>
      <c r="E131" t="str" cm="1">
        <f t="array" ref="E131">_xll.BDH($D131,"MTG_GEN_CPR_3M","20090331","20090331","Dts=H")</f>
        <v>#N/A Invalid Field</v>
      </c>
      <c r="F131" t="str" cm="1">
        <f t="array" ref="F131">_xll.BDH($D131,"MTG_GEN_CPR_6M","20090331","20090331","Dts=H")</f>
        <v>#N/A Invalid Field</v>
      </c>
      <c r="G131" t="str" cm="1">
        <f t="array" ref="G131">_xll.BDH($D131,"MTG_GEN_CPR_12M","20090331","20090331","Dts=H")</f>
        <v>#N/A Invalid Field</v>
      </c>
      <c r="H131" t="str" cm="1">
        <f t="array" ref="H131">_xll.BDH($D131,"MTG_GEN_CPR_3M","20090610","20090610","Dts=H")</f>
        <v>#N/A Invalid Field</v>
      </c>
      <c r="I131" t="str" cm="1">
        <f t="array" ref="I131">_xll.BDH($D131,"MTG_GEN_CPR_6M","20090610","20090610","Dts=H")</f>
        <v>#N/A Invalid Field</v>
      </c>
      <c r="J131" t="str" cm="1">
        <f t="array" ref="J131">_xll.BDH($D131,"MTG_GEN_CPR_12M","20090610","20090610","Dts=H")</f>
        <v>#N/A Invalid Field</v>
      </c>
      <c r="K131" t="str" cm="1">
        <f t="array" ref="K131">_xll.BDP("31283H4W2 Mtge","MTG_PREPAY_TYP")</f>
        <v>PSA</v>
      </c>
      <c r="L131" t="str" cm="1">
        <f t="array" ref="L131">_xll.BDP(D131,"MTG_PREPAY_SPEED")</f>
        <v>#N/A N/A</v>
      </c>
      <c r="M131" cm="1">
        <f t="array" ref="M131">_xll.BDP(D131,"MTG_PL_PSA_1M ")</f>
        <v>0</v>
      </c>
      <c r="N131" cm="1">
        <f t="array" ref="N131">_xll.BDP(D131,"MTG_PL_PSA_3M ")</f>
        <v>801.9</v>
      </c>
      <c r="O131" cm="1">
        <f t="array" ref="O131">_xll.BDP(D131,"MTG_PL_PSA_6M ")</f>
        <v>869</v>
      </c>
    </row>
    <row r="132" spans="1:15" x14ac:dyDescent="0.25">
      <c r="A132" t="s">
        <v>408</v>
      </c>
      <c r="B132" t="s">
        <v>409</v>
      </c>
      <c r="C132" t="s">
        <v>100</v>
      </c>
      <c r="D132" t="s">
        <v>410</v>
      </c>
      <c r="E132" t="str" cm="1">
        <f t="array" ref="E132">_xll.BDH($D132,"MTG_GEN_CPR_3M","20090331","20090331","Dts=H")</f>
        <v>#N/A Invalid Field</v>
      </c>
      <c r="F132" t="str" cm="1">
        <f t="array" ref="F132">_xll.BDH($D132,"MTG_GEN_CPR_6M","20090331","20090331","Dts=H")</f>
        <v>#N/A Invalid Field</v>
      </c>
      <c r="G132" t="str" cm="1">
        <f t="array" ref="G132">_xll.BDH($D132,"MTG_GEN_CPR_12M","20090331","20090331","Dts=H")</f>
        <v>#N/A Invalid Field</v>
      </c>
      <c r="H132" t="str" cm="1">
        <f t="array" ref="H132">_xll.BDH($D132,"MTG_GEN_CPR_3M","20090610","20090610","Dts=H")</f>
        <v>#N/A Invalid Field</v>
      </c>
      <c r="I132" t="str" cm="1">
        <f t="array" ref="I132">_xll.BDH($D132,"MTG_GEN_CPR_6M","20090610","20090610","Dts=H")</f>
        <v>#N/A Invalid Field</v>
      </c>
      <c r="J132" t="str" cm="1">
        <f t="array" ref="J132">_xll.BDH($D132,"MTG_GEN_CPR_12M","20090610","20090610","Dts=H")</f>
        <v>#N/A Invalid Field</v>
      </c>
      <c r="K132" t="str" cm="1">
        <f t="array" ref="K132">_xll.BDP("31283H4W2 Mtge","MTG_PREPAY_TYP")</f>
        <v>PSA</v>
      </c>
      <c r="L132" t="str" cm="1">
        <f t="array" ref="L132">_xll.BDP(D132,"MTG_PREPAY_SPEED")</f>
        <v>#N/A N/A</v>
      </c>
      <c r="M132" cm="1">
        <f t="array" ref="M132">_xll.BDP(D132,"MTG_PL_PSA_1M ")</f>
        <v>0</v>
      </c>
      <c r="N132" cm="1">
        <f t="array" ref="N132">_xll.BDP(D132,"MTG_PL_PSA_3M ")</f>
        <v>-602.29999999999995</v>
      </c>
      <c r="O132" cm="1">
        <f t="array" ref="O132">_xll.BDP(D132,"MTG_PL_PSA_6M ")</f>
        <v>-14.1</v>
      </c>
    </row>
    <row r="133" spans="1:15" x14ac:dyDescent="0.25">
      <c r="A133" t="s">
        <v>411</v>
      </c>
      <c r="B133" t="s">
        <v>412</v>
      </c>
      <c r="C133" t="s">
        <v>100</v>
      </c>
      <c r="D133" t="s">
        <v>413</v>
      </c>
      <c r="E133" t="str" cm="1">
        <f t="array" ref="E133">_xll.BDH($D133,"MTG_GEN_CPR_3M","20090331","20090331","Dts=H")</f>
        <v>#N/A Invalid Field</v>
      </c>
      <c r="F133" t="str" cm="1">
        <f t="array" ref="F133">_xll.BDH($D133,"MTG_GEN_CPR_6M","20090331","20090331","Dts=H")</f>
        <v>#N/A Invalid Field</v>
      </c>
      <c r="G133" t="str" cm="1">
        <f t="array" ref="G133">_xll.BDH($D133,"MTG_GEN_CPR_12M","20090331","20090331","Dts=H")</f>
        <v>#N/A Invalid Field</v>
      </c>
      <c r="H133" t="str" cm="1">
        <f t="array" ref="H133">_xll.BDH($D133,"MTG_GEN_CPR_3M","20090610","20090610","Dts=H")</f>
        <v>#N/A Invalid Field</v>
      </c>
      <c r="I133" t="str" cm="1">
        <f t="array" ref="I133">_xll.BDH($D133,"MTG_GEN_CPR_6M","20090610","20090610","Dts=H")</f>
        <v>#N/A Invalid Field</v>
      </c>
      <c r="J133" t="str" cm="1">
        <f t="array" ref="J133">_xll.BDH($D133,"MTG_GEN_CPR_12M","20090610","20090610","Dts=H")</f>
        <v>#N/A Invalid Field</v>
      </c>
      <c r="K133" t="str" cm="1">
        <f t="array" ref="K133">_xll.BDP("31283H4W2 Mtge","MTG_PREPAY_TYP")</f>
        <v>PSA</v>
      </c>
      <c r="L133" t="str" cm="1">
        <f t="array" ref="L133">_xll.BDP(D133,"MTG_PREPAY_SPEED")</f>
        <v>#N/A N/A</v>
      </c>
      <c r="M133" cm="1">
        <f t="array" ref="M133">_xll.BDP(D133,"MTG_PL_PSA_1M ")</f>
        <v>0</v>
      </c>
      <c r="N133" cm="1">
        <f t="array" ref="N133">_xll.BDP(D133,"MTG_PL_PSA_3M ")</f>
        <v>1570.2</v>
      </c>
      <c r="O133" cm="1">
        <f t="array" ref="O133">_xll.BDP(D133,"MTG_PL_PSA_6M ")</f>
        <v>1298.3</v>
      </c>
    </row>
    <row r="134" spans="1:15" x14ac:dyDescent="0.25">
      <c r="A134" t="s">
        <v>414</v>
      </c>
      <c r="B134" t="s">
        <v>415</v>
      </c>
      <c r="C134" t="s">
        <v>100</v>
      </c>
      <c r="D134" t="s">
        <v>416</v>
      </c>
      <c r="E134" t="str" cm="1">
        <f t="array" ref="E134">_xll.BDH($D134,"MTG_GEN_CPR_3M","20090331","20090331","Dts=H")</f>
        <v>#N/A Invalid Field</v>
      </c>
      <c r="F134" t="str" cm="1">
        <f t="array" ref="F134">_xll.BDH($D134,"MTG_GEN_CPR_6M","20090331","20090331","Dts=H")</f>
        <v>#N/A Invalid Field</v>
      </c>
      <c r="G134" t="str" cm="1">
        <f t="array" ref="G134">_xll.BDH($D134,"MTG_GEN_CPR_12M","20090331","20090331","Dts=H")</f>
        <v>#N/A Invalid Field</v>
      </c>
      <c r="H134" t="str" cm="1">
        <f t="array" ref="H134">_xll.BDH($D134,"MTG_GEN_CPR_3M","20090610","20090610","Dts=H")</f>
        <v>#N/A Invalid Field</v>
      </c>
      <c r="I134" t="str" cm="1">
        <f t="array" ref="I134">_xll.BDH($D134,"MTG_GEN_CPR_6M","20090610","20090610","Dts=H")</f>
        <v>#N/A Invalid Field</v>
      </c>
      <c r="J134" t="str" cm="1">
        <f t="array" ref="J134">_xll.BDH($D134,"MTG_GEN_CPR_12M","20090610","20090610","Dts=H")</f>
        <v>#N/A Invalid Field</v>
      </c>
      <c r="K134" t="str" cm="1">
        <f t="array" ref="K134">_xll.BDP("31283H4W2 Mtge","MTG_PREPAY_TYP")</f>
        <v>PSA</v>
      </c>
      <c r="L134" t="str" cm="1">
        <f t="array" ref="L134">_xll.BDP(D134,"MTG_PREPAY_SPEED")</f>
        <v>#N/A N/A</v>
      </c>
      <c r="M134" cm="1">
        <f t="array" ref="M134">_xll.BDP(D134,"MTG_PL_PSA_1M ")</f>
        <v>0</v>
      </c>
      <c r="N134" cm="1">
        <f t="array" ref="N134">_xll.BDP(D134,"MTG_PL_PSA_3M ")</f>
        <v>1422.2</v>
      </c>
      <c r="O134" cm="1">
        <f t="array" ref="O134">_xll.BDP(D134,"MTG_PL_PSA_6M ")</f>
        <v>1210.9000000000001</v>
      </c>
    </row>
    <row r="135" spans="1:15" x14ac:dyDescent="0.25">
      <c r="A135" t="s">
        <v>417</v>
      </c>
      <c r="B135" t="s">
        <v>418</v>
      </c>
      <c r="C135" t="s">
        <v>100</v>
      </c>
      <c r="D135" t="s">
        <v>419</v>
      </c>
      <c r="E135" t="str" cm="1">
        <f t="array" ref="E135">_xll.BDH($D135,"MTG_GEN_CPR_3M","20090331","20090331","Dts=H")</f>
        <v>#N/A Invalid Field</v>
      </c>
      <c r="F135" t="str" cm="1">
        <f t="array" ref="F135">_xll.BDH($D135,"MTG_GEN_CPR_6M","20090331","20090331","Dts=H")</f>
        <v>#N/A Invalid Field</v>
      </c>
      <c r="G135" t="str" cm="1">
        <f t="array" ref="G135">_xll.BDH($D135,"MTG_GEN_CPR_12M","20090331","20090331","Dts=H")</f>
        <v>#N/A Invalid Field</v>
      </c>
      <c r="H135" t="str" cm="1">
        <f t="array" ref="H135">_xll.BDH($D135,"MTG_GEN_CPR_3M","20090610","20090610","Dts=H")</f>
        <v>#N/A Invalid Field</v>
      </c>
      <c r="I135" t="str" cm="1">
        <f t="array" ref="I135">_xll.BDH($D135,"MTG_GEN_CPR_6M","20090610","20090610","Dts=H")</f>
        <v>#N/A Invalid Field</v>
      </c>
      <c r="J135" t="str" cm="1">
        <f t="array" ref="J135">_xll.BDH($D135,"MTG_GEN_CPR_12M","20090610","20090610","Dts=H")</f>
        <v>#N/A Invalid Field</v>
      </c>
      <c r="K135" t="str" cm="1">
        <f t="array" ref="K135">_xll.BDP("31283H4W2 Mtge","MTG_PREPAY_TYP")</f>
        <v>PSA</v>
      </c>
      <c r="L135" t="str" cm="1">
        <f t="array" ref="L135">_xll.BDP(D135,"MTG_PREPAY_SPEED")</f>
        <v>#N/A N/A</v>
      </c>
      <c r="M135" cm="1">
        <f t="array" ref="M135">_xll.BDP(D135,"MTG_PL_PSA_1M ")</f>
        <v>0</v>
      </c>
      <c r="N135" cm="1">
        <f t="array" ref="N135">_xll.BDP(D135,"MTG_PL_PSA_3M ")</f>
        <v>1443.9</v>
      </c>
      <c r="O135" cm="1">
        <f t="array" ref="O135">_xll.BDP(D135,"MTG_PL_PSA_6M ")</f>
        <v>1308.7</v>
      </c>
    </row>
    <row r="136" spans="1:15" x14ac:dyDescent="0.25">
      <c r="A136" t="s">
        <v>420</v>
      </c>
      <c r="B136" t="s">
        <v>421</v>
      </c>
      <c r="C136" t="s">
        <v>100</v>
      </c>
      <c r="D136" t="s">
        <v>422</v>
      </c>
      <c r="E136" t="str" cm="1">
        <f t="array" ref="E136">_xll.BDH($D136,"MTG_GEN_CPR_3M","20090331","20090331","Dts=H")</f>
        <v>#N/A Invalid Field</v>
      </c>
      <c r="F136" t="str" cm="1">
        <f t="array" ref="F136">_xll.BDH($D136,"MTG_GEN_CPR_6M","20090331","20090331","Dts=H")</f>
        <v>#N/A Invalid Field</v>
      </c>
      <c r="G136" t="str" cm="1">
        <f t="array" ref="G136">_xll.BDH($D136,"MTG_GEN_CPR_12M","20090331","20090331","Dts=H")</f>
        <v>#N/A Invalid Field</v>
      </c>
      <c r="H136" t="str" cm="1">
        <f t="array" ref="H136">_xll.BDH($D136,"MTG_GEN_CPR_3M","20090610","20090610","Dts=H")</f>
        <v>#N/A Invalid Field</v>
      </c>
      <c r="I136" t="str" cm="1">
        <f t="array" ref="I136">_xll.BDH($D136,"MTG_GEN_CPR_6M","20090610","20090610","Dts=H")</f>
        <v>#N/A Invalid Field</v>
      </c>
      <c r="J136" t="str" cm="1">
        <f t="array" ref="J136">_xll.BDH($D136,"MTG_GEN_CPR_12M","20090610","20090610","Dts=H")</f>
        <v>#N/A Invalid Field</v>
      </c>
      <c r="K136" t="str" cm="1">
        <f t="array" ref="K136">_xll.BDP("31283H4W2 Mtge","MTG_PREPAY_TYP")</f>
        <v>PSA</v>
      </c>
      <c r="L136" cm="1">
        <f t="array" ref="L136">_xll.BDP(D136,"MTG_PREPAY_SPEED")</f>
        <v>0</v>
      </c>
      <c r="M136" cm="1">
        <f t="array" ref="M136">_xll.BDP(D136,"MTG_PL_PSA_1M ")</f>
        <v>-96</v>
      </c>
      <c r="N136" cm="1">
        <f t="array" ref="N136">_xll.BDP(D136,"MTG_PL_PSA_3M ")</f>
        <v>0.3</v>
      </c>
      <c r="O136" cm="1">
        <f t="array" ref="O136">_xll.BDP(D136,"MTG_PL_PSA_6M ")</f>
        <v>-11.6</v>
      </c>
    </row>
    <row r="137" spans="1:15" x14ac:dyDescent="0.25">
      <c r="A137" t="s">
        <v>423</v>
      </c>
      <c r="B137" t="s">
        <v>424</v>
      </c>
      <c r="C137" t="s">
        <v>100</v>
      </c>
      <c r="D137" t="s">
        <v>425</v>
      </c>
      <c r="E137" t="str" cm="1">
        <f t="array" ref="E137">_xll.BDH($D137,"MTG_GEN_CPR_3M","20090331","20090331","Dts=H")</f>
        <v>#N/A Invalid Field</v>
      </c>
      <c r="F137" t="str" cm="1">
        <f t="array" ref="F137">_xll.BDH($D137,"MTG_GEN_CPR_6M","20090331","20090331","Dts=H")</f>
        <v>#N/A Invalid Field</v>
      </c>
      <c r="G137" t="str" cm="1">
        <f t="array" ref="G137">_xll.BDH($D137,"MTG_GEN_CPR_12M","20090331","20090331","Dts=H")</f>
        <v>#N/A Invalid Field</v>
      </c>
      <c r="H137" t="str" cm="1">
        <f t="array" ref="H137">_xll.BDH($D137,"MTG_GEN_CPR_3M","20090610","20090610","Dts=H")</f>
        <v>#N/A Invalid Field</v>
      </c>
      <c r="I137" t="str" cm="1">
        <f t="array" ref="I137">_xll.BDH($D137,"MTG_GEN_CPR_6M","20090610","20090610","Dts=H")</f>
        <v>#N/A Invalid Field</v>
      </c>
      <c r="J137" t="str" cm="1">
        <f t="array" ref="J137">_xll.BDH($D137,"MTG_GEN_CPR_12M","20090610","20090610","Dts=H")</f>
        <v>#N/A Invalid Field</v>
      </c>
      <c r="K137" t="str" cm="1">
        <f t="array" ref="K137">_xll.BDP("31283H4W2 Mtge","MTG_PREPAY_TYP")</f>
        <v>PSA</v>
      </c>
      <c r="L137" t="str" cm="1">
        <f t="array" ref="L137">_xll.BDP(D137,"MTG_PREPAY_SPEED")</f>
        <v>#N/A N/A</v>
      </c>
      <c r="M137" cm="1">
        <f t="array" ref="M137">_xll.BDP(D137,"MTG_PL_PSA_1M ")</f>
        <v>0</v>
      </c>
      <c r="N137" cm="1">
        <f t="array" ref="N137">_xll.BDP(D137,"MTG_PL_PSA_3M ")</f>
        <v>346.6</v>
      </c>
      <c r="O137" cm="1">
        <f t="array" ref="O137">_xll.BDP(D137,"MTG_PL_PSA_6M ")</f>
        <v>712.6</v>
      </c>
    </row>
    <row r="138" spans="1:15" x14ac:dyDescent="0.25">
      <c r="A138" t="s">
        <v>426</v>
      </c>
      <c r="B138" t="s">
        <v>427</v>
      </c>
      <c r="C138" t="s">
        <v>100</v>
      </c>
      <c r="D138" t="s">
        <v>428</v>
      </c>
      <c r="E138" t="str" cm="1">
        <f t="array" ref="E138">_xll.BDH($D138,"MTG_GEN_CPR_3M","20090331","20090331","Dts=H")</f>
        <v>#N/A Invalid Field</v>
      </c>
      <c r="F138" t="str" cm="1">
        <f t="array" ref="F138">_xll.BDH($D138,"MTG_GEN_CPR_6M","20090331","20090331","Dts=H")</f>
        <v>#N/A Invalid Field</v>
      </c>
      <c r="G138" t="str" cm="1">
        <f t="array" ref="G138">_xll.BDH($D138,"MTG_GEN_CPR_12M","20090331","20090331","Dts=H")</f>
        <v>#N/A Invalid Field</v>
      </c>
      <c r="H138" t="str" cm="1">
        <f t="array" ref="H138">_xll.BDH($D138,"MTG_GEN_CPR_3M","20090610","20090610","Dts=H")</f>
        <v>#N/A Invalid Field</v>
      </c>
      <c r="I138" t="str" cm="1">
        <f t="array" ref="I138">_xll.BDH($D138,"MTG_GEN_CPR_6M","20090610","20090610","Dts=H")</f>
        <v>#N/A Invalid Field</v>
      </c>
      <c r="J138" t="str" cm="1">
        <f t="array" ref="J138">_xll.BDH($D138,"MTG_GEN_CPR_12M","20090610","20090610","Dts=H")</f>
        <v>#N/A Invalid Field</v>
      </c>
      <c r="K138" t="str" cm="1">
        <f t="array" ref="K138">_xll.BDP("31283H4W2 Mtge","MTG_PREPAY_TYP")</f>
        <v>PSA</v>
      </c>
      <c r="L138" t="str" cm="1">
        <f t="array" ref="L138">_xll.BDP(D138,"MTG_PREPAY_SPEED")</f>
        <v>#N/A N/A</v>
      </c>
      <c r="M138" cm="1">
        <f t="array" ref="M138">_xll.BDP(D138,"MTG_PL_PSA_1M ")</f>
        <v>0</v>
      </c>
      <c r="N138" cm="1">
        <f t="array" ref="N138">_xll.BDP(D138,"MTG_PL_PSA_3M ")</f>
        <v>921.2</v>
      </c>
      <c r="O138" cm="1">
        <f t="array" ref="O138">_xll.BDP(D138,"MTG_PL_PSA_6M ")</f>
        <v>852.2</v>
      </c>
    </row>
    <row r="139" spans="1:15" x14ac:dyDescent="0.25">
      <c r="A139" t="s">
        <v>429</v>
      </c>
      <c r="B139" t="s">
        <v>430</v>
      </c>
      <c r="C139" t="s">
        <v>100</v>
      </c>
      <c r="D139" t="s">
        <v>431</v>
      </c>
      <c r="E139" t="str" cm="1">
        <f t="array" ref="E139">_xll.BDH($D139,"MTG_GEN_CPR_3M","20090331","20090331","Dts=H")</f>
        <v>#N/A Invalid Field</v>
      </c>
      <c r="F139" t="str" cm="1">
        <f t="array" ref="F139">_xll.BDH($D139,"MTG_GEN_CPR_6M","20090331","20090331","Dts=H")</f>
        <v>#N/A Invalid Field</v>
      </c>
      <c r="G139" t="str" cm="1">
        <f t="array" ref="G139">_xll.BDH($D139,"MTG_GEN_CPR_12M","20090331","20090331","Dts=H")</f>
        <v>#N/A Invalid Field</v>
      </c>
      <c r="H139" t="str" cm="1">
        <f t="array" ref="H139">_xll.BDH($D139,"MTG_GEN_CPR_3M","20090610","20090610","Dts=H")</f>
        <v>#N/A Invalid Field</v>
      </c>
      <c r="I139" t="str" cm="1">
        <f t="array" ref="I139">_xll.BDH($D139,"MTG_GEN_CPR_6M","20090610","20090610","Dts=H")</f>
        <v>#N/A Invalid Field</v>
      </c>
      <c r="J139" t="str" cm="1">
        <f t="array" ref="J139">_xll.BDH($D139,"MTG_GEN_CPR_12M","20090610","20090610","Dts=H")</f>
        <v>#N/A Invalid Field</v>
      </c>
      <c r="K139" t="str" cm="1">
        <f t="array" ref="K139">_xll.BDP("31283H4W2 Mtge","MTG_PREPAY_TYP")</f>
        <v>PSA</v>
      </c>
      <c r="L139" t="str" cm="1">
        <f t="array" ref="L139">_xll.BDP(D139,"MTG_PREPAY_SPEED")</f>
        <v>#N/A N/A</v>
      </c>
      <c r="M139" cm="1">
        <f t="array" ref="M139">_xll.BDP(D139,"MTG_PL_PSA_1M ")</f>
        <v>0</v>
      </c>
      <c r="N139" cm="1">
        <f t="array" ref="N139">_xll.BDP(D139,"MTG_PL_PSA_3M ")</f>
        <v>-421.4</v>
      </c>
      <c r="O139" cm="1">
        <f t="array" ref="O139">_xll.BDP(D139,"MTG_PL_PSA_6M ")</f>
        <v>723.1</v>
      </c>
    </row>
    <row r="140" spans="1:15" x14ac:dyDescent="0.25">
      <c r="A140" t="s">
        <v>432</v>
      </c>
      <c r="B140" t="s">
        <v>433</v>
      </c>
      <c r="C140" t="s">
        <v>100</v>
      </c>
      <c r="D140" t="s">
        <v>434</v>
      </c>
      <c r="E140" t="str" cm="1">
        <f t="array" ref="E140">_xll.BDH($D140,"MTG_GEN_CPR_3M","20090331","20090331","Dts=H")</f>
        <v>#N/A Invalid Field</v>
      </c>
      <c r="F140" t="str" cm="1">
        <f t="array" ref="F140">_xll.BDH($D140,"MTG_GEN_CPR_6M","20090331","20090331","Dts=H")</f>
        <v>#N/A Invalid Field</v>
      </c>
      <c r="G140" t="str" cm="1">
        <f t="array" ref="G140">_xll.BDH($D140,"MTG_GEN_CPR_12M","20090331","20090331","Dts=H")</f>
        <v>#N/A Invalid Field</v>
      </c>
      <c r="H140" t="str" cm="1">
        <f t="array" ref="H140">_xll.BDH($D140,"MTG_GEN_CPR_3M","20090610","20090610","Dts=H")</f>
        <v>#N/A Invalid Field</v>
      </c>
      <c r="I140" t="str" cm="1">
        <f t="array" ref="I140">_xll.BDH($D140,"MTG_GEN_CPR_6M","20090610","20090610","Dts=H")</f>
        <v>#N/A Invalid Field</v>
      </c>
      <c r="J140" t="str" cm="1">
        <f t="array" ref="J140">_xll.BDH($D140,"MTG_GEN_CPR_12M","20090610","20090610","Dts=H")</f>
        <v>#N/A Invalid Field</v>
      </c>
      <c r="K140" t="str" cm="1">
        <f t="array" ref="K140">_xll.BDP("31283H4W2 Mtge","MTG_PREPAY_TYP")</f>
        <v>PSA</v>
      </c>
      <c r="L140" t="str" cm="1">
        <f t="array" ref="L140">_xll.BDP(D140,"MTG_PREPAY_SPEED")</f>
        <v>#N/A N/A</v>
      </c>
      <c r="M140" cm="1">
        <f t="array" ref="M140">_xll.BDP(D140,"MTG_PL_PSA_1M ")</f>
        <v>0</v>
      </c>
      <c r="N140" cm="1">
        <f t="array" ref="N140">_xll.BDP(D140,"MTG_PL_PSA_3M ")</f>
        <v>1512.8</v>
      </c>
      <c r="O140" cm="1">
        <f t="array" ref="O140">_xll.BDP(D140,"MTG_PL_PSA_6M ")</f>
        <v>1269.2</v>
      </c>
    </row>
    <row r="141" spans="1:15" x14ac:dyDescent="0.25">
      <c r="A141" t="s">
        <v>435</v>
      </c>
      <c r="B141" t="s">
        <v>436</v>
      </c>
      <c r="C141" t="s">
        <v>100</v>
      </c>
      <c r="D141" t="s">
        <v>437</v>
      </c>
      <c r="E141" t="str" cm="1">
        <f t="array" ref="E141">_xll.BDH($D141,"MTG_GEN_CPR_3M","20090331","20090331","Dts=H")</f>
        <v>#N/A Invalid Field</v>
      </c>
      <c r="F141" t="str" cm="1">
        <f t="array" ref="F141">_xll.BDH($D141,"MTG_GEN_CPR_6M","20090331","20090331","Dts=H")</f>
        <v>#N/A Invalid Field</v>
      </c>
      <c r="G141" t="str" cm="1">
        <f t="array" ref="G141">_xll.BDH($D141,"MTG_GEN_CPR_12M","20090331","20090331","Dts=H")</f>
        <v>#N/A Invalid Field</v>
      </c>
      <c r="H141" t="str" cm="1">
        <f t="array" ref="H141">_xll.BDH($D141,"MTG_GEN_CPR_3M","20090610","20090610","Dts=H")</f>
        <v>#N/A Invalid Field</v>
      </c>
      <c r="I141" t="str" cm="1">
        <f t="array" ref="I141">_xll.BDH($D141,"MTG_GEN_CPR_6M","20090610","20090610","Dts=H")</f>
        <v>#N/A Invalid Field</v>
      </c>
      <c r="J141" t="str" cm="1">
        <f t="array" ref="J141">_xll.BDH($D141,"MTG_GEN_CPR_12M","20090610","20090610","Dts=H")</f>
        <v>#N/A Invalid Field</v>
      </c>
      <c r="K141" t="str" cm="1">
        <f t="array" ref="K141">_xll.BDP("31283H4W2 Mtge","MTG_PREPAY_TYP")</f>
        <v>PSA</v>
      </c>
      <c r="L141" t="str" cm="1">
        <f t="array" ref="L141">_xll.BDP(D141,"MTG_PREPAY_SPEED")</f>
        <v>#N/A N/A</v>
      </c>
      <c r="M141" cm="1">
        <f t="array" ref="M141">_xll.BDP(D141,"MTG_PL_PSA_1M ")</f>
        <v>0</v>
      </c>
      <c r="N141" cm="1">
        <f t="array" ref="N141">_xll.BDP(D141,"MTG_PL_PSA_3M ")</f>
        <v>1505.9</v>
      </c>
      <c r="O141" cm="1">
        <f t="array" ref="O141">_xll.BDP(D141,"MTG_PL_PSA_6M ")</f>
        <v>1374.4</v>
      </c>
    </row>
    <row r="142" spans="1:15" x14ac:dyDescent="0.25">
      <c r="A142" t="s">
        <v>438</v>
      </c>
      <c r="B142" t="s">
        <v>439</v>
      </c>
      <c r="C142" t="s">
        <v>100</v>
      </c>
      <c r="D142" t="s">
        <v>440</v>
      </c>
      <c r="E142" t="str" cm="1">
        <f t="array" ref="E142">_xll.BDH($D142,"MTG_GEN_CPR_3M","20090331","20090331","Dts=H")</f>
        <v>#N/A Invalid Field</v>
      </c>
      <c r="F142" t="str" cm="1">
        <f t="array" ref="F142">_xll.BDH($D142,"MTG_GEN_CPR_6M","20090331","20090331","Dts=H")</f>
        <v>#N/A Invalid Field</v>
      </c>
      <c r="G142" t="str" cm="1">
        <f t="array" ref="G142">_xll.BDH($D142,"MTG_GEN_CPR_12M","20090331","20090331","Dts=H")</f>
        <v>#N/A Invalid Field</v>
      </c>
      <c r="H142" t="str" cm="1">
        <f t="array" ref="H142">_xll.BDH($D142,"MTG_GEN_CPR_3M","20090610","20090610","Dts=H")</f>
        <v>#N/A Invalid Field</v>
      </c>
      <c r="I142" t="str" cm="1">
        <f t="array" ref="I142">_xll.BDH($D142,"MTG_GEN_CPR_6M","20090610","20090610","Dts=H")</f>
        <v>#N/A Invalid Field</v>
      </c>
      <c r="J142" t="str" cm="1">
        <f t="array" ref="J142">_xll.BDH($D142,"MTG_GEN_CPR_12M","20090610","20090610","Dts=H")</f>
        <v>#N/A Invalid Field</v>
      </c>
      <c r="K142" t="str" cm="1">
        <f t="array" ref="K142">_xll.BDP("31283H4W2 Mtge","MTG_PREPAY_TYP")</f>
        <v>PSA</v>
      </c>
      <c r="L142" t="str" cm="1">
        <f t="array" ref="L142">_xll.BDP(D142,"MTG_PREPAY_SPEED")</f>
        <v>#N/A N/A</v>
      </c>
      <c r="M142" cm="1">
        <f t="array" ref="M142">_xll.BDP(D142,"MTG_PL_PSA_1M ")</f>
        <v>0</v>
      </c>
      <c r="N142" cm="1">
        <f t="array" ref="N142">_xll.BDP(D142,"MTG_PL_PSA_3M ")</f>
        <v>1579</v>
      </c>
      <c r="O142" cm="1">
        <f t="array" ref="O142">_xll.BDP(D142,"MTG_PL_PSA_6M ")</f>
        <v>1332.5</v>
      </c>
    </row>
    <row r="143" spans="1:15" x14ac:dyDescent="0.25">
      <c r="A143" t="s">
        <v>441</v>
      </c>
      <c r="B143" t="s">
        <v>442</v>
      </c>
      <c r="C143" t="s">
        <v>100</v>
      </c>
      <c r="D143" t="s">
        <v>443</v>
      </c>
      <c r="E143" t="str" cm="1">
        <f t="array" ref="E143">_xll.BDH($D143,"MTG_GEN_CPR_3M","20090331","20090331","Dts=H")</f>
        <v>#N/A Invalid Field</v>
      </c>
      <c r="F143" t="str" cm="1">
        <f t="array" ref="F143">_xll.BDH($D143,"MTG_GEN_CPR_6M","20090331","20090331","Dts=H")</f>
        <v>#N/A Invalid Field</v>
      </c>
      <c r="G143" t="str" cm="1">
        <f t="array" ref="G143">_xll.BDH($D143,"MTG_GEN_CPR_12M","20090331","20090331","Dts=H")</f>
        <v>#N/A Invalid Field</v>
      </c>
      <c r="H143" t="str" cm="1">
        <f t="array" ref="H143">_xll.BDH($D143,"MTG_GEN_CPR_3M","20090610","20090610","Dts=H")</f>
        <v>#N/A Invalid Field</v>
      </c>
      <c r="I143" t="str" cm="1">
        <f t="array" ref="I143">_xll.BDH($D143,"MTG_GEN_CPR_6M","20090610","20090610","Dts=H")</f>
        <v>#N/A Invalid Field</v>
      </c>
      <c r="J143" t="str" cm="1">
        <f t="array" ref="J143">_xll.BDH($D143,"MTG_GEN_CPR_12M","20090610","20090610","Dts=H")</f>
        <v>#N/A Invalid Field</v>
      </c>
      <c r="K143" t="str" cm="1">
        <f t="array" ref="K143">_xll.BDP("31283H4W2 Mtge","MTG_PREPAY_TYP")</f>
        <v>PSA</v>
      </c>
      <c r="L143" cm="1">
        <f t="array" ref="L143">_xll.BDP(D143,"MTG_PREPAY_SPEED")</f>
        <v>140</v>
      </c>
      <c r="M143" cm="1">
        <f t="array" ref="M143">_xll.BDP(D143,"MTG_PL_PSA_1M ")</f>
        <v>1.6</v>
      </c>
      <c r="N143" cm="1">
        <f t="array" ref="N143">_xll.BDP(D143,"MTG_PL_PSA_3M ")</f>
        <v>1.6</v>
      </c>
      <c r="O143" cm="1">
        <f t="array" ref="O143">_xll.BDP(D143,"MTG_PL_PSA_6M ")</f>
        <v>1.5</v>
      </c>
    </row>
    <row r="144" spans="1:15" x14ac:dyDescent="0.25">
      <c r="A144" t="s">
        <v>444</v>
      </c>
      <c r="B144" t="s">
        <v>445</v>
      </c>
      <c r="C144" t="s">
        <v>100</v>
      </c>
      <c r="D144" t="s">
        <v>446</v>
      </c>
      <c r="E144" t="str" cm="1">
        <f t="array" ref="E144">_xll.BDH($D144,"MTG_GEN_CPR_3M","20090331","20090331","Dts=H")</f>
        <v>#N/A Invalid Field</v>
      </c>
      <c r="F144" t="str" cm="1">
        <f t="array" ref="F144">_xll.BDH($D144,"MTG_GEN_CPR_6M","20090331","20090331","Dts=H")</f>
        <v>#N/A Invalid Field</v>
      </c>
      <c r="G144" t="str" cm="1">
        <f t="array" ref="G144">_xll.BDH($D144,"MTG_GEN_CPR_12M","20090331","20090331","Dts=H")</f>
        <v>#N/A Invalid Field</v>
      </c>
      <c r="H144" t="str" cm="1">
        <f t="array" ref="H144">_xll.BDH($D144,"MTG_GEN_CPR_3M","20090610","20090610","Dts=H")</f>
        <v>#N/A Invalid Field</v>
      </c>
      <c r="I144" t="str" cm="1">
        <f t="array" ref="I144">_xll.BDH($D144,"MTG_GEN_CPR_6M","20090610","20090610","Dts=H")</f>
        <v>#N/A Invalid Field</v>
      </c>
      <c r="J144" t="str" cm="1">
        <f t="array" ref="J144">_xll.BDH($D144,"MTG_GEN_CPR_12M","20090610","20090610","Dts=H")</f>
        <v>#N/A Invalid Field</v>
      </c>
      <c r="K144" t="str" cm="1">
        <f t="array" ref="K144">_xll.BDP("31283H4W2 Mtge","MTG_PREPAY_TYP")</f>
        <v>PSA</v>
      </c>
      <c r="L144" cm="1">
        <f t="array" ref="L144">_xll.BDP(D144,"MTG_PREPAY_SPEED")</f>
        <v>170</v>
      </c>
      <c r="M144" cm="1">
        <f t="array" ref="M144">_xll.BDP(D144,"MTG_PL_PSA_1M ")</f>
        <v>72.8</v>
      </c>
      <c r="N144" cm="1">
        <f t="array" ref="N144">_xll.BDP(D144,"MTG_PL_PSA_3M ")</f>
        <v>82.1</v>
      </c>
      <c r="O144" cm="1">
        <f t="array" ref="O144">_xll.BDP(D144,"MTG_PL_PSA_6M ")</f>
        <v>168.8</v>
      </c>
    </row>
    <row r="145" spans="1:15" x14ac:dyDescent="0.25">
      <c r="A145" t="s">
        <v>447</v>
      </c>
      <c r="B145" t="s">
        <v>448</v>
      </c>
      <c r="C145" t="s">
        <v>100</v>
      </c>
      <c r="D145" t="s">
        <v>449</v>
      </c>
      <c r="E145" t="str" cm="1">
        <f t="array" ref="E145">_xll.BDH($D145,"MTG_GEN_CPR_3M","20090331","20090331","Dts=H")</f>
        <v>#N/A Invalid Field</v>
      </c>
      <c r="F145" t="str" cm="1">
        <f t="array" ref="F145">_xll.BDH($D145,"MTG_GEN_CPR_6M","20090331","20090331","Dts=H")</f>
        <v>#N/A Invalid Field</v>
      </c>
      <c r="G145" t="str" cm="1">
        <f t="array" ref="G145">_xll.BDH($D145,"MTG_GEN_CPR_12M","20090331","20090331","Dts=H")</f>
        <v>#N/A Invalid Field</v>
      </c>
      <c r="H145" t="str" cm="1">
        <f t="array" ref="H145">_xll.BDH($D145,"MTG_GEN_CPR_3M","20090610","20090610","Dts=H")</f>
        <v>#N/A Invalid Field</v>
      </c>
      <c r="I145" t="str" cm="1">
        <f t="array" ref="I145">_xll.BDH($D145,"MTG_GEN_CPR_6M","20090610","20090610","Dts=H")</f>
        <v>#N/A Invalid Field</v>
      </c>
      <c r="J145" t="str" cm="1">
        <f t="array" ref="J145">_xll.BDH($D145,"MTG_GEN_CPR_12M","20090610","20090610","Dts=H")</f>
        <v>#N/A Invalid Field</v>
      </c>
      <c r="K145" t="str" cm="1">
        <f t="array" ref="K145">_xll.BDP("31283H4W2 Mtge","MTG_PREPAY_TYP")</f>
        <v>PSA</v>
      </c>
      <c r="L145" cm="1">
        <f t="array" ref="L145">_xll.BDP(D145,"MTG_PREPAY_SPEED")</f>
        <v>186</v>
      </c>
      <c r="M145" cm="1">
        <f t="array" ref="M145">_xll.BDP(D145,"MTG_PL_PSA_1M ")</f>
        <v>2</v>
      </c>
      <c r="N145" cm="1">
        <f t="array" ref="N145">_xll.BDP(D145,"MTG_PL_PSA_3M ")</f>
        <v>2</v>
      </c>
      <c r="O145" cm="1">
        <f t="array" ref="O145">_xll.BDP(D145,"MTG_PL_PSA_6M ")</f>
        <v>1.9</v>
      </c>
    </row>
    <row r="146" spans="1:15" x14ac:dyDescent="0.25">
      <c r="A146" t="s">
        <v>450</v>
      </c>
      <c r="B146" t="s">
        <v>451</v>
      </c>
      <c r="C146" t="s">
        <v>100</v>
      </c>
      <c r="D146" t="s">
        <v>452</v>
      </c>
      <c r="E146" t="str" cm="1">
        <f t="array" ref="E146">_xll.BDH($D146,"MTG_GEN_CPR_3M","20090331","20090331","Dts=H")</f>
        <v>#N/A Invalid Field</v>
      </c>
      <c r="F146" t="str" cm="1">
        <f t="array" ref="F146">_xll.BDH($D146,"MTG_GEN_CPR_6M","20090331","20090331","Dts=H")</f>
        <v>#N/A Invalid Field</v>
      </c>
      <c r="G146" t="str" cm="1">
        <f t="array" ref="G146">_xll.BDH($D146,"MTG_GEN_CPR_12M","20090331","20090331","Dts=H")</f>
        <v>#N/A Invalid Field</v>
      </c>
      <c r="H146" t="str" cm="1">
        <f t="array" ref="H146">_xll.BDH($D146,"MTG_GEN_CPR_3M","20090610","20090610","Dts=H")</f>
        <v>#N/A Invalid Field</v>
      </c>
      <c r="I146" t="str" cm="1">
        <f t="array" ref="I146">_xll.BDH($D146,"MTG_GEN_CPR_6M","20090610","20090610","Dts=H")</f>
        <v>#N/A Invalid Field</v>
      </c>
      <c r="J146" t="str" cm="1">
        <f t="array" ref="J146">_xll.BDH($D146,"MTG_GEN_CPR_12M","20090610","20090610","Dts=H")</f>
        <v>#N/A Invalid Field</v>
      </c>
      <c r="K146" t="str" cm="1">
        <f t="array" ref="K146">_xll.BDP("31283H4W2 Mtge","MTG_PREPAY_TYP")</f>
        <v>PSA</v>
      </c>
      <c r="L146" cm="1">
        <f t="array" ref="L146">_xll.BDP(D146,"MTG_PREPAY_SPEED")</f>
        <v>186</v>
      </c>
      <c r="M146" cm="1">
        <f t="array" ref="M146">_xll.BDP(D146,"MTG_PL_PSA_1M ")</f>
        <v>42.8</v>
      </c>
      <c r="N146" cm="1">
        <f t="array" ref="N146">_xll.BDP(D146,"MTG_PL_PSA_3M ")</f>
        <v>58.4</v>
      </c>
      <c r="O146" cm="1">
        <f t="array" ref="O146">_xll.BDP(D146,"MTG_PL_PSA_6M ")</f>
        <v>80.599999999999994</v>
      </c>
    </row>
    <row r="147" spans="1:15" x14ac:dyDescent="0.25">
      <c r="A147" t="s">
        <v>453</v>
      </c>
      <c r="B147" t="s">
        <v>454</v>
      </c>
      <c r="C147" t="s">
        <v>100</v>
      </c>
      <c r="D147" t="s">
        <v>455</v>
      </c>
      <c r="E147" t="str" cm="1">
        <f t="array" ref="E147">_xll.BDH($D147,"MTG_GEN_CPR_3M","20090331","20090331","Dts=H")</f>
        <v>#N/A Invalid Field</v>
      </c>
      <c r="F147" t="str" cm="1">
        <f t="array" ref="F147">_xll.BDH($D147,"MTG_GEN_CPR_6M","20090331","20090331","Dts=H")</f>
        <v>#N/A Invalid Field</v>
      </c>
      <c r="G147" t="str" cm="1">
        <f t="array" ref="G147">_xll.BDH($D147,"MTG_GEN_CPR_12M","20090331","20090331","Dts=H")</f>
        <v>#N/A Invalid Field</v>
      </c>
      <c r="H147" t="str" cm="1">
        <f t="array" ref="H147">_xll.BDH($D147,"MTG_GEN_CPR_3M","20090610","20090610","Dts=H")</f>
        <v>#N/A Invalid Field</v>
      </c>
      <c r="I147" t="str" cm="1">
        <f t="array" ref="I147">_xll.BDH($D147,"MTG_GEN_CPR_6M","20090610","20090610","Dts=H")</f>
        <v>#N/A Invalid Field</v>
      </c>
      <c r="J147" t="str" cm="1">
        <f t="array" ref="J147">_xll.BDH($D147,"MTG_GEN_CPR_12M","20090610","20090610","Dts=H")</f>
        <v>#N/A Invalid Field</v>
      </c>
      <c r="K147" t="str" cm="1">
        <f t="array" ref="K147">_xll.BDP("31283H4W2 Mtge","MTG_PREPAY_TYP")</f>
        <v>PSA</v>
      </c>
      <c r="L147" cm="1">
        <f t="array" ref="L147">_xll.BDP(D147,"MTG_PREPAY_SPEED")</f>
        <v>213</v>
      </c>
      <c r="M147" cm="1">
        <f t="array" ref="M147">_xll.BDP(D147,"MTG_PL_PSA_1M ")</f>
        <v>188.8</v>
      </c>
      <c r="N147" cm="1">
        <f t="array" ref="N147">_xll.BDP(D147,"MTG_PL_PSA_3M ")</f>
        <v>180.3</v>
      </c>
      <c r="O147" cm="1">
        <f t="array" ref="O147">_xll.BDP(D147,"MTG_PL_PSA_6M ")</f>
        <v>168</v>
      </c>
    </row>
    <row r="148" spans="1:15" x14ac:dyDescent="0.25">
      <c r="A148" t="s">
        <v>456</v>
      </c>
      <c r="B148" t="s">
        <v>457</v>
      </c>
      <c r="C148" t="s">
        <v>100</v>
      </c>
      <c r="D148" t="s">
        <v>458</v>
      </c>
      <c r="E148" t="str" cm="1">
        <f t="array" ref="E148">_xll.BDH($D148,"MTG_GEN_CPR_3M","20090331","20090331","Dts=H")</f>
        <v>#N/A Invalid Field</v>
      </c>
      <c r="F148" t="str" cm="1">
        <f t="array" ref="F148">_xll.BDH($D148,"MTG_GEN_CPR_6M","20090331","20090331","Dts=H")</f>
        <v>#N/A Invalid Field</v>
      </c>
      <c r="G148" t="str" cm="1">
        <f t="array" ref="G148">_xll.BDH($D148,"MTG_GEN_CPR_12M","20090331","20090331","Dts=H")</f>
        <v>#N/A Invalid Field</v>
      </c>
      <c r="H148" t="str" cm="1">
        <f t="array" ref="H148">_xll.BDH($D148,"MTG_GEN_CPR_3M","20090610","20090610","Dts=H")</f>
        <v>#N/A Invalid Field</v>
      </c>
      <c r="I148" t="str" cm="1">
        <f t="array" ref="I148">_xll.BDH($D148,"MTG_GEN_CPR_6M","20090610","20090610","Dts=H")</f>
        <v>#N/A Invalid Field</v>
      </c>
      <c r="J148" t="str" cm="1">
        <f t="array" ref="J148">_xll.BDH($D148,"MTG_GEN_CPR_12M","20090610","20090610","Dts=H")</f>
        <v>#N/A Invalid Field</v>
      </c>
      <c r="K148" t="str" cm="1">
        <f t="array" ref="K148">_xll.BDP("31283H4W2 Mtge","MTG_PREPAY_TYP")</f>
        <v>PSA</v>
      </c>
      <c r="L148" cm="1">
        <f t="array" ref="L148">_xll.BDP(D148,"MTG_PREPAY_SPEED")</f>
        <v>213</v>
      </c>
      <c r="M148" cm="1">
        <f t="array" ref="M148">_xll.BDP(D148,"MTG_PL_PSA_1M ")</f>
        <v>4.7</v>
      </c>
      <c r="N148" cm="1">
        <f t="array" ref="N148">_xll.BDP(D148,"MTG_PL_PSA_3M ")</f>
        <v>4.2</v>
      </c>
      <c r="O148" cm="1">
        <f t="array" ref="O148">_xll.BDP(D148,"MTG_PL_PSA_6M ")</f>
        <v>4</v>
      </c>
    </row>
    <row r="149" spans="1:15" x14ac:dyDescent="0.25">
      <c r="A149" t="s">
        <v>459</v>
      </c>
      <c r="B149" t="s">
        <v>460</v>
      </c>
      <c r="C149" t="s">
        <v>100</v>
      </c>
      <c r="D149" t="s">
        <v>461</v>
      </c>
      <c r="E149" t="str" cm="1">
        <f t="array" ref="E149">_xll.BDH($D149,"MTG_GEN_CPR_3M","20090331","20090331","Dts=H")</f>
        <v>#N/A Invalid Field</v>
      </c>
      <c r="F149" t="str" cm="1">
        <f t="array" ref="F149">_xll.BDH($D149,"MTG_GEN_CPR_6M","20090331","20090331","Dts=H")</f>
        <v>#N/A Invalid Field</v>
      </c>
      <c r="G149" t="str" cm="1">
        <f t="array" ref="G149">_xll.BDH($D149,"MTG_GEN_CPR_12M","20090331","20090331","Dts=H")</f>
        <v>#N/A Invalid Field</v>
      </c>
      <c r="H149" t="str" cm="1">
        <f t="array" ref="H149">_xll.BDH($D149,"MTG_GEN_CPR_3M","20090610","20090610","Dts=H")</f>
        <v>#N/A Invalid Field</v>
      </c>
      <c r="I149" t="str" cm="1">
        <f t="array" ref="I149">_xll.BDH($D149,"MTG_GEN_CPR_6M","20090610","20090610","Dts=H")</f>
        <v>#N/A Invalid Field</v>
      </c>
      <c r="J149" t="str" cm="1">
        <f t="array" ref="J149">_xll.BDH($D149,"MTG_GEN_CPR_12M","20090610","20090610","Dts=H")</f>
        <v>#N/A Invalid Field</v>
      </c>
      <c r="K149" t="str" cm="1">
        <f t="array" ref="K149">_xll.BDP("31283H4W2 Mtge","MTG_PREPAY_TYP")</f>
        <v>PSA</v>
      </c>
      <c r="L149" t="str" cm="1">
        <f t="array" ref="L149">_xll.BDP(D149,"MTG_PREPAY_SPEED")</f>
        <v>#N/A N/A</v>
      </c>
      <c r="M149" cm="1">
        <f t="array" ref="M149">_xll.BDP(D149,"MTG_PL_PSA_1M ")</f>
        <v>1666.7</v>
      </c>
      <c r="N149" cm="1">
        <f t="array" ref="N149">_xll.BDP(D149,"MTG_PL_PSA_3M ")</f>
        <v>1666.7</v>
      </c>
      <c r="O149" cm="1">
        <f t="array" ref="O149">_xll.BDP(D149,"MTG_PL_PSA_6M ")</f>
        <v>1666.7</v>
      </c>
    </row>
    <row r="150" spans="1:15" x14ac:dyDescent="0.25">
      <c r="A150" t="s">
        <v>462</v>
      </c>
      <c r="B150" t="s">
        <v>463</v>
      </c>
      <c r="C150" t="s">
        <v>100</v>
      </c>
      <c r="D150" t="s">
        <v>464</v>
      </c>
      <c r="E150" t="str" cm="1">
        <f t="array" ref="E150">_xll.BDH($D150,"MTG_GEN_CPR_3M","20090331","20090331","Dts=H")</f>
        <v>#N/A Invalid Field</v>
      </c>
      <c r="F150" t="str" cm="1">
        <f t="array" ref="F150">_xll.BDH($D150,"MTG_GEN_CPR_6M","20090331","20090331","Dts=H")</f>
        <v>#N/A Invalid Field</v>
      </c>
      <c r="G150" t="str" cm="1">
        <f t="array" ref="G150">_xll.BDH($D150,"MTG_GEN_CPR_12M","20090331","20090331","Dts=H")</f>
        <v>#N/A Invalid Field</v>
      </c>
      <c r="H150" t="str" cm="1">
        <f t="array" ref="H150">_xll.BDH($D150,"MTG_GEN_CPR_3M","20090610","20090610","Dts=H")</f>
        <v>#N/A Invalid Field</v>
      </c>
      <c r="I150" t="str" cm="1">
        <f t="array" ref="I150">_xll.BDH($D150,"MTG_GEN_CPR_6M","20090610","20090610","Dts=H")</f>
        <v>#N/A Invalid Field</v>
      </c>
      <c r="J150" t="str" cm="1">
        <f t="array" ref="J150">_xll.BDH($D150,"MTG_GEN_CPR_12M","20090610","20090610","Dts=H")</f>
        <v>#N/A Invalid Field</v>
      </c>
      <c r="K150" t="str" cm="1">
        <f t="array" ref="K150">_xll.BDP("31283H4W2 Mtge","MTG_PREPAY_TYP")</f>
        <v>PSA</v>
      </c>
      <c r="L150" cm="1">
        <f t="array" ref="L150">_xll.BDP(D150,"MTG_PREPAY_SPEED")</f>
        <v>170</v>
      </c>
      <c r="M150" cm="1">
        <f t="array" ref="M150">_xll.BDP(D150,"MTG_PL_PSA_1M ")</f>
        <v>0.7</v>
      </c>
      <c r="N150" cm="1">
        <f t="array" ref="N150">_xll.BDP(D150,"MTG_PL_PSA_3M ")</f>
        <v>2.5</v>
      </c>
      <c r="O150" cm="1">
        <f t="array" ref="O150">_xll.BDP(D150,"MTG_PL_PSA_6M ")</f>
        <v>2.8</v>
      </c>
    </row>
    <row r="151" spans="1:15" x14ac:dyDescent="0.25">
      <c r="A151" t="s">
        <v>465</v>
      </c>
      <c r="B151" t="s">
        <v>466</v>
      </c>
      <c r="C151" t="s">
        <v>100</v>
      </c>
      <c r="D151" t="s">
        <v>467</v>
      </c>
      <c r="E151" t="str" cm="1">
        <f t="array" ref="E151">_xll.BDH($D151,"MTG_GEN_CPR_3M","20090331","20090331","Dts=H")</f>
        <v>#N/A Invalid Field</v>
      </c>
      <c r="F151" t="str" cm="1">
        <f t="array" ref="F151">_xll.BDH($D151,"MTG_GEN_CPR_6M","20090331","20090331","Dts=H")</f>
        <v>#N/A Invalid Field</v>
      </c>
      <c r="G151" t="str" cm="1">
        <f t="array" ref="G151">_xll.BDH($D151,"MTG_GEN_CPR_12M","20090331","20090331","Dts=H")</f>
        <v>#N/A Invalid Field</v>
      </c>
      <c r="H151" t="str" cm="1">
        <f t="array" ref="H151">_xll.BDH($D151,"MTG_GEN_CPR_3M","20090610","20090610","Dts=H")</f>
        <v>#N/A Invalid Field</v>
      </c>
      <c r="I151" t="str" cm="1">
        <f t="array" ref="I151">_xll.BDH($D151,"MTG_GEN_CPR_6M","20090610","20090610","Dts=H")</f>
        <v>#N/A Invalid Field</v>
      </c>
      <c r="J151" t="str" cm="1">
        <f t="array" ref="J151">_xll.BDH($D151,"MTG_GEN_CPR_12M","20090610","20090610","Dts=H")</f>
        <v>#N/A Invalid Field</v>
      </c>
      <c r="K151" t="str" cm="1">
        <f t="array" ref="K151">_xll.BDP("31283H4W2 Mtge","MTG_PREPAY_TYP")</f>
        <v>PSA</v>
      </c>
      <c r="L151" cm="1">
        <f t="array" ref="L151">_xll.BDP(D151,"MTG_PREPAY_SPEED")</f>
        <v>140</v>
      </c>
      <c r="M151" cm="1">
        <f t="array" ref="M151">_xll.BDP(D151,"MTG_PL_PSA_1M ")</f>
        <v>2</v>
      </c>
      <c r="N151" cm="1">
        <f t="array" ref="N151">_xll.BDP(D151,"MTG_PL_PSA_3M ")</f>
        <v>1.9</v>
      </c>
      <c r="O151" cm="1">
        <f t="array" ref="O151">_xll.BDP(D151,"MTG_PL_PSA_6M ")</f>
        <v>2.2999999999999998</v>
      </c>
    </row>
    <row r="152" spans="1:15" x14ac:dyDescent="0.25">
      <c r="A152" t="s">
        <v>468</v>
      </c>
      <c r="B152" t="s">
        <v>469</v>
      </c>
      <c r="C152" t="s">
        <v>100</v>
      </c>
      <c r="D152" t="s">
        <v>470</v>
      </c>
      <c r="E152" t="str" cm="1">
        <f t="array" ref="E152">_xll.BDH($D152,"MTG_GEN_CPR_3M","20090331","20090331","Dts=H")</f>
        <v>#N/A Invalid Field</v>
      </c>
      <c r="F152" t="str" cm="1">
        <f t="array" ref="F152">_xll.BDH($D152,"MTG_GEN_CPR_6M","20090331","20090331","Dts=H")</f>
        <v>#N/A Invalid Field</v>
      </c>
      <c r="G152" t="str" cm="1">
        <f t="array" ref="G152">_xll.BDH($D152,"MTG_GEN_CPR_12M","20090331","20090331","Dts=H")</f>
        <v>#N/A Invalid Field</v>
      </c>
      <c r="H152" t="str" cm="1">
        <f t="array" ref="H152">_xll.BDH($D152,"MTG_GEN_CPR_3M","20090610","20090610","Dts=H")</f>
        <v>#N/A Invalid Field</v>
      </c>
      <c r="I152" t="str" cm="1">
        <f t="array" ref="I152">_xll.BDH($D152,"MTG_GEN_CPR_6M","20090610","20090610","Dts=H")</f>
        <v>#N/A Invalid Field</v>
      </c>
      <c r="J152" t="str" cm="1">
        <f t="array" ref="J152">_xll.BDH($D152,"MTG_GEN_CPR_12M","20090610","20090610","Dts=H")</f>
        <v>#N/A Invalid Field</v>
      </c>
      <c r="K152" t="str" cm="1">
        <f t="array" ref="K152">_xll.BDP("31283H4W2 Mtge","MTG_PREPAY_TYP")</f>
        <v>PSA</v>
      </c>
      <c r="L152" t="str" cm="1">
        <f t="array" ref="L152">_xll.BDP(D152,"MTG_PREPAY_SPEED")</f>
        <v>#N/A N/A</v>
      </c>
      <c r="M152" cm="1">
        <f t="array" ref="M152">_xll.BDP(D152,"MTG_PL_PSA_1M ")</f>
        <v>1666.7</v>
      </c>
      <c r="N152" cm="1">
        <f t="array" ref="N152">_xll.BDP(D152,"MTG_PL_PSA_3M ")</f>
        <v>1666.7</v>
      </c>
      <c r="O152" cm="1">
        <f t="array" ref="O152">_xll.BDP(D152,"MTG_PL_PSA_6M ")</f>
        <v>1666.7</v>
      </c>
    </row>
    <row r="153" spans="1:15" x14ac:dyDescent="0.25">
      <c r="A153" t="s">
        <v>471</v>
      </c>
      <c r="B153" t="s">
        <v>472</v>
      </c>
      <c r="C153" t="s">
        <v>100</v>
      </c>
      <c r="D153" t="s">
        <v>473</v>
      </c>
      <c r="E153" t="str" cm="1">
        <f t="array" ref="E153">_xll.BDH($D153,"MTG_GEN_CPR_3M","20090331","20090331","Dts=H")</f>
        <v>#N/A Invalid Field</v>
      </c>
      <c r="F153" t="str" cm="1">
        <f t="array" ref="F153">_xll.BDH($D153,"MTG_GEN_CPR_6M","20090331","20090331","Dts=H")</f>
        <v>#N/A Invalid Field</v>
      </c>
      <c r="G153" t="str" cm="1">
        <f t="array" ref="G153">_xll.BDH($D153,"MTG_GEN_CPR_12M","20090331","20090331","Dts=H")</f>
        <v>#N/A Invalid Field</v>
      </c>
      <c r="H153" t="str" cm="1">
        <f t="array" ref="H153">_xll.BDH($D153,"MTG_GEN_CPR_3M","20090610","20090610","Dts=H")</f>
        <v>#N/A Invalid Field</v>
      </c>
      <c r="I153" t="str" cm="1">
        <f t="array" ref="I153">_xll.BDH($D153,"MTG_GEN_CPR_6M","20090610","20090610","Dts=H")</f>
        <v>#N/A Invalid Field</v>
      </c>
      <c r="J153" t="str" cm="1">
        <f t="array" ref="J153">_xll.BDH($D153,"MTG_GEN_CPR_12M","20090610","20090610","Dts=H")</f>
        <v>#N/A Invalid Field</v>
      </c>
      <c r="K153" t="str" cm="1">
        <f t="array" ref="K153">_xll.BDP("31283H4W2 Mtge","MTG_PREPAY_TYP")</f>
        <v>PSA</v>
      </c>
      <c r="L153" cm="1">
        <f t="array" ref="L153">_xll.BDP(D153,"MTG_PREPAY_SPEED")</f>
        <v>213</v>
      </c>
      <c r="M153" cm="1">
        <f t="array" ref="M153">_xll.BDP(D153,"MTG_PL_PSA_1M ")</f>
        <v>60.3</v>
      </c>
      <c r="N153" cm="1">
        <f t="array" ref="N153">_xll.BDP(D153,"MTG_PL_PSA_3M ")</f>
        <v>55.6</v>
      </c>
      <c r="O153" cm="1">
        <f t="array" ref="O153">_xll.BDP(D153,"MTG_PL_PSA_6M ")</f>
        <v>49.7</v>
      </c>
    </row>
    <row r="154" spans="1:15" x14ac:dyDescent="0.25">
      <c r="A154" t="s">
        <v>474</v>
      </c>
      <c r="B154" t="s">
        <v>475</v>
      </c>
      <c r="C154" t="s">
        <v>100</v>
      </c>
      <c r="D154" t="s">
        <v>476</v>
      </c>
      <c r="E154" t="str" cm="1">
        <f t="array" ref="E154">_xll.BDH($D154,"MTG_GEN_CPR_3M","20090331","20090331","Dts=H")</f>
        <v>#N/A Invalid Field</v>
      </c>
      <c r="F154" t="str" cm="1">
        <f t="array" ref="F154">_xll.BDH($D154,"MTG_GEN_CPR_6M","20090331","20090331","Dts=H")</f>
        <v>#N/A Invalid Field</v>
      </c>
      <c r="G154" t="str" cm="1">
        <f t="array" ref="G154">_xll.BDH($D154,"MTG_GEN_CPR_12M","20090331","20090331","Dts=H")</f>
        <v>#N/A Invalid Field</v>
      </c>
      <c r="H154" t="str" cm="1">
        <f t="array" ref="H154">_xll.BDH($D154,"MTG_GEN_CPR_3M","20090610","20090610","Dts=H")</f>
        <v>#N/A Invalid Field</v>
      </c>
      <c r="I154" t="str" cm="1">
        <f t="array" ref="I154">_xll.BDH($D154,"MTG_GEN_CPR_6M","20090610","20090610","Dts=H")</f>
        <v>#N/A Invalid Field</v>
      </c>
      <c r="J154" t="str" cm="1">
        <f t="array" ref="J154">_xll.BDH($D154,"MTG_GEN_CPR_12M","20090610","20090610","Dts=H")</f>
        <v>#N/A Invalid Field</v>
      </c>
      <c r="K154" t="str" cm="1">
        <f t="array" ref="K154">_xll.BDP("31283H4W2 Mtge","MTG_PREPAY_TYP")</f>
        <v>PSA</v>
      </c>
      <c r="L154" t="str" cm="1">
        <f t="array" ref="L154">_xll.BDP(D154,"MTG_PREPAY_SPEED")</f>
        <v>#N/A N/A</v>
      </c>
      <c r="M154" cm="1">
        <f t="array" ref="M154">_xll.BDP(D154,"MTG_PL_PSA_1M ")</f>
        <v>0</v>
      </c>
      <c r="N154" cm="1">
        <f t="array" ref="N154">_xll.BDP(D154,"MTG_PL_PSA_3M ")</f>
        <v>1581.6</v>
      </c>
      <c r="O154" cm="1">
        <f t="array" ref="O154">_xll.BDP(D154,"MTG_PL_PSA_6M ")</f>
        <v>1451.5</v>
      </c>
    </row>
    <row r="155" spans="1:15" x14ac:dyDescent="0.25">
      <c r="A155" t="s">
        <v>477</v>
      </c>
      <c r="B155" t="s">
        <v>478</v>
      </c>
      <c r="C155" t="s">
        <v>100</v>
      </c>
      <c r="D155" t="s">
        <v>479</v>
      </c>
      <c r="E155" t="str" cm="1">
        <f t="array" ref="E155">_xll.BDH($D155,"MTG_GEN_CPR_3M","20090331","20090331","Dts=H")</f>
        <v>#N/A Invalid Field</v>
      </c>
      <c r="F155" t="str" cm="1">
        <f t="array" ref="F155">_xll.BDH($D155,"MTG_GEN_CPR_6M","20090331","20090331","Dts=H")</f>
        <v>#N/A Invalid Field</v>
      </c>
      <c r="G155" t="str" cm="1">
        <f t="array" ref="G155">_xll.BDH($D155,"MTG_GEN_CPR_12M","20090331","20090331","Dts=H")</f>
        <v>#N/A Invalid Field</v>
      </c>
      <c r="H155" t="str" cm="1">
        <f t="array" ref="H155">_xll.BDH($D155,"MTG_GEN_CPR_3M","20090610","20090610","Dts=H")</f>
        <v>#N/A Invalid Field</v>
      </c>
      <c r="I155" t="str" cm="1">
        <f t="array" ref="I155">_xll.BDH($D155,"MTG_GEN_CPR_6M","20090610","20090610","Dts=H")</f>
        <v>#N/A Invalid Field</v>
      </c>
      <c r="J155" t="str" cm="1">
        <f t="array" ref="J155">_xll.BDH($D155,"MTG_GEN_CPR_12M","20090610","20090610","Dts=H")</f>
        <v>#N/A Invalid Field</v>
      </c>
      <c r="K155" t="str" cm="1">
        <f t="array" ref="K155">_xll.BDP("31283H4W2 Mtge","MTG_PREPAY_TYP")</f>
        <v>PSA</v>
      </c>
      <c r="L155" t="str" cm="1">
        <f t="array" ref="L155">_xll.BDP(D155,"MTG_PREPAY_SPEED")</f>
        <v>#N/A N/A</v>
      </c>
      <c r="M155" cm="1">
        <f t="array" ref="M155">_xll.BDP(D155,"MTG_PL_PSA_1M ")</f>
        <v>0</v>
      </c>
      <c r="N155" cm="1">
        <f t="array" ref="N155">_xll.BDP(D155,"MTG_PL_PSA_3M ")</f>
        <v>1624.1</v>
      </c>
      <c r="O155" cm="1">
        <f t="array" ref="O155">_xll.BDP(D155,"MTG_PL_PSA_6M ")</f>
        <v>1502.6</v>
      </c>
    </row>
    <row r="156" spans="1:15" x14ac:dyDescent="0.25">
      <c r="A156" t="s">
        <v>480</v>
      </c>
      <c r="B156" t="s">
        <v>481</v>
      </c>
      <c r="C156" t="s">
        <v>100</v>
      </c>
      <c r="D156" t="s">
        <v>482</v>
      </c>
      <c r="E156" t="str" cm="1">
        <f t="array" ref="E156">_xll.BDH($D156,"MTG_GEN_CPR_3M","20090331","20090331","Dts=H")</f>
        <v>#N/A Invalid Field</v>
      </c>
      <c r="F156" t="str" cm="1">
        <f t="array" ref="F156">_xll.BDH($D156,"MTG_GEN_CPR_6M","20090331","20090331","Dts=H")</f>
        <v>#N/A Invalid Field</v>
      </c>
      <c r="G156" t="str" cm="1">
        <f t="array" ref="G156">_xll.BDH($D156,"MTG_GEN_CPR_12M","20090331","20090331","Dts=H")</f>
        <v>#N/A Invalid Field</v>
      </c>
      <c r="H156" t="str" cm="1">
        <f t="array" ref="H156">_xll.BDH($D156,"MTG_GEN_CPR_3M","20090610","20090610","Dts=H")</f>
        <v>#N/A Invalid Field</v>
      </c>
      <c r="I156" t="str" cm="1">
        <f t="array" ref="I156">_xll.BDH($D156,"MTG_GEN_CPR_6M","20090610","20090610","Dts=H")</f>
        <v>#N/A Invalid Field</v>
      </c>
      <c r="J156" t="str" cm="1">
        <f t="array" ref="J156">_xll.BDH($D156,"MTG_GEN_CPR_12M","20090610","20090610","Dts=H")</f>
        <v>#N/A Invalid Field</v>
      </c>
      <c r="K156" t="str" cm="1">
        <f t="array" ref="K156">_xll.BDP("31283H4W2 Mtge","MTG_PREPAY_TYP")</f>
        <v>PSA</v>
      </c>
      <c r="L156" t="str" cm="1">
        <f t="array" ref="L156">_xll.BDP(D156,"MTG_PREPAY_SPEED")</f>
        <v>#N/A N/A</v>
      </c>
      <c r="M156" cm="1">
        <f t="array" ref="M156">_xll.BDP(D156,"MTG_PL_PSA_1M ")</f>
        <v>554.1</v>
      </c>
      <c r="N156" cm="1">
        <f t="array" ref="N156">_xll.BDP(D156,"MTG_PL_PSA_3M ")</f>
        <v>537.6</v>
      </c>
      <c r="O156" cm="1">
        <f t="array" ref="O156">_xll.BDP(D156,"MTG_PL_PSA_6M ")</f>
        <v>531.1</v>
      </c>
    </row>
    <row r="157" spans="1:15" x14ac:dyDescent="0.25">
      <c r="A157" t="s">
        <v>483</v>
      </c>
      <c r="B157" t="s">
        <v>484</v>
      </c>
      <c r="C157" t="s">
        <v>100</v>
      </c>
      <c r="D157" t="s">
        <v>485</v>
      </c>
      <c r="E157" t="str" cm="1">
        <f t="array" ref="E157">_xll.BDH($D157,"MTG_GEN_CPR_3M","20090331","20090331","Dts=H")</f>
        <v>#N/A Invalid Field</v>
      </c>
      <c r="F157" t="str" cm="1">
        <f t="array" ref="F157">_xll.BDH($D157,"MTG_GEN_CPR_6M","20090331","20090331","Dts=H")</f>
        <v>#N/A Invalid Field</v>
      </c>
      <c r="G157" t="str" cm="1">
        <f t="array" ref="G157">_xll.BDH($D157,"MTG_GEN_CPR_12M","20090331","20090331","Dts=H")</f>
        <v>#N/A Invalid Field</v>
      </c>
      <c r="H157" t="str" cm="1">
        <f t="array" ref="H157">_xll.BDH($D157,"MTG_GEN_CPR_3M","20090610","20090610","Dts=H")</f>
        <v>#N/A Invalid Field</v>
      </c>
      <c r="I157" t="str" cm="1">
        <f t="array" ref="I157">_xll.BDH($D157,"MTG_GEN_CPR_6M","20090610","20090610","Dts=H")</f>
        <v>#N/A Invalid Field</v>
      </c>
      <c r="J157" t="str" cm="1">
        <f t="array" ref="J157">_xll.BDH($D157,"MTG_GEN_CPR_12M","20090610","20090610","Dts=H")</f>
        <v>#N/A Invalid Field</v>
      </c>
      <c r="K157" t="str" cm="1">
        <f t="array" ref="K157">_xll.BDP("31283H4W2 Mtge","MTG_PREPAY_TYP")</f>
        <v>PSA</v>
      </c>
      <c r="L157" cm="1">
        <f t="array" ref="L157">_xll.BDP(D157,"MTG_PREPAY_SPEED")</f>
        <v>0.4</v>
      </c>
      <c r="M157" cm="1">
        <f t="array" ref="M157">_xll.BDP(D157,"MTG_PL_PSA_1M ")</f>
        <v>-36.6</v>
      </c>
      <c r="N157" cm="1">
        <f t="array" ref="N157">_xll.BDP(D157,"MTG_PL_PSA_3M ")</f>
        <v>-11.5</v>
      </c>
      <c r="O157" cm="1">
        <f t="array" ref="O157">_xll.BDP(D157,"MTG_PL_PSA_6M ")</f>
        <v>6.6</v>
      </c>
    </row>
    <row r="158" spans="1:15" x14ac:dyDescent="0.25">
      <c r="A158" t="s">
        <v>486</v>
      </c>
      <c r="B158" t="s">
        <v>487</v>
      </c>
      <c r="C158" t="s">
        <v>100</v>
      </c>
      <c r="D158" t="s">
        <v>488</v>
      </c>
      <c r="E158" t="str" cm="1">
        <f t="array" ref="E158">_xll.BDH($D158,"MTG_GEN_CPR_3M","20090331","20090331","Dts=H")</f>
        <v>#N/A Invalid Field</v>
      </c>
      <c r="F158" t="str" cm="1">
        <f t="array" ref="F158">_xll.BDH($D158,"MTG_GEN_CPR_6M","20090331","20090331","Dts=H")</f>
        <v>#N/A Invalid Field</v>
      </c>
      <c r="G158" t="str" cm="1">
        <f t="array" ref="G158">_xll.BDH($D158,"MTG_GEN_CPR_12M","20090331","20090331","Dts=H")</f>
        <v>#N/A Invalid Field</v>
      </c>
      <c r="H158" t="str" cm="1">
        <f t="array" ref="H158">_xll.BDH($D158,"MTG_GEN_CPR_3M","20090610","20090610","Dts=H")</f>
        <v>#N/A Invalid Field</v>
      </c>
      <c r="I158" t="str" cm="1">
        <f t="array" ref="I158">_xll.BDH($D158,"MTG_GEN_CPR_6M","20090610","20090610","Dts=H")</f>
        <v>#N/A Invalid Field</v>
      </c>
      <c r="J158" t="str" cm="1">
        <f t="array" ref="J158">_xll.BDH($D158,"MTG_GEN_CPR_12M","20090610","20090610","Dts=H")</f>
        <v>#N/A Invalid Field</v>
      </c>
      <c r="K158" t="str" cm="1">
        <f t="array" ref="K158">_xll.BDP("31283H4W2 Mtge","MTG_PREPAY_TYP")</f>
        <v>PSA</v>
      </c>
      <c r="L158" cm="1">
        <f t="array" ref="L158">_xll.BDP(D158,"MTG_PREPAY_SPEED")</f>
        <v>1.63</v>
      </c>
      <c r="M158" cm="1">
        <f t="array" ref="M158">_xll.BDP(D158,"MTG_PL_PSA_1M ")</f>
        <v>22.3</v>
      </c>
      <c r="N158" cm="1">
        <f t="array" ref="N158">_xll.BDP(D158,"MTG_PL_PSA_3M ")</f>
        <v>35.799999999999997</v>
      </c>
      <c r="O158" cm="1">
        <f t="array" ref="O158">_xll.BDP(D158,"MTG_PL_PSA_6M ")</f>
        <v>27.2</v>
      </c>
    </row>
    <row r="159" spans="1:15" x14ac:dyDescent="0.25">
      <c r="A159" t="s">
        <v>489</v>
      </c>
      <c r="B159" t="s">
        <v>490</v>
      </c>
      <c r="C159" t="s">
        <v>100</v>
      </c>
      <c r="D159" t="s">
        <v>491</v>
      </c>
      <c r="E159" t="str" cm="1">
        <f t="array" ref="E159">_xll.BDH($D159,"MTG_GEN_CPR_3M","20090331","20090331","Dts=H")</f>
        <v>#N/A Invalid Field</v>
      </c>
      <c r="F159" t="str" cm="1">
        <f t="array" ref="F159">_xll.BDH($D159,"MTG_GEN_CPR_6M","20090331","20090331","Dts=H")</f>
        <v>#N/A Invalid Field</v>
      </c>
      <c r="G159" t="str" cm="1">
        <f t="array" ref="G159">_xll.BDH($D159,"MTG_GEN_CPR_12M","20090331","20090331","Dts=H")</f>
        <v>#N/A Invalid Field</v>
      </c>
      <c r="H159" t="str" cm="1">
        <f t="array" ref="H159">_xll.BDH($D159,"MTG_GEN_CPR_3M","20090610","20090610","Dts=H")</f>
        <v>#N/A Invalid Field</v>
      </c>
      <c r="I159" t="str" cm="1">
        <f t="array" ref="I159">_xll.BDH($D159,"MTG_GEN_CPR_6M","20090610","20090610","Dts=H")</f>
        <v>#N/A Invalid Field</v>
      </c>
      <c r="J159" t="str" cm="1">
        <f t="array" ref="J159">_xll.BDH($D159,"MTG_GEN_CPR_12M","20090610","20090610","Dts=H")</f>
        <v>#N/A Invalid Field</v>
      </c>
      <c r="K159" t="str" cm="1">
        <f t="array" ref="K159">_xll.BDP("31283H4W2 Mtge","MTG_PREPAY_TYP")</f>
        <v>PSA</v>
      </c>
      <c r="L159" cm="1">
        <f t="array" ref="L159">_xll.BDP(D159,"MTG_PREPAY_SPEED")</f>
        <v>125</v>
      </c>
      <c r="M159" cm="1">
        <f t="array" ref="M159">_xll.BDP(D159,"MTG_PL_PSA_1M ")</f>
        <v>194.6</v>
      </c>
      <c r="N159" cm="1">
        <f t="array" ref="N159">_xll.BDP(D159,"MTG_PL_PSA_3M ")</f>
        <v>141.6</v>
      </c>
      <c r="O159" cm="1">
        <f t="array" ref="O159">_xll.BDP(D159,"MTG_PL_PSA_6M ")</f>
        <v>152.1</v>
      </c>
    </row>
    <row r="160" spans="1:15" x14ac:dyDescent="0.25">
      <c r="A160" t="s">
        <v>492</v>
      </c>
      <c r="B160" t="s">
        <v>493</v>
      </c>
      <c r="C160" t="s">
        <v>100</v>
      </c>
      <c r="D160" t="s">
        <v>494</v>
      </c>
      <c r="E160" t="str" cm="1">
        <f t="array" ref="E160">_xll.BDH($D160,"MTG_GEN_CPR_3M","20090331","20090331","Dts=H")</f>
        <v>#N/A Invalid Field</v>
      </c>
      <c r="F160" t="str" cm="1">
        <f t="array" ref="F160">_xll.BDH($D160,"MTG_GEN_CPR_6M","20090331","20090331","Dts=H")</f>
        <v>#N/A Invalid Field</v>
      </c>
      <c r="G160" t="str" cm="1">
        <f t="array" ref="G160">_xll.BDH($D160,"MTG_GEN_CPR_12M","20090331","20090331","Dts=H")</f>
        <v>#N/A Invalid Field</v>
      </c>
      <c r="H160" t="str" cm="1">
        <f t="array" ref="H160">_xll.BDH($D160,"MTG_GEN_CPR_3M","20090610","20090610","Dts=H")</f>
        <v>#N/A Invalid Field</v>
      </c>
      <c r="I160" t="str" cm="1">
        <f t="array" ref="I160">_xll.BDH($D160,"MTG_GEN_CPR_6M","20090610","20090610","Dts=H")</f>
        <v>#N/A Invalid Field</v>
      </c>
      <c r="J160" t="str" cm="1">
        <f t="array" ref="J160">_xll.BDH($D160,"MTG_GEN_CPR_12M","20090610","20090610","Dts=H")</f>
        <v>#N/A Invalid Field</v>
      </c>
      <c r="K160" t="str" cm="1">
        <f t="array" ref="K160">_xll.BDP("31283H4W2 Mtge","MTG_PREPAY_TYP")</f>
        <v>PSA</v>
      </c>
      <c r="L160" cm="1">
        <f t="array" ref="L160">_xll.BDP(D160,"MTG_PREPAY_SPEED")</f>
        <v>125</v>
      </c>
      <c r="M160" cm="1">
        <f t="array" ref="M160">_xll.BDP(D160,"MTG_PL_PSA_1M ")</f>
        <v>103.1</v>
      </c>
      <c r="N160" cm="1">
        <f t="array" ref="N160">_xll.BDP(D160,"MTG_PL_PSA_3M ")</f>
        <v>196.2</v>
      </c>
      <c r="O160" cm="1">
        <f t="array" ref="O160">_xll.BDP(D160,"MTG_PL_PSA_6M ")</f>
        <v>161.19999999999999</v>
      </c>
    </row>
    <row r="161" spans="1:15" x14ac:dyDescent="0.25">
      <c r="A161" t="s">
        <v>495</v>
      </c>
      <c r="B161" t="s">
        <v>496</v>
      </c>
      <c r="C161" t="s">
        <v>100</v>
      </c>
      <c r="D161" t="s">
        <v>497</v>
      </c>
      <c r="E161" t="str" cm="1">
        <f t="array" ref="E161">_xll.BDH($D161,"MTG_GEN_CPR_3M","20090331","20090331","Dts=H")</f>
        <v>#N/A Invalid Field</v>
      </c>
      <c r="F161" t="str" cm="1">
        <f t="array" ref="F161">_xll.BDH($D161,"MTG_GEN_CPR_6M","20090331","20090331","Dts=H")</f>
        <v>#N/A Invalid Field</v>
      </c>
      <c r="G161" t="str" cm="1">
        <f t="array" ref="G161">_xll.BDH($D161,"MTG_GEN_CPR_12M","20090331","20090331","Dts=H")</f>
        <v>#N/A Invalid Field</v>
      </c>
      <c r="H161" t="str" cm="1">
        <f t="array" ref="H161">_xll.BDH($D161,"MTG_GEN_CPR_3M","20090610","20090610","Dts=H")</f>
        <v>#N/A Invalid Field</v>
      </c>
      <c r="I161" t="str" cm="1">
        <f t="array" ref="I161">_xll.BDH($D161,"MTG_GEN_CPR_6M","20090610","20090610","Dts=H")</f>
        <v>#N/A Invalid Field</v>
      </c>
      <c r="J161" t="str" cm="1">
        <f t="array" ref="J161">_xll.BDH($D161,"MTG_GEN_CPR_12M","20090610","20090610","Dts=H")</f>
        <v>#N/A Invalid Field</v>
      </c>
      <c r="K161" t="str" cm="1">
        <f t="array" ref="K161">_xll.BDP("31283H4W2 Mtge","MTG_PREPAY_TYP")</f>
        <v>PSA</v>
      </c>
      <c r="L161" cm="1">
        <f t="array" ref="L161">_xll.BDP(D161,"MTG_PREPAY_SPEED")</f>
        <v>125</v>
      </c>
      <c r="M161" cm="1">
        <f t="array" ref="M161">_xll.BDP(D161,"MTG_PL_PSA_1M ")</f>
        <v>67.5</v>
      </c>
      <c r="N161" cm="1">
        <f t="array" ref="N161">_xll.BDP(D161,"MTG_PL_PSA_3M ")</f>
        <v>119.5</v>
      </c>
      <c r="O161" cm="1">
        <f t="array" ref="O161">_xll.BDP(D161,"MTG_PL_PSA_6M ")</f>
        <v>133.5</v>
      </c>
    </row>
    <row r="162" spans="1:15" x14ac:dyDescent="0.25">
      <c r="A162" t="s">
        <v>498</v>
      </c>
      <c r="B162" t="s">
        <v>499</v>
      </c>
      <c r="C162" t="s">
        <v>100</v>
      </c>
      <c r="D162" t="s">
        <v>500</v>
      </c>
      <c r="E162" t="str" cm="1">
        <f t="array" ref="E162">_xll.BDH($D162,"MTG_GEN_CPR_3M","20090331","20090331","Dts=H")</f>
        <v>#N/A Invalid Field</v>
      </c>
      <c r="F162" t="str" cm="1">
        <f t="array" ref="F162">_xll.BDH($D162,"MTG_GEN_CPR_6M","20090331","20090331","Dts=H")</f>
        <v>#N/A Invalid Field</v>
      </c>
      <c r="G162" t="str" cm="1">
        <f t="array" ref="G162">_xll.BDH($D162,"MTG_GEN_CPR_12M","20090331","20090331","Dts=H")</f>
        <v>#N/A Invalid Field</v>
      </c>
      <c r="H162" t="str" cm="1">
        <f t="array" ref="H162">_xll.BDH($D162,"MTG_GEN_CPR_3M","20090610","20090610","Dts=H")</f>
        <v>#N/A Invalid Field</v>
      </c>
      <c r="I162" t="str" cm="1">
        <f t="array" ref="I162">_xll.BDH($D162,"MTG_GEN_CPR_6M","20090610","20090610","Dts=H")</f>
        <v>#N/A Invalid Field</v>
      </c>
      <c r="J162" t="str" cm="1">
        <f t="array" ref="J162">_xll.BDH($D162,"MTG_GEN_CPR_12M","20090610","20090610","Dts=H")</f>
        <v>#N/A Invalid Field</v>
      </c>
      <c r="K162" t="str" cm="1">
        <f t="array" ref="K162">_xll.BDP("31283H4W2 Mtge","MTG_PREPAY_TYP")</f>
        <v>PSA</v>
      </c>
      <c r="L162" cm="1">
        <f t="array" ref="L162">_xll.BDP(D162,"MTG_PREPAY_SPEED")</f>
        <v>125</v>
      </c>
      <c r="M162" cm="1">
        <f t="array" ref="M162">_xll.BDP(D162,"MTG_PL_PSA_1M ")</f>
        <v>109.8</v>
      </c>
      <c r="N162" cm="1">
        <f t="array" ref="N162">_xll.BDP(D162,"MTG_PL_PSA_3M ")</f>
        <v>210.1</v>
      </c>
      <c r="O162" cm="1">
        <f t="array" ref="O162">_xll.BDP(D162,"MTG_PL_PSA_6M ")</f>
        <v>168.8</v>
      </c>
    </row>
    <row r="163" spans="1:15" x14ac:dyDescent="0.25">
      <c r="A163" t="s">
        <v>501</v>
      </c>
      <c r="B163" t="s">
        <v>502</v>
      </c>
      <c r="C163" t="s">
        <v>100</v>
      </c>
      <c r="D163" t="s">
        <v>503</v>
      </c>
      <c r="E163" t="str" cm="1">
        <f t="array" ref="E163">_xll.BDH($D163,"MTG_GEN_CPR_3M","20090331","20090331","Dts=H")</f>
        <v>#N/A Invalid Field</v>
      </c>
      <c r="F163" t="str" cm="1">
        <f t="array" ref="F163">_xll.BDH($D163,"MTG_GEN_CPR_6M","20090331","20090331","Dts=H")</f>
        <v>#N/A Invalid Field</v>
      </c>
      <c r="G163" t="str" cm="1">
        <f t="array" ref="G163">_xll.BDH($D163,"MTG_GEN_CPR_12M","20090331","20090331","Dts=H")</f>
        <v>#N/A Invalid Field</v>
      </c>
      <c r="H163" t="str" cm="1">
        <f t="array" ref="H163">_xll.BDH($D163,"MTG_GEN_CPR_3M","20090610","20090610","Dts=H")</f>
        <v>#N/A Invalid Field</v>
      </c>
      <c r="I163" t="str" cm="1">
        <f t="array" ref="I163">_xll.BDH($D163,"MTG_GEN_CPR_6M","20090610","20090610","Dts=H")</f>
        <v>#N/A Invalid Field</v>
      </c>
      <c r="J163" t="str" cm="1">
        <f t="array" ref="J163">_xll.BDH($D163,"MTG_GEN_CPR_12M","20090610","20090610","Dts=H")</f>
        <v>#N/A Invalid Field</v>
      </c>
      <c r="K163" t="str" cm="1">
        <f t="array" ref="K163">_xll.BDP("31283H4W2 Mtge","MTG_PREPAY_TYP")</f>
        <v>PSA</v>
      </c>
      <c r="L163" t="str" cm="1">
        <f t="array" ref="L163">_xll.BDP(D163,"MTG_PREPAY_SPEED")</f>
        <v>#N/A N/A</v>
      </c>
      <c r="M163" cm="1">
        <f t="array" ref="M163">_xll.BDP(D163,"MTG_PL_PSA_1M ")</f>
        <v>0</v>
      </c>
      <c r="N163" cm="1">
        <f t="array" ref="N163">_xll.BDP(D163,"MTG_PL_PSA_3M ")</f>
        <v>1584.2</v>
      </c>
      <c r="O163" cm="1">
        <f t="array" ref="O163">_xll.BDP(D163,"MTG_PL_PSA_6M ")</f>
        <v>1466.1</v>
      </c>
    </row>
    <row r="164" spans="1:15" x14ac:dyDescent="0.25">
      <c r="A164" t="s">
        <v>504</v>
      </c>
      <c r="B164" t="s">
        <v>505</v>
      </c>
      <c r="C164" t="s">
        <v>100</v>
      </c>
      <c r="D164" t="s">
        <v>506</v>
      </c>
      <c r="E164" t="str" cm="1">
        <f t="array" ref="E164">_xll.BDH($D164,"MTG_GEN_CPR_3M","20090331","20090331","Dts=H")</f>
        <v>#N/A Invalid Field</v>
      </c>
      <c r="F164" t="str" cm="1">
        <f t="array" ref="F164">_xll.BDH($D164,"MTG_GEN_CPR_6M","20090331","20090331","Dts=H")</f>
        <v>#N/A Invalid Field</v>
      </c>
      <c r="G164" t="str" cm="1">
        <f t="array" ref="G164">_xll.BDH($D164,"MTG_GEN_CPR_12M","20090331","20090331","Dts=H")</f>
        <v>#N/A Invalid Field</v>
      </c>
      <c r="H164" t="str" cm="1">
        <f t="array" ref="H164">_xll.BDH($D164,"MTG_GEN_CPR_3M","20090610","20090610","Dts=H")</f>
        <v>#N/A Invalid Field</v>
      </c>
      <c r="I164" t="str" cm="1">
        <f t="array" ref="I164">_xll.BDH($D164,"MTG_GEN_CPR_6M","20090610","20090610","Dts=H")</f>
        <v>#N/A Invalid Field</v>
      </c>
      <c r="J164" t="str" cm="1">
        <f t="array" ref="J164">_xll.BDH($D164,"MTG_GEN_CPR_12M","20090610","20090610","Dts=H")</f>
        <v>#N/A Invalid Field</v>
      </c>
      <c r="K164" t="str" cm="1">
        <f t="array" ref="K164">_xll.BDP("31283H4W2 Mtge","MTG_PREPAY_TYP")</f>
        <v>PSA</v>
      </c>
      <c r="L164" t="str" cm="1">
        <f t="array" ref="L164">_xll.BDP(D164,"MTG_PREPAY_SPEED")</f>
        <v>#N/A N/A</v>
      </c>
      <c r="M164" cm="1">
        <f t="array" ref="M164">_xll.BDP(D164,"MTG_PL_PSA_1M ")</f>
        <v>0</v>
      </c>
      <c r="N164" cm="1">
        <f t="array" ref="N164">_xll.BDP(D164,"MTG_PL_PSA_3M ")</f>
        <v>1641.2</v>
      </c>
      <c r="O164" cm="1">
        <f t="array" ref="O164">_xll.BDP(D164,"MTG_PL_PSA_6M ")</f>
        <v>1531.7</v>
      </c>
    </row>
    <row r="165" spans="1:15" x14ac:dyDescent="0.25">
      <c r="A165" t="s">
        <v>507</v>
      </c>
      <c r="B165" t="s">
        <v>508</v>
      </c>
      <c r="C165" t="s">
        <v>100</v>
      </c>
      <c r="D165" t="s">
        <v>509</v>
      </c>
      <c r="E165" t="str" cm="1">
        <f t="array" ref="E165">_xll.BDH($D165,"MTG_GEN_CPR_3M","20090331","20090331","Dts=H")</f>
        <v>#N/A Invalid Field</v>
      </c>
      <c r="F165" t="str" cm="1">
        <f t="array" ref="F165">_xll.BDH($D165,"MTG_GEN_CPR_6M","20090331","20090331","Dts=H")</f>
        <v>#N/A Invalid Field</v>
      </c>
      <c r="G165" t="str" cm="1">
        <f t="array" ref="G165">_xll.BDH($D165,"MTG_GEN_CPR_12M","20090331","20090331","Dts=H")</f>
        <v>#N/A Invalid Field</v>
      </c>
      <c r="H165" t="str" cm="1">
        <f t="array" ref="H165">_xll.BDH($D165,"MTG_GEN_CPR_3M","20090610","20090610","Dts=H")</f>
        <v>#N/A Invalid Field</v>
      </c>
      <c r="I165" t="str" cm="1">
        <f t="array" ref="I165">_xll.BDH($D165,"MTG_GEN_CPR_6M","20090610","20090610","Dts=H")</f>
        <v>#N/A Invalid Field</v>
      </c>
      <c r="J165" t="str" cm="1">
        <f t="array" ref="J165">_xll.BDH($D165,"MTG_GEN_CPR_12M","20090610","20090610","Dts=H")</f>
        <v>#N/A Invalid Field</v>
      </c>
      <c r="K165" t="str" cm="1">
        <f t="array" ref="K165">_xll.BDP("31283H4W2 Mtge","MTG_PREPAY_TYP")</f>
        <v>PSA</v>
      </c>
      <c r="L165" t="str" cm="1">
        <f t="array" ref="L165">_xll.BDP(D165,"MTG_PREPAY_SPEED")</f>
        <v>#N/A N/A</v>
      </c>
      <c r="M165" cm="1">
        <f t="array" ref="M165">_xll.BDP(D165,"MTG_PL_PSA_1M ")</f>
        <v>0</v>
      </c>
      <c r="N165" cm="1">
        <f t="array" ref="N165">_xll.BDP(D165,"MTG_PL_PSA_3M ")</f>
        <v>1625.8</v>
      </c>
      <c r="O165" cm="1">
        <f t="array" ref="O165">_xll.BDP(D165,"MTG_PL_PSA_6M ")</f>
        <v>1509.5</v>
      </c>
    </row>
    <row r="166" spans="1:15" x14ac:dyDescent="0.25">
      <c r="A166" t="s">
        <v>510</v>
      </c>
      <c r="B166" t="s">
        <v>511</v>
      </c>
      <c r="C166" t="s">
        <v>100</v>
      </c>
      <c r="D166" t="s">
        <v>512</v>
      </c>
      <c r="E166" t="str" cm="1">
        <f t="array" ref="E166">_xll.BDH($D166,"MTG_GEN_CPR_3M","20090331","20090331","Dts=H")</f>
        <v>#N/A Invalid Field</v>
      </c>
      <c r="F166" t="str" cm="1">
        <f t="array" ref="F166">_xll.BDH($D166,"MTG_GEN_CPR_6M","20090331","20090331","Dts=H")</f>
        <v>#N/A Invalid Field</v>
      </c>
      <c r="G166" t="str" cm="1">
        <f t="array" ref="G166">_xll.BDH($D166,"MTG_GEN_CPR_12M","20090331","20090331","Dts=H")</f>
        <v>#N/A Invalid Field</v>
      </c>
      <c r="H166" t="str" cm="1">
        <f t="array" ref="H166">_xll.BDH($D166,"MTG_GEN_CPR_3M","20090610","20090610","Dts=H")</f>
        <v>#N/A Invalid Field</v>
      </c>
      <c r="I166" t="str" cm="1">
        <f t="array" ref="I166">_xll.BDH($D166,"MTG_GEN_CPR_6M","20090610","20090610","Dts=H")</f>
        <v>#N/A Invalid Field</v>
      </c>
      <c r="J166" t="str" cm="1">
        <f t="array" ref="J166">_xll.BDH($D166,"MTG_GEN_CPR_12M","20090610","20090610","Dts=H")</f>
        <v>#N/A Invalid Field</v>
      </c>
      <c r="K166" t="str" cm="1">
        <f t="array" ref="K166">_xll.BDP("31283H4W2 Mtge","MTG_PREPAY_TYP")</f>
        <v>PSA</v>
      </c>
      <c r="L166" cm="1">
        <f t="array" ref="L166">_xll.BDP(D166,"MTG_PREPAY_SPEED")</f>
        <v>171</v>
      </c>
      <c r="M166" cm="1">
        <f t="array" ref="M166">_xll.BDP(D166,"MTG_PL_PSA_1M ")</f>
        <v>466.6</v>
      </c>
      <c r="N166" cm="1">
        <f t="array" ref="N166">_xll.BDP(D166,"MTG_PL_PSA_3M ")</f>
        <v>385.2</v>
      </c>
      <c r="O166" cm="1">
        <f t="array" ref="O166">_xll.BDP(D166,"MTG_PL_PSA_6M ")</f>
        <v>320.89999999999998</v>
      </c>
    </row>
    <row r="167" spans="1:15" x14ac:dyDescent="0.25">
      <c r="A167" t="s">
        <v>513</v>
      </c>
      <c r="B167" t="s">
        <v>514</v>
      </c>
      <c r="C167" t="s">
        <v>100</v>
      </c>
      <c r="D167" t="s">
        <v>515</v>
      </c>
      <c r="E167" t="str" cm="1">
        <f t="array" ref="E167">_xll.BDH($D167,"MTG_GEN_CPR_3M","20090331","20090331","Dts=H")</f>
        <v>#N/A Invalid Field</v>
      </c>
      <c r="F167" t="str" cm="1">
        <f t="array" ref="F167">_xll.BDH($D167,"MTG_GEN_CPR_6M","20090331","20090331","Dts=H")</f>
        <v>#N/A Invalid Field</v>
      </c>
      <c r="G167" t="str" cm="1">
        <f t="array" ref="G167">_xll.BDH($D167,"MTG_GEN_CPR_12M","20090331","20090331","Dts=H")</f>
        <v>#N/A Invalid Field</v>
      </c>
      <c r="H167" t="str" cm="1">
        <f t="array" ref="H167">_xll.BDH($D167,"MTG_GEN_CPR_3M","20090610","20090610","Dts=H")</f>
        <v>#N/A Invalid Field</v>
      </c>
      <c r="I167" t="str" cm="1">
        <f t="array" ref="I167">_xll.BDH($D167,"MTG_GEN_CPR_6M","20090610","20090610","Dts=H")</f>
        <v>#N/A Invalid Field</v>
      </c>
      <c r="J167" t="str" cm="1">
        <f t="array" ref="J167">_xll.BDH($D167,"MTG_GEN_CPR_12M","20090610","20090610","Dts=H")</f>
        <v>#N/A Invalid Field</v>
      </c>
      <c r="K167" t="str" cm="1">
        <f t="array" ref="K167">_xll.BDP("31283H4W2 Mtge","MTG_PREPAY_TYP")</f>
        <v>PSA</v>
      </c>
      <c r="L167" cm="1">
        <f t="array" ref="L167">_xll.BDP(D167,"MTG_PREPAY_SPEED")</f>
        <v>161</v>
      </c>
      <c r="M167" cm="1">
        <f t="array" ref="M167">_xll.BDP(D167,"MTG_PL_PSA_1M ")</f>
        <v>28.2</v>
      </c>
      <c r="N167" cm="1">
        <f t="array" ref="N167">_xll.BDP(D167,"MTG_PL_PSA_3M ")</f>
        <v>226.2</v>
      </c>
      <c r="O167" cm="1">
        <f t="array" ref="O167">_xll.BDP(D167,"MTG_PL_PSA_6M ")</f>
        <v>250.7</v>
      </c>
    </row>
    <row r="168" spans="1:15" x14ac:dyDescent="0.25">
      <c r="A168" t="s">
        <v>516</v>
      </c>
      <c r="B168" t="s">
        <v>517</v>
      </c>
      <c r="C168" t="s">
        <v>100</v>
      </c>
      <c r="D168" t="s">
        <v>518</v>
      </c>
      <c r="E168" t="str" cm="1">
        <f t="array" ref="E168">_xll.BDH($D168,"MTG_GEN_CPR_3M","20090331","20090331","Dts=H")</f>
        <v>#N/A Invalid Field</v>
      </c>
      <c r="F168" t="str" cm="1">
        <f t="array" ref="F168">_xll.BDH($D168,"MTG_GEN_CPR_6M","20090331","20090331","Dts=H")</f>
        <v>#N/A Invalid Field</v>
      </c>
      <c r="G168" t="str" cm="1">
        <f t="array" ref="G168">_xll.BDH($D168,"MTG_GEN_CPR_12M","20090331","20090331","Dts=H")</f>
        <v>#N/A Invalid Field</v>
      </c>
      <c r="H168" t="str" cm="1">
        <f t="array" ref="H168">_xll.BDH($D168,"MTG_GEN_CPR_3M","20090610","20090610","Dts=H")</f>
        <v>#N/A Invalid Field</v>
      </c>
      <c r="I168" t="str" cm="1">
        <f t="array" ref="I168">_xll.BDH($D168,"MTG_GEN_CPR_6M","20090610","20090610","Dts=H")</f>
        <v>#N/A Invalid Field</v>
      </c>
      <c r="J168" t="str" cm="1">
        <f t="array" ref="J168">_xll.BDH($D168,"MTG_GEN_CPR_12M","20090610","20090610","Dts=H")</f>
        <v>#N/A Invalid Field</v>
      </c>
      <c r="K168" t="str" cm="1">
        <f t="array" ref="K168">_xll.BDP("31283H4W2 Mtge","MTG_PREPAY_TYP")</f>
        <v>PSA</v>
      </c>
      <c r="L168" t="str" cm="1">
        <f t="array" ref="L168">_xll.BDP(D168,"MTG_PREPAY_SPEED")</f>
        <v>#N/A N/A</v>
      </c>
      <c r="M168" cm="1">
        <f t="array" ref="M168">_xll.BDP(D168,"MTG_PL_PSA_1M ")</f>
        <v>0</v>
      </c>
      <c r="N168" cm="1">
        <f t="array" ref="N168">_xll.BDP(D168,"MTG_PL_PSA_3M ")</f>
        <v>1405.9</v>
      </c>
      <c r="O168" cm="1">
        <f t="array" ref="O168">_xll.BDP(D168,"MTG_PL_PSA_6M ")</f>
        <v>1319.2</v>
      </c>
    </row>
    <row r="169" spans="1:15" x14ac:dyDescent="0.25">
      <c r="A169" t="s">
        <v>519</v>
      </c>
      <c r="B169" t="s">
        <v>520</v>
      </c>
      <c r="C169" t="s">
        <v>100</v>
      </c>
      <c r="D169" t="s">
        <v>521</v>
      </c>
      <c r="E169" t="str" cm="1">
        <f t="array" ref="E169">_xll.BDH($D169,"MTG_GEN_CPR_3M","20090331","20090331","Dts=H")</f>
        <v>#N/A Invalid Field</v>
      </c>
      <c r="F169" t="str" cm="1">
        <f t="array" ref="F169">_xll.BDH($D169,"MTG_GEN_CPR_6M","20090331","20090331","Dts=H")</f>
        <v>#N/A Invalid Field</v>
      </c>
      <c r="G169" t="str" cm="1">
        <f t="array" ref="G169">_xll.BDH($D169,"MTG_GEN_CPR_12M","20090331","20090331","Dts=H")</f>
        <v>#N/A Invalid Field</v>
      </c>
      <c r="H169" t="str" cm="1">
        <f t="array" ref="H169">_xll.BDH($D169,"MTG_GEN_CPR_3M","20090610","20090610","Dts=H")</f>
        <v>#N/A Invalid Field</v>
      </c>
      <c r="I169" t="str" cm="1">
        <f t="array" ref="I169">_xll.BDH($D169,"MTG_GEN_CPR_6M","20090610","20090610","Dts=H")</f>
        <v>#N/A Invalid Field</v>
      </c>
      <c r="J169" t="str" cm="1">
        <f t="array" ref="J169">_xll.BDH($D169,"MTG_GEN_CPR_12M","20090610","20090610","Dts=H")</f>
        <v>#N/A Invalid Field</v>
      </c>
      <c r="K169" t="str" cm="1">
        <f t="array" ref="K169">_xll.BDP("31283H4W2 Mtge","MTG_PREPAY_TYP")</f>
        <v>PSA</v>
      </c>
      <c r="L169" t="str" cm="1">
        <f t="array" ref="L169">_xll.BDP(D169,"MTG_PREPAY_SPEED")</f>
        <v>#N/A N/A</v>
      </c>
      <c r="M169" cm="1">
        <f t="array" ref="M169">_xll.BDP(D169,"MTG_PL_PSA_1M ")</f>
        <v>0</v>
      </c>
      <c r="N169" cm="1">
        <f t="array" ref="N169">_xll.BDP(D169,"MTG_PL_PSA_3M ")</f>
        <v>1661.8</v>
      </c>
      <c r="O169" cm="1">
        <f t="array" ref="O169">_xll.BDP(D169,"MTG_PL_PSA_6M ")</f>
        <v>1610.8</v>
      </c>
    </row>
    <row r="170" spans="1:15" x14ac:dyDescent="0.25">
      <c r="A170" t="s">
        <v>522</v>
      </c>
      <c r="B170" t="s">
        <v>523</v>
      </c>
      <c r="C170" t="s">
        <v>100</v>
      </c>
      <c r="D170" t="s">
        <v>524</v>
      </c>
      <c r="E170" t="str" cm="1">
        <f t="array" ref="E170">_xll.BDH($D170,"MTG_GEN_CPR_3M","20090331","20090331","Dts=H")</f>
        <v>#N/A Invalid Field</v>
      </c>
      <c r="F170" t="str" cm="1">
        <f t="array" ref="F170">_xll.BDH($D170,"MTG_GEN_CPR_6M","20090331","20090331","Dts=H")</f>
        <v>#N/A Invalid Field</v>
      </c>
      <c r="G170" t="str" cm="1">
        <f t="array" ref="G170">_xll.BDH($D170,"MTG_GEN_CPR_12M","20090331","20090331","Dts=H")</f>
        <v>#N/A Invalid Field</v>
      </c>
      <c r="H170" t="str" cm="1">
        <f t="array" ref="H170">_xll.BDH($D170,"MTG_GEN_CPR_3M","20090610","20090610","Dts=H")</f>
        <v>#N/A Invalid Field</v>
      </c>
      <c r="I170" t="str" cm="1">
        <f t="array" ref="I170">_xll.BDH($D170,"MTG_GEN_CPR_6M","20090610","20090610","Dts=H")</f>
        <v>#N/A Invalid Field</v>
      </c>
      <c r="J170" t="str" cm="1">
        <f t="array" ref="J170">_xll.BDH($D170,"MTG_GEN_CPR_12M","20090610","20090610","Dts=H")</f>
        <v>#N/A Invalid Field</v>
      </c>
      <c r="K170" t="str" cm="1">
        <f t="array" ref="K170">_xll.BDP("31283H4W2 Mtge","MTG_PREPAY_TYP")</f>
        <v>PSA</v>
      </c>
      <c r="L170" t="str" cm="1">
        <f t="array" ref="L170">_xll.BDP(D170,"MTG_PREPAY_SPEED")</f>
        <v>#N/A N/A</v>
      </c>
      <c r="M170" cm="1">
        <f t="array" ref="M170">_xll.BDP(D170,"MTG_PL_PSA_1M ")</f>
        <v>1666.7</v>
      </c>
      <c r="N170" cm="1">
        <f t="array" ref="N170">_xll.BDP(D170,"MTG_PL_PSA_3M ")</f>
        <v>1666.7</v>
      </c>
      <c r="O170" cm="1">
        <f t="array" ref="O170">_xll.BDP(D170,"MTG_PL_PSA_6M ")</f>
        <v>1666.7</v>
      </c>
    </row>
    <row r="171" spans="1:15" x14ac:dyDescent="0.25">
      <c r="A171" t="s">
        <v>525</v>
      </c>
      <c r="B171" t="s">
        <v>526</v>
      </c>
      <c r="C171" t="s">
        <v>100</v>
      </c>
      <c r="D171" t="s">
        <v>527</v>
      </c>
      <c r="E171" t="str" cm="1">
        <f t="array" ref="E171">_xll.BDH($D171,"MTG_GEN_CPR_3M","20090331","20090331","Dts=H")</f>
        <v>#N/A Invalid Field</v>
      </c>
      <c r="F171" t="str" cm="1">
        <f t="array" ref="F171">_xll.BDH($D171,"MTG_GEN_CPR_6M","20090331","20090331","Dts=H")</f>
        <v>#N/A Invalid Field</v>
      </c>
      <c r="G171" t="str" cm="1">
        <f t="array" ref="G171">_xll.BDH($D171,"MTG_GEN_CPR_12M","20090331","20090331","Dts=H")</f>
        <v>#N/A Invalid Field</v>
      </c>
      <c r="H171" t="str" cm="1">
        <f t="array" ref="H171">_xll.BDH($D171,"MTG_GEN_CPR_3M","20090610","20090610","Dts=H")</f>
        <v>#N/A Invalid Field</v>
      </c>
      <c r="I171" t="str" cm="1">
        <f t="array" ref="I171">_xll.BDH($D171,"MTG_GEN_CPR_6M","20090610","20090610","Dts=H")</f>
        <v>#N/A Invalid Field</v>
      </c>
      <c r="J171" t="str" cm="1">
        <f t="array" ref="J171">_xll.BDH($D171,"MTG_GEN_CPR_12M","20090610","20090610","Dts=H")</f>
        <v>#N/A Invalid Field</v>
      </c>
      <c r="K171" t="str" cm="1">
        <f t="array" ref="K171">_xll.BDP("31283H4W2 Mtge","MTG_PREPAY_TYP")</f>
        <v>PSA</v>
      </c>
      <c r="L171" cm="1">
        <f t="array" ref="L171">_xll.BDP(D171,"MTG_PREPAY_SPEED")</f>
        <v>254</v>
      </c>
      <c r="M171" cm="1">
        <f t="array" ref="M171">_xll.BDP(D171,"MTG_PL_PSA_1M ")</f>
        <v>20.2</v>
      </c>
      <c r="N171" cm="1">
        <f t="array" ref="N171">_xll.BDP(D171,"MTG_PL_PSA_3M ")</f>
        <v>18.7</v>
      </c>
      <c r="O171" cm="1">
        <f t="array" ref="O171">_xll.BDP(D171,"MTG_PL_PSA_6M ")</f>
        <v>26</v>
      </c>
    </row>
    <row r="172" spans="1:15" x14ac:dyDescent="0.25">
      <c r="A172" t="s">
        <v>528</v>
      </c>
      <c r="B172" t="s">
        <v>529</v>
      </c>
      <c r="C172" t="s">
        <v>100</v>
      </c>
      <c r="D172" t="s">
        <v>530</v>
      </c>
      <c r="E172" t="str" cm="1">
        <f t="array" ref="E172">_xll.BDH($D172,"MTG_GEN_CPR_3M","20090331","20090331","Dts=H")</f>
        <v>#N/A Invalid Field</v>
      </c>
      <c r="F172" t="str" cm="1">
        <f t="array" ref="F172">_xll.BDH($D172,"MTG_GEN_CPR_6M","20090331","20090331","Dts=H")</f>
        <v>#N/A Invalid Field</v>
      </c>
      <c r="G172" t="str" cm="1">
        <f t="array" ref="G172">_xll.BDH($D172,"MTG_GEN_CPR_12M","20090331","20090331","Dts=H")</f>
        <v>#N/A Invalid Field</v>
      </c>
      <c r="H172" t="str" cm="1">
        <f t="array" ref="H172">_xll.BDH($D172,"MTG_GEN_CPR_3M","20090610","20090610","Dts=H")</f>
        <v>#N/A Invalid Field</v>
      </c>
      <c r="I172" t="str" cm="1">
        <f t="array" ref="I172">_xll.BDH($D172,"MTG_GEN_CPR_6M","20090610","20090610","Dts=H")</f>
        <v>#N/A Invalid Field</v>
      </c>
      <c r="J172" t="str" cm="1">
        <f t="array" ref="J172">_xll.BDH($D172,"MTG_GEN_CPR_12M","20090610","20090610","Dts=H")</f>
        <v>#N/A Invalid Field</v>
      </c>
      <c r="K172" t="str" cm="1">
        <f t="array" ref="K172">_xll.BDP("31283H4W2 Mtge","MTG_PREPAY_TYP")</f>
        <v>PSA</v>
      </c>
      <c r="L172" t="str" cm="1">
        <f t="array" ref="L172">_xll.BDP(D172,"MTG_PREPAY_SPEED")</f>
        <v>#N/A N/A</v>
      </c>
      <c r="M172" cm="1">
        <f t="array" ref="M172">_xll.BDP(D172,"MTG_PL_PSA_1M ")</f>
        <v>0</v>
      </c>
      <c r="N172" cm="1">
        <f t="array" ref="N172">_xll.BDP(D172,"MTG_PL_PSA_3M ")</f>
        <v>1595.7</v>
      </c>
      <c r="O172" cm="1">
        <f t="array" ref="O172">_xll.BDP(D172,"MTG_PL_PSA_6M ")</f>
        <v>1427.7</v>
      </c>
    </row>
    <row r="173" spans="1:15" x14ac:dyDescent="0.25">
      <c r="A173" t="s">
        <v>531</v>
      </c>
      <c r="B173" t="s">
        <v>532</v>
      </c>
      <c r="C173" t="s">
        <v>100</v>
      </c>
      <c r="D173" t="s">
        <v>533</v>
      </c>
      <c r="E173" t="str" cm="1">
        <f t="array" ref="E173">_xll.BDH($D173,"MTG_GEN_CPR_3M","20090331","20090331","Dts=H")</f>
        <v>#N/A Invalid Field</v>
      </c>
      <c r="F173" t="str" cm="1">
        <f t="array" ref="F173">_xll.BDH($D173,"MTG_GEN_CPR_6M","20090331","20090331","Dts=H")</f>
        <v>#N/A Invalid Field</v>
      </c>
      <c r="G173" t="str" cm="1">
        <f t="array" ref="G173">_xll.BDH($D173,"MTG_GEN_CPR_12M","20090331","20090331","Dts=H")</f>
        <v>#N/A Invalid Field</v>
      </c>
      <c r="H173" t="str" cm="1">
        <f t="array" ref="H173">_xll.BDH($D173,"MTG_GEN_CPR_3M","20090610","20090610","Dts=H")</f>
        <v>#N/A Invalid Field</v>
      </c>
      <c r="I173" t="str" cm="1">
        <f t="array" ref="I173">_xll.BDH($D173,"MTG_GEN_CPR_6M","20090610","20090610","Dts=H")</f>
        <v>#N/A Invalid Field</v>
      </c>
      <c r="J173" t="str" cm="1">
        <f t="array" ref="J173">_xll.BDH($D173,"MTG_GEN_CPR_12M","20090610","20090610","Dts=H")</f>
        <v>#N/A Invalid Field</v>
      </c>
      <c r="K173" t="str" cm="1">
        <f t="array" ref="K173">_xll.BDP("31283H4W2 Mtge","MTG_PREPAY_TYP")</f>
        <v>PSA</v>
      </c>
      <c r="L173" cm="1">
        <f t="array" ref="L173">_xll.BDP(D173,"MTG_PREPAY_SPEED")</f>
        <v>161</v>
      </c>
      <c r="M173" cm="1">
        <f t="array" ref="M173">_xll.BDP(D173,"MTG_PL_PSA_1M ")</f>
        <v>234.7</v>
      </c>
      <c r="N173" cm="1">
        <f t="array" ref="N173">_xll.BDP(D173,"MTG_PL_PSA_3M ")</f>
        <v>198.2</v>
      </c>
      <c r="O173" cm="1">
        <f t="array" ref="O173">_xll.BDP(D173,"MTG_PL_PSA_6M ")</f>
        <v>227</v>
      </c>
    </row>
    <row r="174" spans="1:15" x14ac:dyDescent="0.25">
      <c r="A174" t="s">
        <v>534</v>
      </c>
      <c r="B174" t="s">
        <v>535</v>
      </c>
      <c r="C174" t="s">
        <v>100</v>
      </c>
      <c r="D174" t="s">
        <v>536</v>
      </c>
      <c r="E174" t="str" cm="1">
        <f t="array" ref="E174">_xll.BDH($D174,"MTG_GEN_CPR_3M","20090331","20090331","Dts=H")</f>
        <v>#N/A Invalid Field</v>
      </c>
      <c r="F174" t="str" cm="1">
        <f t="array" ref="F174">_xll.BDH($D174,"MTG_GEN_CPR_6M","20090331","20090331","Dts=H")</f>
        <v>#N/A Invalid Field</v>
      </c>
      <c r="G174" t="str" cm="1">
        <f t="array" ref="G174">_xll.BDH($D174,"MTG_GEN_CPR_12M","20090331","20090331","Dts=H")</f>
        <v>#N/A Invalid Field</v>
      </c>
      <c r="H174" t="str" cm="1">
        <f t="array" ref="H174">_xll.BDH($D174,"MTG_GEN_CPR_3M","20090610","20090610","Dts=H")</f>
        <v>#N/A Invalid Field</v>
      </c>
      <c r="I174" t="str" cm="1">
        <f t="array" ref="I174">_xll.BDH($D174,"MTG_GEN_CPR_6M","20090610","20090610","Dts=H")</f>
        <v>#N/A Invalid Field</v>
      </c>
      <c r="J174" t="str" cm="1">
        <f t="array" ref="J174">_xll.BDH($D174,"MTG_GEN_CPR_12M","20090610","20090610","Dts=H")</f>
        <v>#N/A Invalid Field</v>
      </c>
      <c r="K174" t="str" cm="1">
        <f t="array" ref="K174">_xll.BDP("31283H4W2 Mtge","MTG_PREPAY_TYP")</f>
        <v>PSA</v>
      </c>
      <c r="L174" t="str" cm="1">
        <f t="array" ref="L174">_xll.BDP(D174,"MTG_PREPAY_SPEED")</f>
        <v>#N/A N/A</v>
      </c>
      <c r="M174" cm="1">
        <f t="array" ref="M174">_xll.BDP(D174,"MTG_PL_PSA_1M ")</f>
        <v>1666.7</v>
      </c>
      <c r="N174" cm="1">
        <f t="array" ref="N174">_xll.BDP(D174,"MTG_PL_PSA_3M ")</f>
        <v>1666.7</v>
      </c>
      <c r="O174" cm="1">
        <f t="array" ref="O174">_xll.BDP(D174,"MTG_PL_PSA_6M ")</f>
        <v>1666.7</v>
      </c>
    </row>
    <row r="175" spans="1:15" x14ac:dyDescent="0.25">
      <c r="A175" t="s">
        <v>537</v>
      </c>
      <c r="B175" t="s">
        <v>538</v>
      </c>
      <c r="C175" t="s">
        <v>100</v>
      </c>
      <c r="D175" t="s">
        <v>539</v>
      </c>
      <c r="E175" t="str" cm="1">
        <f t="array" ref="E175">_xll.BDH($D175,"MTG_GEN_CPR_3M","20090331","20090331","Dts=H")</f>
        <v>#N/A Invalid Field</v>
      </c>
      <c r="F175" t="str" cm="1">
        <f t="array" ref="F175">_xll.BDH($D175,"MTG_GEN_CPR_6M","20090331","20090331","Dts=H")</f>
        <v>#N/A Invalid Field</v>
      </c>
      <c r="G175" t="str" cm="1">
        <f t="array" ref="G175">_xll.BDH($D175,"MTG_GEN_CPR_12M","20090331","20090331","Dts=H")</f>
        <v>#N/A Invalid Field</v>
      </c>
      <c r="H175" t="str" cm="1">
        <f t="array" ref="H175">_xll.BDH($D175,"MTG_GEN_CPR_3M","20090610","20090610","Dts=H")</f>
        <v>#N/A Invalid Field</v>
      </c>
      <c r="I175" t="str" cm="1">
        <f t="array" ref="I175">_xll.BDH($D175,"MTG_GEN_CPR_6M","20090610","20090610","Dts=H")</f>
        <v>#N/A Invalid Field</v>
      </c>
      <c r="J175" t="str" cm="1">
        <f t="array" ref="J175">_xll.BDH($D175,"MTG_GEN_CPR_12M","20090610","20090610","Dts=H")</f>
        <v>#N/A Invalid Field</v>
      </c>
      <c r="K175" t="str" cm="1">
        <f t="array" ref="K175">_xll.BDP("31283H4W2 Mtge","MTG_PREPAY_TYP")</f>
        <v>PSA</v>
      </c>
      <c r="L175" t="str" cm="1">
        <f t="array" ref="L175">_xll.BDP(D175,"MTG_PREPAY_SPEED")</f>
        <v>#N/A N/A</v>
      </c>
      <c r="M175" cm="1">
        <f t="array" ref="M175">_xll.BDP(D175,"MTG_PL_PSA_1M ")</f>
        <v>0</v>
      </c>
      <c r="N175" cm="1">
        <f t="array" ref="N175">_xll.BDP(D175,"MTG_PL_PSA_3M ")</f>
        <v>1109.8</v>
      </c>
      <c r="O175" cm="1">
        <f t="array" ref="O175">_xll.BDP(D175,"MTG_PL_PSA_6M ")</f>
        <v>1105.5999999999999</v>
      </c>
    </row>
    <row r="176" spans="1:15" x14ac:dyDescent="0.25">
      <c r="A176" t="s">
        <v>540</v>
      </c>
      <c r="B176" t="s">
        <v>541</v>
      </c>
      <c r="C176" t="s">
        <v>100</v>
      </c>
      <c r="D176" t="s">
        <v>542</v>
      </c>
      <c r="E176" t="str" cm="1">
        <f t="array" ref="E176">_xll.BDH($D176,"MTG_GEN_CPR_3M","20090331","20090331","Dts=H")</f>
        <v>#N/A Invalid Field</v>
      </c>
      <c r="F176" t="str" cm="1">
        <f t="array" ref="F176">_xll.BDH($D176,"MTG_GEN_CPR_6M","20090331","20090331","Dts=H")</f>
        <v>#N/A Invalid Field</v>
      </c>
      <c r="G176" t="str" cm="1">
        <f t="array" ref="G176">_xll.BDH($D176,"MTG_GEN_CPR_12M","20090331","20090331","Dts=H")</f>
        <v>#N/A Invalid Field</v>
      </c>
      <c r="H176" t="str" cm="1">
        <f t="array" ref="H176">_xll.BDH($D176,"MTG_GEN_CPR_3M","20090610","20090610","Dts=H")</f>
        <v>#N/A Invalid Field</v>
      </c>
      <c r="I176" t="str" cm="1">
        <f t="array" ref="I176">_xll.BDH($D176,"MTG_GEN_CPR_6M","20090610","20090610","Dts=H")</f>
        <v>#N/A Invalid Field</v>
      </c>
      <c r="J176" t="str" cm="1">
        <f t="array" ref="J176">_xll.BDH($D176,"MTG_GEN_CPR_12M","20090610","20090610","Dts=H")</f>
        <v>#N/A Invalid Field</v>
      </c>
      <c r="K176" t="str" cm="1">
        <f t="array" ref="K176">_xll.BDP("31283H4W2 Mtge","MTG_PREPAY_TYP")</f>
        <v>PSA</v>
      </c>
      <c r="L176" cm="1">
        <f t="array" ref="L176">_xll.BDP(D176,"MTG_PREPAY_SPEED")</f>
        <v>161</v>
      </c>
      <c r="M176" cm="1">
        <f t="array" ref="M176">_xll.BDP(D176,"MTG_PL_PSA_1M ")</f>
        <v>40.9</v>
      </c>
      <c r="N176" cm="1">
        <f t="array" ref="N176">_xll.BDP(D176,"MTG_PL_PSA_3M ")</f>
        <v>198.5</v>
      </c>
      <c r="O176" cm="1">
        <f t="array" ref="O176">_xll.BDP(D176,"MTG_PL_PSA_6M ")</f>
        <v>162</v>
      </c>
    </row>
    <row r="177" spans="1:15" x14ac:dyDescent="0.25">
      <c r="A177" t="s">
        <v>543</v>
      </c>
      <c r="B177" t="s">
        <v>544</v>
      </c>
      <c r="C177" t="s">
        <v>100</v>
      </c>
      <c r="D177" t="s">
        <v>545</v>
      </c>
      <c r="E177" t="str" cm="1">
        <f t="array" ref="E177">_xll.BDH($D177,"MTG_GEN_CPR_3M","20090331","20090331","Dts=H")</f>
        <v>#N/A Invalid Field</v>
      </c>
      <c r="F177" t="str" cm="1">
        <f t="array" ref="F177">_xll.BDH($D177,"MTG_GEN_CPR_6M","20090331","20090331","Dts=H")</f>
        <v>#N/A Invalid Field</v>
      </c>
      <c r="G177" t="str" cm="1">
        <f t="array" ref="G177">_xll.BDH($D177,"MTG_GEN_CPR_12M","20090331","20090331","Dts=H")</f>
        <v>#N/A Invalid Field</v>
      </c>
      <c r="H177" t="str" cm="1">
        <f t="array" ref="H177">_xll.BDH($D177,"MTG_GEN_CPR_3M","20090610","20090610","Dts=H")</f>
        <v>#N/A Invalid Field</v>
      </c>
      <c r="I177" t="str" cm="1">
        <f t="array" ref="I177">_xll.BDH($D177,"MTG_GEN_CPR_6M","20090610","20090610","Dts=H")</f>
        <v>#N/A Invalid Field</v>
      </c>
      <c r="J177" t="str" cm="1">
        <f t="array" ref="J177">_xll.BDH($D177,"MTG_GEN_CPR_12M","20090610","20090610","Dts=H")</f>
        <v>#N/A Invalid Field</v>
      </c>
      <c r="K177" t="str" cm="1">
        <f t="array" ref="K177">_xll.BDP("31283H4W2 Mtge","MTG_PREPAY_TYP")</f>
        <v>PSA</v>
      </c>
      <c r="L177" t="str" cm="1">
        <f t="array" ref="L177">_xll.BDP(D177,"MTG_PREPAY_SPEED")</f>
        <v>#N/A N/A</v>
      </c>
      <c r="M177" cm="1">
        <f t="array" ref="M177">_xll.BDP(D177,"MTG_PL_PSA_1M ")</f>
        <v>1666.7</v>
      </c>
      <c r="N177" cm="1">
        <f t="array" ref="N177">_xll.BDP(D177,"MTG_PL_PSA_3M ")</f>
        <v>1666.7</v>
      </c>
      <c r="O177" cm="1">
        <f t="array" ref="O177">_xll.BDP(D177,"MTG_PL_PSA_6M ")</f>
        <v>1666.7</v>
      </c>
    </row>
    <row r="178" spans="1:15" x14ac:dyDescent="0.25">
      <c r="A178" t="s">
        <v>546</v>
      </c>
      <c r="B178" t="s">
        <v>547</v>
      </c>
      <c r="C178" t="s">
        <v>100</v>
      </c>
      <c r="D178" t="s">
        <v>548</v>
      </c>
      <c r="E178" t="str" cm="1">
        <f t="array" ref="E178">_xll.BDH($D178,"MTG_GEN_CPR_3M","20090331","20090331","Dts=H")</f>
        <v>#N/A Invalid Field</v>
      </c>
      <c r="F178" t="str" cm="1">
        <f t="array" ref="F178">_xll.BDH($D178,"MTG_GEN_CPR_6M","20090331","20090331","Dts=H")</f>
        <v>#N/A Invalid Field</v>
      </c>
      <c r="G178" t="str" cm="1">
        <f t="array" ref="G178">_xll.BDH($D178,"MTG_GEN_CPR_12M","20090331","20090331","Dts=H")</f>
        <v>#N/A Invalid Field</v>
      </c>
      <c r="H178" t="str" cm="1">
        <f t="array" ref="H178">_xll.BDH($D178,"MTG_GEN_CPR_3M","20090610","20090610","Dts=H")</f>
        <v>#N/A Invalid Field</v>
      </c>
      <c r="I178" t="str" cm="1">
        <f t="array" ref="I178">_xll.BDH($D178,"MTG_GEN_CPR_6M","20090610","20090610","Dts=H")</f>
        <v>#N/A Invalid Field</v>
      </c>
      <c r="J178" t="str" cm="1">
        <f t="array" ref="J178">_xll.BDH($D178,"MTG_GEN_CPR_12M","20090610","20090610","Dts=H")</f>
        <v>#N/A Invalid Field</v>
      </c>
      <c r="K178" t="str" cm="1">
        <f t="array" ref="K178">_xll.BDP("31283H4W2 Mtge","MTG_PREPAY_TYP")</f>
        <v>PSA</v>
      </c>
      <c r="L178" cm="1">
        <f t="array" ref="L178">_xll.BDP(D178,"MTG_PREPAY_SPEED")</f>
        <v>182</v>
      </c>
      <c r="M178" cm="1">
        <f t="array" ref="M178">_xll.BDP(D178,"MTG_PL_PSA_1M ")</f>
        <v>5.9</v>
      </c>
      <c r="N178" cm="1">
        <f t="array" ref="N178">_xll.BDP(D178,"MTG_PL_PSA_3M ")</f>
        <v>5.7</v>
      </c>
      <c r="O178" cm="1">
        <f t="array" ref="O178">_xll.BDP(D178,"MTG_PL_PSA_6M ")</f>
        <v>5.7</v>
      </c>
    </row>
    <row r="179" spans="1:15" x14ac:dyDescent="0.25">
      <c r="A179" t="s">
        <v>549</v>
      </c>
      <c r="B179" t="s">
        <v>550</v>
      </c>
      <c r="C179" t="s">
        <v>100</v>
      </c>
      <c r="D179" t="s">
        <v>551</v>
      </c>
      <c r="E179" t="str" cm="1">
        <f t="array" ref="E179">_xll.BDH($D179,"MTG_GEN_CPR_3M","20090331","20090331","Dts=H")</f>
        <v>#N/A Invalid Field</v>
      </c>
      <c r="F179" t="str" cm="1">
        <f t="array" ref="F179">_xll.BDH($D179,"MTG_GEN_CPR_6M","20090331","20090331","Dts=H")</f>
        <v>#N/A Invalid Field</v>
      </c>
      <c r="G179" t="str" cm="1">
        <f t="array" ref="G179">_xll.BDH($D179,"MTG_GEN_CPR_12M","20090331","20090331","Dts=H")</f>
        <v>#N/A Invalid Field</v>
      </c>
      <c r="H179" t="str" cm="1">
        <f t="array" ref="H179">_xll.BDH($D179,"MTG_GEN_CPR_3M","20090610","20090610","Dts=H")</f>
        <v>#N/A Invalid Field</v>
      </c>
      <c r="I179" t="str" cm="1">
        <f t="array" ref="I179">_xll.BDH($D179,"MTG_GEN_CPR_6M","20090610","20090610","Dts=H")</f>
        <v>#N/A Invalid Field</v>
      </c>
      <c r="J179" t="str" cm="1">
        <f t="array" ref="J179">_xll.BDH($D179,"MTG_GEN_CPR_12M","20090610","20090610","Dts=H")</f>
        <v>#N/A Invalid Field</v>
      </c>
      <c r="K179" t="str" cm="1">
        <f t="array" ref="K179">_xll.BDP("31283H4W2 Mtge","MTG_PREPAY_TYP")</f>
        <v>PSA</v>
      </c>
      <c r="L179" cm="1">
        <f t="array" ref="L179">_xll.BDP(D179,"MTG_PREPAY_SPEED")</f>
        <v>169</v>
      </c>
      <c r="M179" cm="1">
        <f t="array" ref="M179">_xll.BDP(D179,"MTG_PL_PSA_1M ")</f>
        <v>23.6</v>
      </c>
      <c r="N179" cm="1">
        <f t="array" ref="N179">_xll.BDP(D179,"MTG_PL_PSA_3M ")</f>
        <v>247.6</v>
      </c>
      <c r="O179" cm="1">
        <f t="array" ref="O179">_xll.BDP(D179,"MTG_PL_PSA_6M ")</f>
        <v>134.80000000000001</v>
      </c>
    </row>
    <row r="180" spans="1:15" x14ac:dyDescent="0.25">
      <c r="A180" t="s">
        <v>552</v>
      </c>
      <c r="B180" t="s">
        <v>553</v>
      </c>
      <c r="C180" t="s">
        <v>100</v>
      </c>
      <c r="D180" t="s">
        <v>554</v>
      </c>
      <c r="E180" t="str" cm="1">
        <f t="array" ref="E180">_xll.BDH($D180,"MTG_GEN_CPR_3M","20090331","20090331","Dts=H")</f>
        <v>#N/A Invalid Field</v>
      </c>
      <c r="F180" t="str" cm="1">
        <f t="array" ref="F180">_xll.BDH($D180,"MTG_GEN_CPR_6M","20090331","20090331","Dts=H")</f>
        <v>#N/A Invalid Field</v>
      </c>
      <c r="G180" t="str" cm="1">
        <f t="array" ref="G180">_xll.BDH($D180,"MTG_GEN_CPR_12M","20090331","20090331","Dts=H")</f>
        <v>#N/A Invalid Field</v>
      </c>
      <c r="H180" t="str" cm="1">
        <f t="array" ref="H180">_xll.BDH($D180,"MTG_GEN_CPR_3M","20090610","20090610","Dts=H")</f>
        <v>#N/A Invalid Field</v>
      </c>
      <c r="I180" t="str" cm="1">
        <f t="array" ref="I180">_xll.BDH($D180,"MTG_GEN_CPR_6M","20090610","20090610","Dts=H")</f>
        <v>#N/A Invalid Field</v>
      </c>
      <c r="J180" t="str" cm="1">
        <f t="array" ref="J180">_xll.BDH($D180,"MTG_GEN_CPR_12M","20090610","20090610","Dts=H")</f>
        <v>#N/A Invalid Field</v>
      </c>
      <c r="K180" t="str" cm="1">
        <f t="array" ref="K180">_xll.BDP("31283H4W2 Mtge","MTG_PREPAY_TYP")</f>
        <v>PSA</v>
      </c>
      <c r="L180" cm="1">
        <f t="array" ref="L180">_xll.BDP(D180,"MTG_PREPAY_SPEED")</f>
        <v>171</v>
      </c>
      <c r="M180" cm="1">
        <f t="array" ref="M180">_xll.BDP(D180,"MTG_PL_PSA_1M ")</f>
        <v>5.8</v>
      </c>
      <c r="N180" cm="1">
        <f t="array" ref="N180">_xll.BDP(D180,"MTG_PL_PSA_3M ")</f>
        <v>82.8</v>
      </c>
      <c r="O180" cm="1">
        <f t="array" ref="O180">_xll.BDP(D180,"MTG_PL_PSA_6M ")</f>
        <v>92.2</v>
      </c>
    </row>
    <row r="181" spans="1:15" x14ac:dyDescent="0.25">
      <c r="A181" t="s">
        <v>555</v>
      </c>
      <c r="B181" t="s">
        <v>556</v>
      </c>
      <c r="C181" t="s">
        <v>100</v>
      </c>
      <c r="D181" t="s">
        <v>557</v>
      </c>
      <c r="E181" t="str" cm="1">
        <f t="array" ref="E181">_xll.BDH($D181,"MTG_GEN_CPR_3M","20090331","20090331","Dts=H")</f>
        <v>#N/A Invalid Field</v>
      </c>
      <c r="F181" t="str" cm="1">
        <f t="array" ref="F181">_xll.BDH($D181,"MTG_GEN_CPR_6M","20090331","20090331","Dts=H")</f>
        <v>#N/A Invalid Field</v>
      </c>
      <c r="G181" t="str" cm="1">
        <f t="array" ref="G181">_xll.BDH($D181,"MTG_GEN_CPR_12M","20090331","20090331","Dts=H")</f>
        <v>#N/A Invalid Field</v>
      </c>
      <c r="H181" t="str" cm="1">
        <f t="array" ref="H181">_xll.BDH($D181,"MTG_GEN_CPR_3M","20090610","20090610","Dts=H")</f>
        <v>#N/A Invalid Field</v>
      </c>
      <c r="I181" t="str" cm="1">
        <f t="array" ref="I181">_xll.BDH($D181,"MTG_GEN_CPR_6M","20090610","20090610","Dts=H")</f>
        <v>#N/A Invalid Field</v>
      </c>
      <c r="J181" t="str" cm="1">
        <f t="array" ref="J181">_xll.BDH($D181,"MTG_GEN_CPR_12M","20090610","20090610","Dts=H")</f>
        <v>#N/A Invalid Field</v>
      </c>
      <c r="K181" t="str" cm="1">
        <f t="array" ref="K181">_xll.BDP("31283H4W2 Mtge","MTG_PREPAY_TYP")</f>
        <v>PSA</v>
      </c>
      <c r="L181" cm="1">
        <f t="array" ref="L181">_xll.BDP(D181,"MTG_PREPAY_SPEED")</f>
        <v>175</v>
      </c>
      <c r="M181" cm="1">
        <f t="array" ref="M181">_xll.BDP(D181,"MTG_PL_PSA_1M ")</f>
        <v>2.2000000000000002</v>
      </c>
      <c r="N181" cm="1">
        <f t="array" ref="N181">_xll.BDP(D181,"MTG_PL_PSA_3M ")</f>
        <v>3.1</v>
      </c>
      <c r="O181" cm="1">
        <f t="array" ref="O181">_xll.BDP(D181,"MTG_PL_PSA_6M ")</f>
        <v>2.4</v>
      </c>
    </row>
    <row r="182" spans="1:15" x14ac:dyDescent="0.25">
      <c r="A182" t="s">
        <v>558</v>
      </c>
      <c r="B182" t="s">
        <v>559</v>
      </c>
      <c r="C182" t="s">
        <v>100</v>
      </c>
      <c r="D182" t="s">
        <v>560</v>
      </c>
      <c r="E182" t="str" cm="1">
        <f t="array" ref="E182">_xll.BDH($D182,"MTG_GEN_CPR_3M","20090331","20090331","Dts=H")</f>
        <v>#N/A Invalid Field</v>
      </c>
      <c r="F182" t="str" cm="1">
        <f t="array" ref="F182">_xll.BDH($D182,"MTG_GEN_CPR_6M","20090331","20090331","Dts=H")</f>
        <v>#N/A Invalid Field</v>
      </c>
      <c r="G182" t="str" cm="1">
        <f t="array" ref="G182">_xll.BDH($D182,"MTG_GEN_CPR_12M","20090331","20090331","Dts=H")</f>
        <v>#N/A Invalid Field</v>
      </c>
      <c r="H182" t="str" cm="1">
        <f t="array" ref="H182">_xll.BDH($D182,"MTG_GEN_CPR_3M","20090610","20090610","Dts=H")</f>
        <v>#N/A Invalid Field</v>
      </c>
      <c r="I182" t="str" cm="1">
        <f t="array" ref="I182">_xll.BDH($D182,"MTG_GEN_CPR_6M","20090610","20090610","Dts=H")</f>
        <v>#N/A Invalid Field</v>
      </c>
      <c r="J182" t="str" cm="1">
        <f t="array" ref="J182">_xll.BDH($D182,"MTG_GEN_CPR_12M","20090610","20090610","Dts=H")</f>
        <v>#N/A Invalid Field</v>
      </c>
      <c r="K182" t="str" cm="1">
        <f t="array" ref="K182">_xll.BDP("31283H4W2 Mtge","MTG_PREPAY_TYP")</f>
        <v>PSA</v>
      </c>
      <c r="L182" t="str" cm="1">
        <f t="array" ref="L182">_xll.BDP(D182,"MTG_PREPAY_SPEED")</f>
        <v>#N/A N/A</v>
      </c>
      <c r="M182" cm="1">
        <f t="array" ref="M182">_xll.BDP(D182,"MTG_PL_PSA_1M ")</f>
        <v>0</v>
      </c>
      <c r="N182" cm="1">
        <f t="array" ref="N182">_xll.BDP(D182,"MTG_PL_PSA_3M ")</f>
        <v>1662.5</v>
      </c>
      <c r="O182" cm="1">
        <f t="array" ref="O182">_xll.BDP(D182,"MTG_PL_PSA_6M ")</f>
        <v>1615</v>
      </c>
    </row>
    <row r="183" spans="1:15" x14ac:dyDescent="0.25">
      <c r="A183" t="s">
        <v>561</v>
      </c>
      <c r="B183" t="s">
        <v>562</v>
      </c>
      <c r="C183" t="s">
        <v>100</v>
      </c>
      <c r="D183" t="s">
        <v>563</v>
      </c>
      <c r="E183" t="str" cm="1">
        <f t="array" ref="E183">_xll.BDH($D183,"MTG_GEN_CPR_3M","20090331","20090331","Dts=H")</f>
        <v>#N/A Invalid Field</v>
      </c>
      <c r="F183" t="str" cm="1">
        <f t="array" ref="F183">_xll.BDH($D183,"MTG_GEN_CPR_6M","20090331","20090331","Dts=H")</f>
        <v>#N/A Invalid Field</v>
      </c>
      <c r="G183" t="str" cm="1">
        <f t="array" ref="G183">_xll.BDH($D183,"MTG_GEN_CPR_12M","20090331","20090331","Dts=H")</f>
        <v>#N/A Invalid Field</v>
      </c>
      <c r="H183" t="str" cm="1">
        <f t="array" ref="H183">_xll.BDH($D183,"MTG_GEN_CPR_3M","20090610","20090610","Dts=H")</f>
        <v>#N/A Invalid Field</v>
      </c>
      <c r="I183" t="str" cm="1">
        <f t="array" ref="I183">_xll.BDH($D183,"MTG_GEN_CPR_6M","20090610","20090610","Dts=H")</f>
        <v>#N/A Invalid Field</v>
      </c>
      <c r="J183" t="str" cm="1">
        <f t="array" ref="J183">_xll.BDH($D183,"MTG_GEN_CPR_12M","20090610","20090610","Dts=H")</f>
        <v>#N/A Invalid Field</v>
      </c>
      <c r="K183" t="str" cm="1">
        <f t="array" ref="K183">_xll.BDP("31283H4W2 Mtge","MTG_PREPAY_TYP")</f>
        <v>PSA</v>
      </c>
      <c r="L183" cm="1">
        <f t="array" ref="L183">_xll.BDP(D183,"MTG_PREPAY_SPEED")</f>
        <v>171</v>
      </c>
      <c r="M183" cm="1">
        <f t="array" ref="M183">_xll.BDP(D183,"MTG_PL_PSA_1M ")</f>
        <v>860.5</v>
      </c>
      <c r="N183" cm="1">
        <f t="array" ref="N183">_xll.BDP(D183,"MTG_PL_PSA_3M ")</f>
        <v>881.7</v>
      </c>
      <c r="O183" cm="1">
        <f t="array" ref="O183">_xll.BDP(D183,"MTG_PL_PSA_6M ")</f>
        <v>751</v>
      </c>
    </row>
    <row r="184" spans="1:15" x14ac:dyDescent="0.25">
      <c r="A184" t="s">
        <v>564</v>
      </c>
      <c r="B184" t="s">
        <v>565</v>
      </c>
      <c r="C184" t="s">
        <v>100</v>
      </c>
      <c r="D184" t="s">
        <v>566</v>
      </c>
      <c r="E184" t="str" cm="1">
        <f t="array" ref="E184">_xll.BDH($D184,"MTG_GEN_CPR_3M","20090331","20090331","Dts=H")</f>
        <v>#N/A Invalid Field</v>
      </c>
      <c r="F184" t="str" cm="1">
        <f t="array" ref="F184">_xll.BDH($D184,"MTG_GEN_CPR_6M","20090331","20090331","Dts=H")</f>
        <v>#N/A Invalid Field</v>
      </c>
      <c r="G184" t="str" cm="1">
        <f t="array" ref="G184">_xll.BDH($D184,"MTG_GEN_CPR_12M","20090331","20090331","Dts=H")</f>
        <v>#N/A Invalid Field</v>
      </c>
      <c r="H184" t="str" cm="1">
        <f t="array" ref="H184">_xll.BDH($D184,"MTG_GEN_CPR_3M","20090610","20090610","Dts=H")</f>
        <v>#N/A Invalid Field</v>
      </c>
      <c r="I184" t="str" cm="1">
        <f t="array" ref="I184">_xll.BDH($D184,"MTG_GEN_CPR_6M","20090610","20090610","Dts=H")</f>
        <v>#N/A Invalid Field</v>
      </c>
      <c r="J184" t="str" cm="1">
        <f t="array" ref="J184">_xll.BDH($D184,"MTG_GEN_CPR_12M","20090610","20090610","Dts=H")</f>
        <v>#N/A Invalid Field</v>
      </c>
      <c r="K184" t="str" cm="1">
        <f t="array" ref="K184">_xll.BDP("31283H4W2 Mtge","MTG_PREPAY_TYP")</f>
        <v>PSA</v>
      </c>
      <c r="L184" cm="1">
        <f t="array" ref="L184">_xll.BDP(D184,"MTG_PREPAY_SPEED")</f>
        <v>171</v>
      </c>
      <c r="M184" cm="1">
        <f t="array" ref="M184">_xll.BDP(D184,"MTG_PL_PSA_1M ")</f>
        <v>563.29999999999995</v>
      </c>
      <c r="N184" cm="1">
        <f t="array" ref="N184">_xll.BDP(D184,"MTG_PL_PSA_3M ")</f>
        <v>1377.2</v>
      </c>
      <c r="O184" cm="1">
        <f t="array" ref="O184">_xll.BDP(D184,"MTG_PL_PSA_6M ")</f>
        <v>1095.9000000000001</v>
      </c>
    </row>
    <row r="185" spans="1:15" x14ac:dyDescent="0.25">
      <c r="A185" t="s">
        <v>567</v>
      </c>
      <c r="B185" t="s">
        <v>568</v>
      </c>
      <c r="C185" t="s">
        <v>100</v>
      </c>
      <c r="D185" t="s">
        <v>569</v>
      </c>
      <c r="E185" t="str" cm="1">
        <f t="array" ref="E185">_xll.BDH($D185,"MTG_GEN_CPR_3M","20090331","20090331","Dts=H")</f>
        <v>#N/A Invalid Field</v>
      </c>
      <c r="F185" t="str" cm="1">
        <f t="array" ref="F185">_xll.BDH($D185,"MTG_GEN_CPR_6M","20090331","20090331","Dts=H")</f>
        <v>#N/A Invalid Field</v>
      </c>
      <c r="G185" t="str" cm="1">
        <f t="array" ref="G185">_xll.BDH($D185,"MTG_GEN_CPR_12M","20090331","20090331","Dts=H")</f>
        <v>#N/A Invalid Field</v>
      </c>
      <c r="H185" t="str" cm="1">
        <f t="array" ref="H185">_xll.BDH($D185,"MTG_GEN_CPR_3M","20090610","20090610","Dts=H")</f>
        <v>#N/A Invalid Field</v>
      </c>
      <c r="I185" t="str" cm="1">
        <f t="array" ref="I185">_xll.BDH($D185,"MTG_GEN_CPR_6M","20090610","20090610","Dts=H")</f>
        <v>#N/A Invalid Field</v>
      </c>
      <c r="J185" t="str" cm="1">
        <f t="array" ref="J185">_xll.BDH($D185,"MTG_GEN_CPR_12M","20090610","20090610","Dts=H")</f>
        <v>#N/A Invalid Field</v>
      </c>
      <c r="K185" t="str" cm="1">
        <f t="array" ref="K185">_xll.BDP("31283H4W2 Mtge","MTG_PREPAY_TYP")</f>
        <v>PSA</v>
      </c>
      <c r="L185" cm="1">
        <f t="array" ref="L185">_xll.BDP(D185,"MTG_PREPAY_SPEED")</f>
        <v>171</v>
      </c>
      <c r="M185" cm="1">
        <f t="array" ref="M185">_xll.BDP(D185,"MTG_PL_PSA_1M ")</f>
        <v>2.6</v>
      </c>
      <c r="N185" cm="1">
        <f t="array" ref="N185">_xll.BDP(D185,"MTG_PL_PSA_3M ")</f>
        <v>2.7</v>
      </c>
      <c r="O185" cm="1">
        <f t="array" ref="O185">_xll.BDP(D185,"MTG_PL_PSA_6M ")</f>
        <v>2.6</v>
      </c>
    </row>
    <row r="186" spans="1:15" x14ac:dyDescent="0.25">
      <c r="A186" t="s">
        <v>570</v>
      </c>
      <c r="B186" t="s">
        <v>571</v>
      </c>
      <c r="C186" t="s">
        <v>100</v>
      </c>
      <c r="D186" t="s">
        <v>572</v>
      </c>
      <c r="E186" t="str" cm="1">
        <f t="array" ref="E186">_xll.BDH($D186,"MTG_GEN_CPR_3M","20090331","20090331","Dts=H")</f>
        <v>#N/A Invalid Field</v>
      </c>
      <c r="F186" t="str" cm="1">
        <f t="array" ref="F186">_xll.BDH($D186,"MTG_GEN_CPR_6M","20090331","20090331","Dts=H")</f>
        <v>#N/A Invalid Field</v>
      </c>
      <c r="G186" t="str" cm="1">
        <f t="array" ref="G186">_xll.BDH($D186,"MTG_GEN_CPR_12M","20090331","20090331","Dts=H")</f>
        <v>#N/A Invalid Field</v>
      </c>
      <c r="H186" t="str" cm="1">
        <f t="array" ref="H186">_xll.BDH($D186,"MTG_GEN_CPR_3M","20090610","20090610","Dts=H")</f>
        <v>#N/A Invalid Field</v>
      </c>
      <c r="I186" t="str" cm="1">
        <f t="array" ref="I186">_xll.BDH($D186,"MTG_GEN_CPR_6M","20090610","20090610","Dts=H")</f>
        <v>#N/A Invalid Field</v>
      </c>
      <c r="J186" t="str" cm="1">
        <f t="array" ref="J186">_xll.BDH($D186,"MTG_GEN_CPR_12M","20090610","20090610","Dts=H")</f>
        <v>#N/A Invalid Field</v>
      </c>
      <c r="K186" t="str" cm="1">
        <f t="array" ref="K186">_xll.BDP("31283H4W2 Mtge","MTG_PREPAY_TYP")</f>
        <v>PSA</v>
      </c>
      <c r="L186" t="str" cm="1">
        <f t="array" ref="L186">_xll.BDP(D186,"MTG_PREPAY_SPEED")</f>
        <v>#N/A N/A</v>
      </c>
      <c r="M186" cm="1">
        <f t="array" ref="M186">_xll.BDP(D186,"MTG_PL_PSA_1M ")</f>
        <v>0</v>
      </c>
      <c r="N186" cm="1">
        <f t="array" ref="N186">_xll.BDP(D186,"MTG_PL_PSA_3M ")</f>
        <v>1611.9</v>
      </c>
      <c r="O186" cm="1">
        <f t="array" ref="O186">_xll.BDP(D186,"MTG_PL_PSA_6M ")</f>
        <v>1389</v>
      </c>
    </row>
    <row r="187" spans="1:15" x14ac:dyDescent="0.25">
      <c r="A187" t="s">
        <v>573</v>
      </c>
      <c r="B187" t="s">
        <v>574</v>
      </c>
      <c r="C187" t="s">
        <v>100</v>
      </c>
      <c r="D187" t="s">
        <v>575</v>
      </c>
      <c r="E187" t="str" cm="1">
        <f t="array" ref="E187">_xll.BDH($D187,"MTG_GEN_CPR_3M","20090331","20090331","Dts=H")</f>
        <v>#N/A Invalid Field</v>
      </c>
      <c r="F187" t="str" cm="1">
        <f t="array" ref="F187">_xll.BDH($D187,"MTG_GEN_CPR_6M","20090331","20090331","Dts=H")</f>
        <v>#N/A Invalid Field</v>
      </c>
      <c r="G187" t="str" cm="1">
        <f t="array" ref="G187">_xll.BDH($D187,"MTG_GEN_CPR_12M","20090331","20090331","Dts=H")</f>
        <v>#N/A Invalid Field</v>
      </c>
      <c r="H187" t="str" cm="1">
        <f t="array" ref="H187">_xll.BDH($D187,"MTG_GEN_CPR_3M","20090610","20090610","Dts=H")</f>
        <v>#N/A Invalid Field</v>
      </c>
      <c r="I187" t="str" cm="1">
        <f t="array" ref="I187">_xll.BDH($D187,"MTG_GEN_CPR_6M","20090610","20090610","Dts=H")</f>
        <v>#N/A Invalid Field</v>
      </c>
      <c r="J187" t="str" cm="1">
        <f t="array" ref="J187">_xll.BDH($D187,"MTG_GEN_CPR_12M","20090610","20090610","Dts=H")</f>
        <v>#N/A Invalid Field</v>
      </c>
      <c r="K187" t="str" cm="1">
        <f t="array" ref="K187">_xll.BDP("31283H4W2 Mtge","MTG_PREPAY_TYP")</f>
        <v>PSA</v>
      </c>
      <c r="L187" cm="1">
        <f t="array" ref="L187">_xll.BDP(D187,"MTG_PREPAY_SPEED")</f>
        <v>207</v>
      </c>
      <c r="M187" cm="1">
        <f t="array" ref="M187">_xll.BDP(D187,"MTG_PL_PSA_1M ")</f>
        <v>34.5</v>
      </c>
      <c r="N187" cm="1">
        <f t="array" ref="N187">_xll.BDP(D187,"MTG_PL_PSA_3M ")</f>
        <v>30</v>
      </c>
      <c r="O187" cm="1">
        <f t="array" ref="O187">_xll.BDP(D187,"MTG_PL_PSA_6M ")</f>
        <v>25.3</v>
      </c>
    </row>
    <row r="188" spans="1:15" x14ac:dyDescent="0.25">
      <c r="A188" t="s">
        <v>576</v>
      </c>
      <c r="B188" t="s">
        <v>577</v>
      </c>
      <c r="C188" t="s">
        <v>100</v>
      </c>
      <c r="D188" t="s">
        <v>578</v>
      </c>
      <c r="E188" t="str" cm="1">
        <f t="array" ref="E188">_xll.BDH($D188,"MTG_GEN_CPR_3M","20090331","20090331","Dts=H")</f>
        <v>#N/A Invalid Field</v>
      </c>
      <c r="F188" t="str" cm="1">
        <f t="array" ref="F188">_xll.BDH($D188,"MTG_GEN_CPR_6M","20090331","20090331","Dts=H")</f>
        <v>#N/A Invalid Field</v>
      </c>
      <c r="G188" t="str" cm="1">
        <f t="array" ref="G188">_xll.BDH($D188,"MTG_GEN_CPR_12M","20090331","20090331","Dts=H")</f>
        <v>#N/A Invalid Field</v>
      </c>
      <c r="H188" t="str" cm="1">
        <f t="array" ref="H188">_xll.BDH($D188,"MTG_GEN_CPR_3M","20090610","20090610","Dts=H")</f>
        <v>#N/A Invalid Field</v>
      </c>
      <c r="I188" t="str" cm="1">
        <f t="array" ref="I188">_xll.BDH($D188,"MTG_GEN_CPR_6M","20090610","20090610","Dts=H")</f>
        <v>#N/A Invalid Field</v>
      </c>
      <c r="J188" t="str" cm="1">
        <f t="array" ref="J188">_xll.BDH($D188,"MTG_GEN_CPR_12M","20090610","20090610","Dts=H")</f>
        <v>#N/A Invalid Field</v>
      </c>
      <c r="K188" t="str" cm="1">
        <f t="array" ref="K188">_xll.BDP("31283H4W2 Mtge","MTG_PREPAY_TYP")</f>
        <v>PSA</v>
      </c>
      <c r="L188" cm="1">
        <f t="array" ref="L188">_xll.BDP(D188,"MTG_PREPAY_SPEED")</f>
        <v>207</v>
      </c>
      <c r="M188" cm="1">
        <f t="array" ref="M188">_xll.BDP(D188,"MTG_PL_PSA_1M ")</f>
        <v>423.4</v>
      </c>
      <c r="N188" cm="1">
        <f t="array" ref="N188">_xll.BDP(D188,"MTG_PL_PSA_3M ")</f>
        <v>1283.9000000000001</v>
      </c>
      <c r="O188" cm="1">
        <f t="array" ref="O188">_xll.BDP(D188,"MTG_PL_PSA_6M ")</f>
        <v>979.9</v>
      </c>
    </row>
    <row r="189" spans="1:15" x14ac:dyDescent="0.25">
      <c r="A189" t="s">
        <v>579</v>
      </c>
      <c r="B189" t="s">
        <v>580</v>
      </c>
      <c r="C189" t="s">
        <v>100</v>
      </c>
      <c r="D189" t="s">
        <v>581</v>
      </c>
      <c r="E189" t="str" cm="1">
        <f t="array" ref="E189">_xll.BDH($D189,"MTG_GEN_CPR_3M","20090331","20090331","Dts=H")</f>
        <v>#N/A Invalid Field</v>
      </c>
      <c r="F189" t="str" cm="1">
        <f t="array" ref="F189">_xll.BDH($D189,"MTG_GEN_CPR_6M","20090331","20090331","Dts=H")</f>
        <v>#N/A Invalid Field</v>
      </c>
      <c r="G189" t="str" cm="1">
        <f t="array" ref="G189">_xll.BDH($D189,"MTG_GEN_CPR_12M","20090331","20090331","Dts=H")</f>
        <v>#N/A Invalid Field</v>
      </c>
      <c r="H189" t="str" cm="1">
        <f t="array" ref="H189">_xll.BDH($D189,"MTG_GEN_CPR_3M","20090610","20090610","Dts=H")</f>
        <v>#N/A Invalid Field</v>
      </c>
      <c r="I189" t="str" cm="1">
        <f t="array" ref="I189">_xll.BDH($D189,"MTG_GEN_CPR_6M","20090610","20090610","Dts=H")</f>
        <v>#N/A Invalid Field</v>
      </c>
      <c r="J189" t="str" cm="1">
        <f t="array" ref="J189">_xll.BDH($D189,"MTG_GEN_CPR_12M","20090610","20090610","Dts=H")</f>
        <v>#N/A Invalid Field</v>
      </c>
      <c r="K189" t="str" cm="1">
        <f t="array" ref="K189">_xll.BDP("31283H4W2 Mtge","MTG_PREPAY_TYP")</f>
        <v>PSA</v>
      </c>
      <c r="L189" t="str" cm="1">
        <f t="array" ref="L189">_xll.BDP(D189,"MTG_PREPAY_SPEED")</f>
        <v>#N/A N/A</v>
      </c>
      <c r="M189" cm="1">
        <f t="array" ref="M189">_xll.BDP(D189,"MTG_PL_PSA_1M ")</f>
        <v>1666.7</v>
      </c>
      <c r="N189" cm="1">
        <f t="array" ref="N189">_xll.BDP(D189,"MTG_PL_PSA_3M ")</f>
        <v>1666.7</v>
      </c>
      <c r="O189" cm="1">
        <f t="array" ref="O189">_xll.BDP(D189,"MTG_PL_PSA_6M ")</f>
        <v>1666.7</v>
      </c>
    </row>
    <row r="190" spans="1:15" x14ac:dyDescent="0.25">
      <c r="A190" t="s">
        <v>582</v>
      </c>
      <c r="B190" t="s">
        <v>583</v>
      </c>
      <c r="C190" t="s">
        <v>100</v>
      </c>
      <c r="D190" t="s">
        <v>584</v>
      </c>
      <c r="E190" t="str" cm="1">
        <f t="array" ref="E190">_xll.BDH($D190,"MTG_GEN_CPR_3M","20090331","20090331","Dts=H")</f>
        <v>#N/A Invalid Field</v>
      </c>
      <c r="F190" t="str" cm="1">
        <f t="array" ref="F190">_xll.BDH($D190,"MTG_GEN_CPR_6M","20090331","20090331","Dts=H")</f>
        <v>#N/A Invalid Field</v>
      </c>
      <c r="G190" t="str" cm="1">
        <f t="array" ref="G190">_xll.BDH($D190,"MTG_GEN_CPR_12M","20090331","20090331","Dts=H")</f>
        <v>#N/A Invalid Field</v>
      </c>
      <c r="H190" t="str" cm="1">
        <f t="array" ref="H190">_xll.BDH($D190,"MTG_GEN_CPR_3M","20090610","20090610","Dts=H")</f>
        <v>#N/A Invalid Field</v>
      </c>
      <c r="I190" t="str" cm="1">
        <f t="array" ref="I190">_xll.BDH($D190,"MTG_GEN_CPR_6M","20090610","20090610","Dts=H")</f>
        <v>#N/A Invalid Field</v>
      </c>
      <c r="J190" t="str" cm="1">
        <f t="array" ref="J190">_xll.BDH($D190,"MTG_GEN_CPR_12M","20090610","20090610","Dts=H")</f>
        <v>#N/A Invalid Field</v>
      </c>
      <c r="K190" t="str" cm="1">
        <f t="array" ref="K190">_xll.BDP("31283H4W2 Mtge","MTG_PREPAY_TYP")</f>
        <v>PSA</v>
      </c>
      <c r="L190" t="str" cm="1">
        <f t="array" ref="L190">_xll.BDP(D190,"MTG_PREPAY_SPEED")</f>
        <v>#N/A N/A</v>
      </c>
      <c r="M190" cm="1">
        <f t="array" ref="M190">_xll.BDP(D190,"MTG_PL_PSA_1M ")</f>
        <v>0</v>
      </c>
      <c r="N190" cm="1">
        <f t="array" ref="N190">_xll.BDP(D190,"MTG_PL_PSA_3M ")</f>
        <v>1618.5</v>
      </c>
      <c r="O190" cm="1">
        <f t="array" ref="O190">_xll.BDP(D190,"MTG_PL_PSA_6M ")</f>
        <v>1372.2</v>
      </c>
    </row>
    <row r="191" spans="1:15" x14ac:dyDescent="0.25">
      <c r="A191" t="s">
        <v>585</v>
      </c>
      <c r="B191" t="s">
        <v>586</v>
      </c>
      <c r="C191" t="s">
        <v>100</v>
      </c>
      <c r="D191" t="s">
        <v>587</v>
      </c>
      <c r="E191" t="str" cm="1">
        <f t="array" ref="E191">_xll.BDH($D191,"MTG_GEN_CPR_3M","20090331","20090331","Dts=H")</f>
        <v>#N/A Invalid Field</v>
      </c>
      <c r="F191" t="str" cm="1">
        <f t="array" ref="F191">_xll.BDH($D191,"MTG_GEN_CPR_6M","20090331","20090331","Dts=H")</f>
        <v>#N/A Invalid Field</v>
      </c>
      <c r="G191" t="str" cm="1">
        <f t="array" ref="G191">_xll.BDH($D191,"MTG_GEN_CPR_12M","20090331","20090331","Dts=H")</f>
        <v>#N/A Invalid Field</v>
      </c>
      <c r="H191" t="str" cm="1">
        <f t="array" ref="H191">_xll.BDH($D191,"MTG_GEN_CPR_3M","20090610","20090610","Dts=H")</f>
        <v>#N/A Invalid Field</v>
      </c>
      <c r="I191" t="str" cm="1">
        <f t="array" ref="I191">_xll.BDH($D191,"MTG_GEN_CPR_6M","20090610","20090610","Dts=H")</f>
        <v>#N/A Invalid Field</v>
      </c>
      <c r="J191" t="str" cm="1">
        <f t="array" ref="J191">_xll.BDH($D191,"MTG_GEN_CPR_12M","20090610","20090610","Dts=H")</f>
        <v>#N/A Invalid Field</v>
      </c>
      <c r="K191" t="str" cm="1">
        <f t="array" ref="K191">_xll.BDP("31283H4W2 Mtge","MTG_PREPAY_TYP")</f>
        <v>PSA</v>
      </c>
      <c r="L191" t="str" cm="1">
        <f t="array" ref="L191">_xll.BDP(D191,"MTG_PREPAY_SPEED")</f>
        <v>#N/A N/A</v>
      </c>
      <c r="M191" cm="1">
        <f t="array" ref="M191">_xll.BDP(D191,"MTG_PL_PSA_1M ")</f>
        <v>0</v>
      </c>
      <c r="N191" cm="1">
        <f t="array" ref="N191">_xll.BDP(D191,"MTG_PL_PSA_3M ")</f>
        <v>258.60000000000002</v>
      </c>
      <c r="O191" cm="1">
        <f t="array" ref="O191">_xll.BDP(D191,"MTG_PL_PSA_6M ")</f>
        <v>520.79999999999995</v>
      </c>
    </row>
    <row r="192" spans="1:15" x14ac:dyDescent="0.25">
      <c r="A192" t="s">
        <v>588</v>
      </c>
      <c r="B192" t="s">
        <v>589</v>
      </c>
      <c r="C192" t="s">
        <v>100</v>
      </c>
      <c r="D192" t="s">
        <v>590</v>
      </c>
      <c r="E192" t="str" cm="1">
        <f t="array" ref="E192">_xll.BDH($D192,"MTG_GEN_CPR_3M","20090331","20090331","Dts=H")</f>
        <v>#N/A Invalid Field</v>
      </c>
      <c r="F192" t="str" cm="1">
        <f t="array" ref="F192">_xll.BDH($D192,"MTG_GEN_CPR_6M","20090331","20090331","Dts=H")</f>
        <v>#N/A Invalid Field</v>
      </c>
      <c r="G192" t="str" cm="1">
        <f t="array" ref="G192">_xll.BDH($D192,"MTG_GEN_CPR_12M","20090331","20090331","Dts=H")</f>
        <v>#N/A Invalid Field</v>
      </c>
      <c r="H192" t="str" cm="1">
        <f t="array" ref="H192">_xll.BDH($D192,"MTG_GEN_CPR_3M","20090610","20090610","Dts=H")</f>
        <v>#N/A Invalid Field</v>
      </c>
      <c r="I192" t="str" cm="1">
        <f t="array" ref="I192">_xll.BDH($D192,"MTG_GEN_CPR_6M","20090610","20090610","Dts=H")</f>
        <v>#N/A Invalid Field</v>
      </c>
      <c r="J192" t="str" cm="1">
        <f t="array" ref="J192">_xll.BDH($D192,"MTG_GEN_CPR_12M","20090610","20090610","Dts=H")</f>
        <v>#N/A Invalid Field</v>
      </c>
      <c r="K192" t="str" cm="1">
        <f t="array" ref="K192">_xll.BDP("31283H4W2 Mtge","MTG_PREPAY_TYP")</f>
        <v>PSA</v>
      </c>
      <c r="L192" cm="1">
        <f t="array" ref="L192">_xll.BDP(D192,"MTG_PREPAY_SPEED")</f>
        <v>182</v>
      </c>
      <c r="M192" cm="1">
        <f t="array" ref="M192">_xll.BDP(D192,"MTG_PL_PSA_1M ")</f>
        <v>87.6</v>
      </c>
      <c r="N192" cm="1">
        <f t="array" ref="N192">_xll.BDP(D192,"MTG_PL_PSA_3M ")</f>
        <v>81.3</v>
      </c>
      <c r="O192" cm="1">
        <f t="array" ref="O192">_xll.BDP(D192,"MTG_PL_PSA_6M ")</f>
        <v>73.599999999999994</v>
      </c>
    </row>
    <row r="193" spans="1:15" x14ac:dyDescent="0.25">
      <c r="A193" t="s">
        <v>591</v>
      </c>
      <c r="B193" t="s">
        <v>592</v>
      </c>
      <c r="C193" t="s">
        <v>100</v>
      </c>
      <c r="D193" t="s">
        <v>593</v>
      </c>
      <c r="E193" t="str" cm="1">
        <f t="array" ref="E193">_xll.BDH($D193,"MTG_GEN_CPR_3M","20090331","20090331","Dts=H")</f>
        <v>#N/A Invalid Field</v>
      </c>
      <c r="F193" t="str" cm="1">
        <f t="array" ref="F193">_xll.BDH($D193,"MTG_GEN_CPR_6M","20090331","20090331","Dts=H")</f>
        <v>#N/A Invalid Field</v>
      </c>
      <c r="G193" t="str" cm="1">
        <f t="array" ref="G193">_xll.BDH($D193,"MTG_GEN_CPR_12M","20090331","20090331","Dts=H")</f>
        <v>#N/A Invalid Field</v>
      </c>
      <c r="H193" t="str" cm="1">
        <f t="array" ref="H193">_xll.BDH($D193,"MTG_GEN_CPR_3M","20090610","20090610","Dts=H")</f>
        <v>#N/A Invalid Field</v>
      </c>
      <c r="I193" t="str" cm="1">
        <f t="array" ref="I193">_xll.BDH($D193,"MTG_GEN_CPR_6M","20090610","20090610","Dts=H")</f>
        <v>#N/A Invalid Field</v>
      </c>
      <c r="J193" t="str" cm="1">
        <f t="array" ref="J193">_xll.BDH($D193,"MTG_GEN_CPR_12M","20090610","20090610","Dts=H")</f>
        <v>#N/A Invalid Field</v>
      </c>
      <c r="K193" t="str" cm="1">
        <f t="array" ref="K193">_xll.BDP("31283H4W2 Mtge","MTG_PREPAY_TYP")</f>
        <v>PSA</v>
      </c>
      <c r="L193" cm="1">
        <f t="array" ref="L193">_xll.BDP(D193,"MTG_PREPAY_SPEED")</f>
        <v>171</v>
      </c>
      <c r="M193" cm="1">
        <f t="array" ref="M193">_xll.BDP(D193,"MTG_PL_PSA_1M ")</f>
        <v>60.9</v>
      </c>
      <c r="N193" cm="1">
        <f t="array" ref="N193">_xll.BDP(D193,"MTG_PL_PSA_3M ")</f>
        <v>49.7</v>
      </c>
      <c r="O193" cm="1">
        <f t="array" ref="O193">_xll.BDP(D193,"MTG_PL_PSA_6M ")</f>
        <v>39.299999999999997</v>
      </c>
    </row>
    <row r="194" spans="1:15" x14ac:dyDescent="0.25">
      <c r="A194" t="s">
        <v>594</v>
      </c>
      <c r="B194" t="s">
        <v>595</v>
      </c>
      <c r="C194" t="s">
        <v>100</v>
      </c>
      <c r="D194" t="s">
        <v>596</v>
      </c>
      <c r="E194" t="str" cm="1">
        <f t="array" ref="E194">_xll.BDH($D194,"MTG_GEN_CPR_3M","20090331","20090331","Dts=H")</f>
        <v>#N/A Invalid Field</v>
      </c>
      <c r="F194" t="str" cm="1">
        <f t="array" ref="F194">_xll.BDH($D194,"MTG_GEN_CPR_6M","20090331","20090331","Dts=H")</f>
        <v>#N/A Invalid Field</v>
      </c>
      <c r="G194" t="str" cm="1">
        <f t="array" ref="G194">_xll.BDH($D194,"MTG_GEN_CPR_12M","20090331","20090331","Dts=H")</f>
        <v>#N/A Invalid Field</v>
      </c>
      <c r="H194" t="str" cm="1">
        <f t="array" ref="H194">_xll.BDH($D194,"MTG_GEN_CPR_3M","20090610","20090610","Dts=H")</f>
        <v>#N/A Invalid Field</v>
      </c>
      <c r="I194" t="str" cm="1">
        <f t="array" ref="I194">_xll.BDH($D194,"MTG_GEN_CPR_6M","20090610","20090610","Dts=H")</f>
        <v>#N/A Invalid Field</v>
      </c>
      <c r="J194" t="str" cm="1">
        <f t="array" ref="J194">_xll.BDH($D194,"MTG_GEN_CPR_12M","20090610","20090610","Dts=H")</f>
        <v>#N/A Invalid Field</v>
      </c>
      <c r="K194" t="str" cm="1">
        <f t="array" ref="K194">_xll.BDP("31283H4W2 Mtge","MTG_PREPAY_TYP")</f>
        <v>PSA</v>
      </c>
      <c r="L194" cm="1">
        <f t="array" ref="L194">_xll.BDP(D194,"MTG_PREPAY_SPEED")</f>
        <v>0</v>
      </c>
      <c r="M194" cm="1">
        <f t="array" ref="M194">_xll.BDP(D194,"MTG_PL_PSA_1M ")</f>
        <v>0</v>
      </c>
      <c r="N194" cm="1">
        <f t="array" ref="N194">_xll.BDP(D194,"MTG_PL_PSA_3M ")</f>
        <v>0</v>
      </c>
      <c r="O194" cm="1">
        <f t="array" ref="O194">_xll.BDP(D194,"MTG_PL_PSA_6M ")</f>
        <v>0</v>
      </c>
    </row>
    <row r="195" spans="1:15" x14ac:dyDescent="0.25">
      <c r="A195" t="s">
        <v>597</v>
      </c>
      <c r="B195" t="s">
        <v>598</v>
      </c>
      <c r="C195" t="s">
        <v>100</v>
      </c>
      <c r="D195" t="s">
        <v>599</v>
      </c>
      <c r="E195" t="str" cm="1">
        <f t="array" ref="E195">_xll.BDH($D195,"MTG_GEN_CPR_3M","20090331","20090331","Dts=H")</f>
        <v>#N/A Invalid Field</v>
      </c>
      <c r="F195" t="str" cm="1">
        <f t="array" ref="F195">_xll.BDH($D195,"MTG_GEN_CPR_6M","20090331","20090331","Dts=H")</f>
        <v>#N/A Invalid Field</v>
      </c>
      <c r="G195" t="str" cm="1">
        <f t="array" ref="G195">_xll.BDH($D195,"MTG_GEN_CPR_12M","20090331","20090331","Dts=H")</f>
        <v>#N/A Invalid Field</v>
      </c>
      <c r="H195" t="str" cm="1">
        <f t="array" ref="H195">_xll.BDH($D195,"MTG_GEN_CPR_3M","20090610","20090610","Dts=H")</f>
        <v>#N/A Invalid Field</v>
      </c>
      <c r="I195" t="str" cm="1">
        <f t="array" ref="I195">_xll.BDH($D195,"MTG_GEN_CPR_6M","20090610","20090610","Dts=H")</f>
        <v>#N/A Invalid Field</v>
      </c>
      <c r="J195" t="str" cm="1">
        <f t="array" ref="J195">_xll.BDH($D195,"MTG_GEN_CPR_12M","20090610","20090610","Dts=H")</f>
        <v>#N/A Invalid Field</v>
      </c>
      <c r="K195" t="str" cm="1">
        <f t="array" ref="K195">_xll.BDP("31283H4W2 Mtge","MTG_PREPAY_TYP")</f>
        <v>PSA</v>
      </c>
      <c r="L195" t="str" cm="1">
        <f t="array" ref="L195">_xll.BDP(D195,"MTG_PREPAY_SPEED")</f>
        <v>#N/A N/A</v>
      </c>
      <c r="M195" cm="1">
        <f t="array" ref="M195">_xll.BDP(D195,"MTG_PL_PSA_1M ")</f>
        <v>0</v>
      </c>
      <c r="N195" cm="1">
        <f t="array" ref="N195">_xll.BDP(D195,"MTG_PL_PSA_3M ")</f>
        <v>1627.6</v>
      </c>
      <c r="O195" cm="1">
        <f t="array" ref="O195">_xll.BDP(D195,"MTG_PL_PSA_6M ")</f>
        <v>1464.1</v>
      </c>
    </row>
    <row r="196" spans="1:15" x14ac:dyDescent="0.25">
      <c r="A196" t="s">
        <v>600</v>
      </c>
      <c r="B196" t="s">
        <v>601</v>
      </c>
      <c r="C196" t="s">
        <v>100</v>
      </c>
      <c r="D196" t="s">
        <v>602</v>
      </c>
      <c r="E196" t="str" cm="1">
        <f t="array" ref="E196">_xll.BDH($D196,"MTG_GEN_CPR_3M","20090331","20090331","Dts=H")</f>
        <v>#N/A Invalid Field</v>
      </c>
      <c r="F196" t="str" cm="1">
        <f t="array" ref="F196">_xll.BDH($D196,"MTG_GEN_CPR_6M","20090331","20090331","Dts=H")</f>
        <v>#N/A Invalid Field</v>
      </c>
      <c r="G196" t="str" cm="1">
        <f t="array" ref="G196">_xll.BDH($D196,"MTG_GEN_CPR_12M","20090331","20090331","Dts=H")</f>
        <v>#N/A Invalid Field</v>
      </c>
      <c r="H196" t="str" cm="1">
        <f t="array" ref="H196">_xll.BDH($D196,"MTG_GEN_CPR_3M","20090610","20090610","Dts=H")</f>
        <v>#N/A Invalid Field</v>
      </c>
      <c r="I196" t="str" cm="1">
        <f t="array" ref="I196">_xll.BDH($D196,"MTG_GEN_CPR_6M","20090610","20090610","Dts=H")</f>
        <v>#N/A Invalid Field</v>
      </c>
      <c r="J196" t="str" cm="1">
        <f t="array" ref="J196">_xll.BDH($D196,"MTG_GEN_CPR_12M","20090610","20090610","Dts=H")</f>
        <v>#N/A Invalid Field</v>
      </c>
      <c r="K196" t="str" cm="1">
        <f t="array" ref="K196">_xll.BDP("31283H4W2 Mtge","MTG_PREPAY_TYP")</f>
        <v>PSA</v>
      </c>
      <c r="L196" t="str" cm="1">
        <f t="array" ref="L196">_xll.BDP(D196,"MTG_PREPAY_SPEED")</f>
        <v>#N/A N/A</v>
      </c>
      <c r="M196" cm="1">
        <f t="array" ref="M196">_xll.BDP(D196,"MTG_PL_PSA_1M ")</f>
        <v>1666.7</v>
      </c>
      <c r="N196" cm="1">
        <f t="array" ref="N196">_xll.BDP(D196,"MTG_PL_PSA_3M ")</f>
        <v>1666.7</v>
      </c>
      <c r="O196" cm="1">
        <f t="array" ref="O196">_xll.BDP(D196,"MTG_PL_PSA_6M ")</f>
        <v>1666.7</v>
      </c>
    </row>
    <row r="197" spans="1:15" x14ac:dyDescent="0.25">
      <c r="A197" t="s">
        <v>603</v>
      </c>
      <c r="B197" t="s">
        <v>604</v>
      </c>
      <c r="C197" t="s">
        <v>100</v>
      </c>
      <c r="D197" t="s">
        <v>605</v>
      </c>
      <c r="E197" t="str" cm="1">
        <f t="array" ref="E197">_xll.BDH($D197,"MTG_GEN_CPR_3M","20090331","20090331","Dts=H")</f>
        <v>#N/A Invalid Field</v>
      </c>
      <c r="F197" t="str" cm="1">
        <f t="array" ref="F197">_xll.BDH($D197,"MTG_GEN_CPR_6M","20090331","20090331","Dts=H")</f>
        <v>#N/A Invalid Field</v>
      </c>
      <c r="G197" t="str" cm="1">
        <f t="array" ref="G197">_xll.BDH($D197,"MTG_GEN_CPR_12M","20090331","20090331","Dts=H")</f>
        <v>#N/A Invalid Field</v>
      </c>
      <c r="H197" t="str" cm="1">
        <f t="array" ref="H197">_xll.BDH($D197,"MTG_GEN_CPR_3M","20090610","20090610","Dts=H")</f>
        <v>#N/A Invalid Field</v>
      </c>
      <c r="I197" t="str" cm="1">
        <f t="array" ref="I197">_xll.BDH($D197,"MTG_GEN_CPR_6M","20090610","20090610","Dts=H")</f>
        <v>#N/A Invalid Field</v>
      </c>
      <c r="J197" t="str" cm="1">
        <f t="array" ref="J197">_xll.BDH($D197,"MTG_GEN_CPR_12M","20090610","20090610","Dts=H")</f>
        <v>#N/A Invalid Field</v>
      </c>
      <c r="K197" t="str" cm="1">
        <f t="array" ref="K197">_xll.BDP("31283H4W2 Mtge","MTG_PREPAY_TYP")</f>
        <v>PSA</v>
      </c>
      <c r="L197" t="str" cm="1">
        <f t="array" ref="L197">_xll.BDP(D197,"MTG_PREPAY_SPEED")</f>
        <v>#N/A N/A</v>
      </c>
      <c r="M197" cm="1">
        <f t="array" ref="M197">_xll.BDP(D197,"MTG_PL_PSA_1M ")</f>
        <v>0</v>
      </c>
      <c r="N197" cm="1">
        <f t="array" ref="N197">_xll.BDP(D197,"MTG_PL_PSA_3M ")</f>
        <v>423.6</v>
      </c>
      <c r="O197" cm="1">
        <f t="array" ref="O197">_xll.BDP(D197,"MTG_PL_PSA_6M ")</f>
        <v>1000.8</v>
      </c>
    </row>
    <row r="198" spans="1:15" x14ac:dyDescent="0.25">
      <c r="A198" t="s">
        <v>606</v>
      </c>
      <c r="B198" t="s">
        <v>607</v>
      </c>
      <c r="C198" t="s">
        <v>100</v>
      </c>
      <c r="D198" t="s">
        <v>608</v>
      </c>
      <c r="E198" t="str" cm="1">
        <f t="array" ref="E198">_xll.BDH($D198,"MTG_GEN_CPR_3M","20090331","20090331","Dts=H")</f>
        <v>#N/A Invalid Field</v>
      </c>
      <c r="F198" t="str" cm="1">
        <f t="array" ref="F198">_xll.BDH($D198,"MTG_GEN_CPR_6M","20090331","20090331","Dts=H")</f>
        <v>#N/A Invalid Field</v>
      </c>
      <c r="G198" t="str" cm="1">
        <f t="array" ref="G198">_xll.BDH($D198,"MTG_GEN_CPR_12M","20090331","20090331","Dts=H")</f>
        <v>#N/A Invalid Field</v>
      </c>
      <c r="H198" t="str" cm="1">
        <f t="array" ref="H198">_xll.BDH($D198,"MTG_GEN_CPR_3M","20090610","20090610","Dts=H")</f>
        <v>#N/A Invalid Field</v>
      </c>
      <c r="I198" t="str" cm="1">
        <f t="array" ref="I198">_xll.BDH($D198,"MTG_GEN_CPR_6M","20090610","20090610","Dts=H")</f>
        <v>#N/A Invalid Field</v>
      </c>
      <c r="J198" t="str" cm="1">
        <f t="array" ref="J198">_xll.BDH($D198,"MTG_GEN_CPR_12M","20090610","20090610","Dts=H")</f>
        <v>#N/A Invalid Field</v>
      </c>
      <c r="K198" t="str" cm="1">
        <f t="array" ref="K198">_xll.BDP("31283H4W2 Mtge","MTG_PREPAY_TYP")</f>
        <v>PSA</v>
      </c>
      <c r="L198" t="str" cm="1">
        <f t="array" ref="L198">_xll.BDP(D198,"MTG_PREPAY_SPEED")</f>
        <v>#N/A N/A</v>
      </c>
      <c r="M198" cm="1">
        <f t="array" ref="M198">_xll.BDP(D198,"MTG_PL_PSA_1M ")</f>
        <v>0</v>
      </c>
      <c r="N198" cm="1">
        <f t="array" ref="N198">_xll.BDP(D198,"MTG_PL_PSA_3M ")</f>
        <v>1334.9</v>
      </c>
      <c r="O198" cm="1">
        <f t="array" ref="O198">_xll.BDP(D198,"MTG_PL_PSA_6M ")</f>
        <v>1324</v>
      </c>
    </row>
    <row r="199" spans="1:15" x14ac:dyDescent="0.25">
      <c r="A199" t="s">
        <v>609</v>
      </c>
      <c r="B199" t="s">
        <v>610</v>
      </c>
      <c r="C199" t="s">
        <v>100</v>
      </c>
      <c r="D199" t="s">
        <v>611</v>
      </c>
      <c r="E199" t="str" cm="1">
        <f t="array" ref="E199">_xll.BDH($D199,"MTG_GEN_CPR_3M","20090331","20090331","Dts=H")</f>
        <v>#N/A Invalid Field</v>
      </c>
      <c r="F199" t="str" cm="1">
        <f t="array" ref="F199">_xll.BDH($D199,"MTG_GEN_CPR_6M","20090331","20090331","Dts=H")</f>
        <v>#N/A Invalid Field</v>
      </c>
      <c r="G199" t="str" cm="1">
        <f t="array" ref="G199">_xll.BDH($D199,"MTG_GEN_CPR_12M","20090331","20090331","Dts=H")</f>
        <v>#N/A Invalid Field</v>
      </c>
      <c r="H199" t="str" cm="1">
        <f t="array" ref="H199">_xll.BDH($D199,"MTG_GEN_CPR_3M","20090610","20090610","Dts=H")</f>
        <v>#N/A Invalid Field</v>
      </c>
      <c r="I199" t="str" cm="1">
        <f t="array" ref="I199">_xll.BDH($D199,"MTG_GEN_CPR_6M","20090610","20090610","Dts=H")</f>
        <v>#N/A Invalid Field</v>
      </c>
      <c r="J199" t="str" cm="1">
        <f t="array" ref="J199">_xll.BDH($D199,"MTG_GEN_CPR_12M","20090610","20090610","Dts=H")</f>
        <v>#N/A Invalid Field</v>
      </c>
      <c r="K199" t="str" cm="1">
        <f t="array" ref="K199">_xll.BDP("31283H4W2 Mtge","MTG_PREPAY_TYP")</f>
        <v>PSA</v>
      </c>
      <c r="L199" t="str" cm="1">
        <f t="array" ref="L199">_xll.BDP(D199,"MTG_PREPAY_SPEED")</f>
        <v>#N/A N/A</v>
      </c>
      <c r="M199" cm="1">
        <f t="array" ref="M199">_xll.BDP(D199,"MTG_PL_PSA_1M ")</f>
        <v>1666.7</v>
      </c>
      <c r="N199" cm="1">
        <f t="array" ref="N199">_xll.BDP(D199,"MTG_PL_PSA_3M ")</f>
        <v>1666.7</v>
      </c>
      <c r="O199" cm="1">
        <f t="array" ref="O199">_xll.BDP(D199,"MTG_PL_PSA_6M ")</f>
        <v>1666.7</v>
      </c>
    </row>
    <row r="200" spans="1:15" x14ac:dyDescent="0.25">
      <c r="A200" t="s">
        <v>612</v>
      </c>
      <c r="B200" t="s">
        <v>613</v>
      </c>
      <c r="C200" t="s">
        <v>100</v>
      </c>
      <c r="D200" t="s">
        <v>614</v>
      </c>
      <c r="E200" t="str" cm="1">
        <f t="array" ref="E200">_xll.BDH($D200,"MTG_GEN_CPR_3M","20090331","20090331","Dts=H")</f>
        <v>#N/A Invalid Field</v>
      </c>
      <c r="F200" t="str" cm="1">
        <f t="array" ref="F200">_xll.BDH($D200,"MTG_GEN_CPR_6M","20090331","20090331","Dts=H")</f>
        <v>#N/A Invalid Field</v>
      </c>
      <c r="G200" t="str" cm="1">
        <f t="array" ref="G200">_xll.BDH($D200,"MTG_GEN_CPR_12M","20090331","20090331","Dts=H")</f>
        <v>#N/A Invalid Field</v>
      </c>
      <c r="H200" t="str" cm="1">
        <f t="array" ref="H200">_xll.BDH($D200,"MTG_GEN_CPR_3M","20090610","20090610","Dts=H")</f>
        <v>#N/A Invalid Field</v>
      </c>
      <c r="I200" t="str" cm="1">
        <f t="array" ref="I200">_xll.BDH($D200,"MTG_GEN_CPR_6M","20090610","20090610","Dts=H")</f>
        <v>#N/A Invalid Field</v>
      </c>
      <c r="J200" t="str" cm="1">
        <f t="array" ref="J200">_xll.BDH($D200,"MTG_GEN_CPR_12M","20090610","20090610","Dts=H")</f>
        <v>#N/A Invalid Field</v>
      </c>
      <c r="K200" t="str" cm="1">
        <f t="array" ref="K200">_xll.BDP("31283H4W2 Mtge","MTG_PREPAY_TYP")</f>
        <v>PSA</v>
      </c>
      <c r="L200" t="str" cm="1">
        <f t="array" ref="L200">_xll.BDP(D200,"MTG_PREPAY_SPEED")</f>
        <v>#N/A N/A</v>
      </c>
      <c r="M200" cm="1">
        <f t="array" ref="M200">_xll.BDP(D200,"MTG_PL_PSA_1M ")</f>
        <v>1666.7</v>
      </c>
      <c r="N200" cm="1">
        <f t="array" ref="N200">_xll.BDP(D200,"MTG_PL_PSA_3M ")</f>
        <v>1666.7</v>
      </c>
      <c r="O200" cm="1">
        <f t="array" ref="O200">_xll.BDP(D200,"MTG_PL_PSA_6M ")</f>
        <v>1666.7</v>
      </c>
    </row>
    <row r="201" spans="1:15" x14ac:dyDescent="0.25">
      <c r="A201" t="s">
        <v>615</v>
      </c>
      <c r="B201" t="s">
        <v>616</v>
      </c>
      <c r="C201" t="s">
        <v>100</v>
      </c>
      <c r="D201" t="s">
        <v>617</v>
      </c>
      <c r="E201" t="str" cm="1">
        <f t="array" ref="E201">_xll.BDH($D201,"MTG_GEN_CPR_3M","20090331","20090331","Dts=H")</f>
        <v>#N/A Invalid Field</v>
      </c>
      <c r="F201" t="str" cm="1">
        <f t="array" ref="F201">_xll.BDH($D201,"MTG_GEN_CPR_6M","20090331","20090331","Dts=H")</f>
        <v>#N/A Invalid Field</v>
      </c>
      <c r="G201" t="str" cm="1">
        <f t="array" ref="G201">_xll.BDH($D201,"MTG_GEN_CPR_12M","20090331","20090331","Dts=H")</f>
        <v>#N/A Invalid Field</v>
      </c>
      <c r="H201" t="str" cm="1">
        <f t="array" ref="H201">_xll.BDH($D201,"MTG_GEN_CPR_3M","20090610","20090610","Dts=H")</f>
        <v>#N/A Invalid Field</v>
      </c>
      <c r="I201" t="str" cm="1">
        <f t="array" ref="I201">_xll.BDH($D201,"MTG_GEN_CPR_6M","20090610","20090610","Dts=H")</f>
        <v>#N/A Invalid Field</v>
      </c>
      <c r="J201" t="str" cm="1">
        <f t="array" ref="J201">_xll.BDH($D201,"MTG_GEN_CPR_12M","20090610","20090610","Dts=H")</f>
        <v>#N/A Invalid Field</v>
      </c>
      <c r="K201" t="str" cm="1">
        <f t="array" ref="K201">_xll.BDP("31283H4W2 Mtge","MTG_PREPAY_TYP")</f>
        <v>PSA</v>
      </c>
      <c r="L201" t="str" cm="1">
        <f t="array" ref="L201">_xll.BDP(D201,"MTG_PREPAY_SPEED")</f>
        <v>#N/A N/A</v>
      </c>
      <c r="M201" cm="1">
        <f t="array" ref="M201">_xll.BDP(D201,"MTG_PL_PSA_1M ")</f>
        <v>1666.7</v>
      </c>
      <c r="N201" cm="1">
        <f t="array" ref="N201">_xll.BDP(D201,"MTG_PL_PSA_3M ")</f>
        <v>1666.7</v>
      </c>
      <c r="O201" cm="1">
        <f t="array" ref="O201">_xll.BDP(D201,"MTG_PL_PSA_6M ")</f>
        <v>1666.7</v>
      </c>
    </row>
    <row r="202" spans="1:15" x14ac:dyDescent="0.25">
      <c r="A202" t="s">
        <v>618</v>
      </c>
      <c r="B202" t="s">
        <v>619</v>
      </c>
      <c r="C202" t="s">
        <v>100</v>
      </c>
      <c r="D202" t="s">
        <v>620</v>
      </c>
      <c r="E202" t="str" cm="1">
        <f t="array" ref="E202">_xll.BDH($D202,"MTG_GEN_CPR_3M","20090331","20090331","Dts=H")</f>
        <v>#N/A Invalid Field</v>
      </c>
      <c r="F202" t="str" cm="1">
        <f t="array" ref="F202">_xll.BDH($D202,"MTG_GEN_CPR_6M","20090331","20090331","Dts=H")</f>
        <v>#N/A Invalid Field</v>
      </c>
      <c r="G202" t="str" cm="1">
        <f t="array" ref="G202">_xll.BDH($D202,"MTG_GEN_CPR_12M","20090331","20090331","Dts=H")</f>
        <v>#N/A Invalid Field</v>
      </c>
      <c r="H202" t="str" cm="1">
        <f t="array" ref="H202">_xll.BDH($D202,"MTG_GEN_CPR_3M","20090610","20090610","Dts=H")</f>
        <v>#N/A Invalid Field</v>
      </c>
      <c r="I202" t="str" cm="1">
        <f t="array" ref="I202">_xll.BDH($D202,"MTG_GEN_CPR_6M","20090610","20090610","Dts=H")</f>
        <v>#N/A Invalid Field</v>
      </c>
      <c r="J202" t="str" cm="1">
        <f t="array" ref="J202">_xll.BDH($D202,"MTG_GEN_CPR_12M","20090610","20090610","Dts=H")</f>
        <v>#N/A Invalid Field</v>
      </c>
      <c r="K202" t="str" cm="1">
        <f t="array" ref="K202">_xll.BDP("31283H4W2 Mtge","MTG_PREPAY_TYP")</f>
        <v>PSA</v>
      </c>
      <c r="L202" cm="1">
        <f t="array" ref="L202">_xll.BDP(D202,"MTG_PREPAY_SPEED")</f>
        <v>182</v>
      </c>
      <c r="M202" cm="1">
        <f t="array" ref="M202">_xll.BDP(D202,"MTG_PL_PSA_1M ")</f>
        <v>0</v>
      </c>
      <c r="N202" cm="1">
        <f t="array" ref="N202">_xll.BDP(D202,"MTG_PL_PSA_3M ")</f>
        <v>-0.1</v>
      </c>
      <c r="O202" cm="1">
        <f t="array" ref="O202">_xll.BDP(D202,"MTG_PL_PSA_6M ")</f>
        <v>0</v>
      </c>
    </row>
    <row r="203" spans="1:15" x14ac:dyDescent="0.25">
      <c r="A203" t="s">
        <v>621</v>
      </c>
      <c r="B203" t="s">
        <v>622</v>
      </c>
      <c r="C203" t="s">
        <v>100</v>
      </c>
      <c r="D203" t="s">
        <v>623</v>
      </c>
      <c r="E203" t="str" cm="1">
        <f t="array" ref="E203">_xll.BDH($D203,"MTG_GEN_CPR_3M","20090331","20090331","Dts=H")</f>
        <v>#N/A Invalid Field</v>
      </c>
      <c r="F203" t="str" cm="1">
        <f t="array" ref="F203">_xll.BDH($D203,"MTG_GEN_CPR_6M","20090331","20090331","Dts=H")</f>
        <v>#N/A Invalid Field</v>
      </c>
      <c r="G203" t="str" cm="1">
        <f t="array" ref="G203">_xll.BDH($D203,"MTG_GEN_CPR_12M","20090331","20090331","Dts=H")</f>
        <v>#N/A Invalid Field</v>
      </c>
      <c r="H203" t="str" cm="1">
        <f t="array" ref="H203">_xll.BDH($D203,"MTG_GEN_CPR_3M","20090610","20090610","Dts=H")</f>
        <v>#N/A Invalid Field</v>
      </c>
      <c r="I203" t="str" cm="1">
        <f t="array" ref="I203">_xll.BDH($D203,"MTG_GEN_CPR_6M","20090610","20090610","Dts=H")</f>
        <v>#N/A Invalid Field</v>
      </c>
      <c r="J203" t="str" cm="1">
        <f t="array" ref="J203">_xll.BDH($D203,"MTG_GEN_CPR_12M","20090610","20090610","Dts=H")</f>
        <v>#N/A Invalid Field</v>
      </c>
      <c r="K203" t="str" cm="1">
        <f t="array" ref="K203">_xll.BDP("31283H4W2 Mtge","MTG_PREPAY_TYP")</f>
        <v>PSA</v>
      </c>
      <c r="L203" t="str" cm="1">
        <f t="array" ref="L203">_xll.BDP(D203,"MTG_PREPAY_SPEED")</f>
        <v>#N/A N/A</v>
      </c>
      <c r="M203" cm="1">
        <f t="array" ref="M203">_xll.BDP(D203,"MTG_PL_PSA_1M ")</f>
        <v>0</v>
      </c>
      <c r="N203" cm="1">
        <f t="array" ref="N203">_xll.BDP(D203,"MTG_PL_PSA_3M ")</f>
        <v>1060.3</v>
      </c>
      <c r="O203" cm="1">
        <f t="array" ref="O203">_xll.BDP(D203,"MTG_PL_PSA_6M ")</f>
        <v>764.9</v>
      </c>
    </row>
    <row r="204" spans="1:15" x14ac:dyDescent="0.25">
      <c r="A204" t="s">
        <v>624</v>
      </c>
      <c r="B204" t="s">
        <v>625</v>
      </c>
      <c r="C204" t="s">
        <v>100</v>
      </c>
      <c r="D204" t="s">
        <v>626</v>
      </c>
      <c r="E204" t="str" cm="1">
        <f t="array" ref="E204">_xll.BDH($D204,"MTG_GEN_CPR_3M","20090331","20090331","Dts=H")</f>
        <v>#N/A Invalid Field</v>
      </c>
      <c r="F204" t="str" cm="1">
        <f t="array" ref="F204">_xll.BDH($D204,"MTG_GEN_CPR_6M","20090331","20090331","Dts=H")</f>
        <v>#N/A Invalid Field</v>
      </c>
      <c r="G204" t="str" cm="1">
        <f t="array" ref="G204">_xll.BDH($D204,"MTG_GEN_CPR_12M","20090331","20090331","Dts=H")</f>
        <v>#N/A Invalid Field</v>
      </c>
      <c r="H204" t="str" cm="1">
        <f t="array" ref="H204">_xll.BDH($D204,"MTG_GEN_CPR_3M","20090610","20090610","Dts=H")</f>
        <v>#N/A Invalid Field</v>
      </c>
      <c r="I204" t="str" cm="1">
        <f t="array" ref="I204">_xll.BDH($D204,"MTG_GEN_CPR_6M","20090610","20090610","Dts=H")</f>
        <v>#N/A Invalid Field</v>
      </c>
      <c r="J204" t="str" cm="1">
        <f t="array" ref="J204">_xll.BDH($D204,"MTG_GEN_CPR_12M","20090610","20090610","Dts=H")</f>
        <v>#N/A Invalid Field</v>
      </c>
      <c r="K204" t="str" cm="1">
        <f t="array" ref="K204">_xll.BDP("31283H4W2 Mtge","MTG_PREPAY_TYP")</f>
        <v>PSA</v>
      </c>
      <c r="L204" t="str" cm="1">
        <f t="array" ref="L204">_xll.BDP(D204,"MTG_PREPAY_SPEED")</f>
        <v>#N/A N/A</v>
      </c>
      <c r="M204" cm="1">
        <f t="array" ref="M204">_xll.BDP(D204,"MTG_PL_PSA_1M ")</f>
        <v>1666.7</v>
      </c>
      <c r="N204" cm="1">
        <f t="array" ref="N204">_xll.BDP(D204,"MTG_PL_PSA_3M ")</f>
        <v>1666.7</v>
      </c>
      <c r="O204" cm="1">
        <f t="array" ref="O204">_xll.BDP(D204,"MTG_PL_PSA_6M ")</f>
        <v>1666.7</v>
      </c>
    </row>
    <row r="205" spans="1:15" x14ac:dyDescent="0.25">
      <c r="A205" t="s">
        <v>627</v>
      </c>
      <c r="B205" t="s">
        <v>628</v>
      </c>
      <c r="C205" t="s">
        <v>100</v>
      </c>
      <c r="D205" t="s">
        <v>629</v>
      </c>
      <c r="E205" t="str" cm="1">
        <f t="array" ref="E205">_xll.BDH($D205,"MTG_GEN_CPR_3M","20090331","20090331","Dts=H")</f>
        <v>#N/A Invalid Field</v>
      </c>
      <c r="F205" t="str" cm="1">
        <f t="array" ref="F205">_xll.BDH($D205,"MTG_GEN_CPR_6M","20090331","20090331","Dts=H")</f>
        <v>#N/A Invalid Field</v>
      </c>
      <c r="G205" t="str" cm="1">
        <f t="array" ref="G205">_xll.BDH($D205,"MTG_GEN_CPR_12M","20090331","20090331","Dts=H")</f>
        <v>#N/A Invalid Field</v>
      </c>
      <c r="H205" t="str" cm="1">
        <f t="array" ref="H205">_xll.BDH($D205,"MTG_GEN_CPR_3M","20090610","20090610","Dts=H")</f>
        <v>#N/A Invalid Field</v>
      </c>
      <c r="I205" t="str" cm="1">
        <f t="array" ref="I205">_xll.BDH($D205,"MTG_GEN_CPR_6M","20090610","20090610","Dts=H")</f>
        <v>#N/A Invalid Field</v>
      </c>
      <c r="J205" t="str" cm="1">
        <f t="array" ref="J205">_xll.BDH($D205,"MTG_GEN_CPR_12M","20090610","20090610","Dts=H")</f>
        <v>#N/A Invalid Field</v>
      </c>
      <c r="K205" t="str" cm="1">
        <f t="array" ref="K205">_xll.BDP("31283H4W2 Mtge","MTG_PREPAY_TYP")</f>
        <v>PSA</v>
      </c>
      <c r="L205" t="str" cm="1">
        <f t="array" ref="L205">_xll.BDP(D205,"MTG_PREPAY_SPEED")</f>
        <v>#N/A N/A</v>
      </c>
      <c r="M205" cm="1">
        <f t="array" ref="M205">_xll.BDP(D205,"MTG_PL_PSA_1M ")</f>
        <v>1666.7</v>
      </c>
      <c r="N205" cm="1">
        <f t="array" ref="N205">_xll.BDP(D205,"MTG_PL_PSA_3M ")</f>
        <v>1666.7</v>
      </c>
      <c r="O205" cm="1">
        <f t="array" ref="O205">_xll.BDP(D205,"MTG_PL_PSA_6M ")</f>
        <v>1666.7</v>
      </c>
    </row>
    <row r="206" spans="1:15" x14ac:dyDescent="0.25">
      <c r="A206" t="s">
        <v>630</v>
      </c>
      <c r="B206" t="s">
        <v>631</v>
      </c>
      <c r="C206" t="s">
        <v>100</v>
      </c>
      <c r="D206" t="s">
        <v>632</v>
      </c>
      <c r="E206" t="str" cm="1">
        <f t="array" ref="E206">_xll.BDH($D206,"MTG_GEN_CPR_3M","20090331","20090331","Dts=H")</f>
        <v>#N/A Invalid Field</v>
      </c>
      <c r="F206" t="str" cm="1">
        <f t="array" ref="F206">_xll.BDH($D206,"MTG_GEN_CPR_6M","20090331","20090331","Dts=H")</f>
        <v>#N/A Invalid Field</v>
      </c>
      <c r="G206" t="str" cm="1">
        <f t="array" ref="G206">_xll.BDH($D206,"MTG_GEN_CPR_12M","20090331","20090331","Dts=H")</f>
        <v>#N/A Invalid Field</v>
      </c>
      <c r="H206" t="str" cm="1">
        <f t="array" ref="H206">_xll.BDH($D206,"MTG_GEN_CPR_3M","20090610","20090610","Dts=H")</f>
        <v>#N/A Invalid Field</v>
      </c>
      <c r="I206" t="str" cm="1">
        <f t="array" ref="I206">_xll.BDH($D206,"MTG_GEN_CPR_6M","20090610","20090610","Dts=H")</f>
        <v>#N/A Invalid Field</v>
      </c>
      <c r="J206" t="str" cm="1">
        <f t="array" ref="J206">_xll.BDH($D206,"MTG_GEN_CPR_12M","20090610","20090610","Dts=H")</f>
        <v>#N/A Invalid Field</v>
      </c>
      <c r="K206" t="str" cm="1">
        <f t="array" ref="K206">_xll.BDP("31283H4W2 Mtge","MTG_PREPAY_TYP")</f>
        <v>PSA</v>
      </c>
      <c r="L206" t="str" cm="1">
        <f t="array" ref="L206">_xll.BDP(D206,"MTG_PREPAY_SPEED")</f>
        <v>#N/A N/A</v>
      </c>
      <c r="M206" cm="1">
        <f t="array" ref="M206">_xll.BDP(D206,"MTG_PL_PSA_1M ")</f>
        <v>1666.7</v>
      </c>
      <c r="N206" cm="1">
        <f t="array" ref="N206">_xll.BDP(D206,"MTG_PL_PSA_3M ")</f>
        <v>1666.7</v>
      </c>
      <c r="O206" cm="1">
        <f t="array" ref="O206">_xll.BDP(D206,"MTG_PL_PSA_6M ")</f>
        <v>1666.7</v>
      </c>
    </row>
    <row r="207" spans="1:15" x14ac:dyDescent="0.25">
      <c r="A207" t="s">
        <v>633</v>
      </c>
      <c r="B207" t="s">
        <v>634</v>
      </c>
      <c r="C207" t="s">
        <v>100</v>
      </c>
      <c r="D207" t="s">
        <v>635</v>
      </c>
      <c r="E207" t="str" cm="1">
        <f t="array" ref="E207">_xll.BDH($D207,"MTG_GEN_CPR_3M","20090331","20090331","Dts=H")</f>
        <v>#N/A Invalid Field</v>
      </c>
      <c r="F207" t="str" cm="1">
        <f t="array" ref="F207">_xll.BDH($D207,"MTG_GEN_CPR_6M","20090331","20090331","Dts=H")</f>
        <v>#N/A Invalid Field</v>
      </c>
      <c r="G207" t="str" cm="1">
        <f t="array" ref="G207">_xll.BDH($D207,"MTG_GEN_CPR_12M","20090331","20090331","Dts=H")</f>
        <v>#N/A Invalid Field</v>
      </c>
      <c r="H207" t="str" cm="1">
        <f t="array" ref="H207">_xll.BDH($D207,"MTG_GEN_CPR_3M","20090610","20090610","Dts=H")</f>
        <v>#N/A Invalid Field</v>
      </c>
      <c r="I207" t="str" cm="1">
        <f t="array" ref="I207">_xll.BDH($D207,"MTG_GEN_CPR_6M","20090610","20090610","Dts=H")</f>
        <v>#N/A Invalid Field</v>
      </c>
      <c r="J207" t="str" cm="1">
        <f t="array" ref="J207">_xll.BDH($D207,"MTG_GEN_CPR_12M","20090610","20090610","Dts=H")</f>
        <v>#N/A Invalid Field</v>
      </c>
      <c r="K207" t="str" cm="1">
        <f t="array" ref="K207">_xll.BDP("31283H4W2 Mtge","MTG_PREPAY_TYP")</f>
        <v>PSA</v>
      </c>
      <c r="L207" t="str" cm="1">
        <f t="array" ref="L207">_xll.BDP(D207,"MTG_PREPAY_SPEED")</f>
        <v>#N/A N/A</v>
      </c>
      <c r="M207" cm="1">
        <f t="array" ref="M207">_xll.BDP(D207,"MTG_PL_PSA_1M ")</f>
        <v>0</v>
      </c>
      <c r="N207" cm="1">
        <f t="array" ref="N207">_xll.BDP(D207,"MTG_PL_PSA_3M ")</f>
        <v>-16.2</v>
      </c>
      <c r="O207" cm="1">
        <f t="array" ref="O207">_xll.BDP(D207,"MTG_PL_PSA_6M ")</f>
        <v>-136.9</v>
      </c>
    </row>
    <row r="208" spans="1:15" x14ac:dyDescent="0.25">
      <c r="A208" t="s">
        <v>636</v>
      </c>
      <c r="B208" t="s">
        <v>637</v>
      </c>
      <c r="C208" t="s">
        <v>100</v>
      </c>
      <c r="D208" t="s">
        <v>638</v>
      </c>
      <c r="E208" t="str" cm="1">
        <f t="array" ref="E208">_xll.BDH($D208,"MTG_GEN_CPR_3M","20090331","20090331","Dts=H")</f>
        <v>#N/A Invalid Field</v>
      </c>
      <c r="F208" t="str" cm="1">
        <f t="array" ref="F208">_xll.BDH($D208,"MTG_GEN_CPR_6M","20090331","20090331","Dts=H")</f>
        <v>#N/A Invalid Field</v>
      </c>
      <c r="G208" t="str" cm="1">
        <f t="array" ref="G208">_xll.BDH($D208,"MTG_GEN_CPR_12M","20090331","20090331","Dts=H")</f>
        <v>#N/A Invalid Field</v>
      </c>
      <c r="H208" t="str" cm="1">
        <f t="array" ref="H208">_xll.BDH($D208,"MTG_GEN_CPR_3M","20090610","20090610","Dts=H")</f>
        <v>#N/A Invalid Field</v>
      </c>
      <c r="I208" t="str" cm="1">
        <f t="array" ref="I208">_xll.BDH($D208,"MTG_GEN_CPR_6M","20090610","20090610","Dts=H")</f>
        <v>#N/A Invalid Field</v>
      </c>
      <c r="J208" t="str" cm="1">
        <f t="array" ref="J208">_xll.BDH($D208,"MTG_GEN_CPR_12M","20090610","20090610","Dts=H")</f>
        <v>#N/A Invalid Field</v>
      </c>
      <c r="K208" t="str" cm="1">
        <f t="array" ref="K208">_xll.BDP("31283H4W2 Mtge","MTG_PREPAY_TYP")</f>
        <v>PSA</v>
      </c>
      <c r="L208" t="str" cm="1">
        <f t="array" ref="L208">_xll.BDP(D208,"MTG_PREPAY_SPEED")</f>
        <v>#N/A N/A</v>
      </c>
      <c r="M208" cm="1">
        <f t="array" ref="M208">_xll.BDP(D208,"MTG_PL_PSA_1M ")</f>
        <v>0</v>
      </c>
      <c r="N208" cm="1">
        <f t="array" ref="N208">_xll.BDP(D208,"MTG_PL_PSA_3M ")</f>
        <v>1666.7</v>
      </c>
      <c r="O208" cm="1">
        <f t="array" ref="O208">_xll.BDP(D208,"MTG_PL_PSA_6M ")</f>
        <v>1665.3</v>
      </c>
    </row>
    <row r="209" spans="1:15" x14ac:dyDescent="0.25">
      <c r="A209" t="s">
        <v>639</v>
      </c>
      <c r="B209" t="s">
        <v>640</v>
      </c>
      <c r="C209" t="s">
        <v>100</v>
      </c>
      <c r="D209" t="s">
        <v>641</v>
      </c>
      <c r="E209" t="str" cm="1">
        <f t="array" ref="E209">_xll.BDH($D209,"MTG_GEN_CPR_3M","20090331","20090331","Dts=H")</f>
        <v>#N/A Invalid Field</v>
      </c>
      <c r="F209" t="str" cm="1">
        <f t="array" ref="F209">_xll.BDH($D209,"MTG_GEN_CPR_6M","20090331","20090331","Dts=H")</f>
        <v>#N/A Invalid Field</v>
      </c>
      <c r="G209" t="str" cm="1">
        <f t="array" ref="G209">_xll.BDH($D209,"MTG_GEN_CPR_12M","20090331","20090331","Dts=H")</f>
        <v>#N/A Invalid Field</v>
      </c>
      <c r="H209" t="str" cm="1">
        <f t="array" ref="H209">_xll.BDH($D209,"MTG_GEN_CPR_3M","20090610","20090610","Dts=H")</f>
        <v>#N/A Invalid Field</v>
      </c>
      <c r="I209" t="str" cm="1">
        <f t="array" ref="I209">_xll.BDH($D209,"MTG_GEN_CPR_6M","20090610","20090610","Dts=H")</f>
        <v>#N/A Invalid Field</v>
      </c>
      <c r="J209" t="str" cm="1">
        <f t="array" ref="J209">_xll.BDH($D209,"MTG_GEN_CPR_12M","20090610","20090610","Dts=H")</f>
        <v>#N/A Invalid Field</v>
      </c>
      <c r="K209" t="str" cm="1">
        <f t="array" ref="K209">_xll.BDP("31283H4W2 Mtge","MTG_PREPAY_TYP")</f>
        <v>PSA</v>
      </c>
      <c r="L209" cm="1">
        <f t="array" ref="L209">_xll.BDP(D209,"MTG_PREPAY_SPEED")</f>
        <v>171</v>
      </c>
      <c r="M209" cm="1">
        <f t="array" ref="M209">_xll.BDP(D209,"MTG_PL_PSA_1M ")</f>
        <v>158.80000000000001</v>
      </c>
      <c r="N209" cm="1">
        <f t="array" ref="N209">_xll.BDP(D209,"MTG_PL_PSA_3M ")</f>
        <v>552.79999999999995</v>
      </c>
      <c r="O209" cm="1">
        <f t="array" ref="O209">_xll.BDP(D209,"MTG_PL_PSA_6M ")</f>
        <v>356.9</v>
      </c>
    </row>
    <row r="210" spans="1:15" x14ac:dyDescent="0.25">
      <c r="A210" t="s">
        <v>642</v>
      </c>
      <c r="B210" t="s">
        <v>643</v>
      </c>
      <c r="C210" t="s">
        <v>100</v>
      </c>
      <c r="D210" t="s">
        <v>644</v>
      </c>
      <c r="E210" t="str" cm="1">
        <f t="array" ref="E210">_xll.BDH($D210,"MTG_GEN_CPR_3M","20090331","20090331","Dts=H")</f>
        <v>#N/A Invalid Field</v>
      </c>
      <c r="F210" t="str" cm="1">
        <f t="array" ref="F210">_xll.BDH($D210,"MTG_GEN_CPR_6M","20090331","20090331","Dts=H")</f>
        <v>#N/A Invalid Field</v>
      </c>
      <c r="G210" t="str" cm="1">
        <f t="array" ref="G210">_xll.BDH($D210,"MTG_GEN_CPR_12M","20090331","20090331","Dts=H")</f>
        <v>#N/A Invalid Field</v>
      </c>
      <c r="H210" t="str" cm="1">
        <f t="array" ref="H210">_xll.BDH($D210,"MTG_GEN_CPR_3M","20090610","20090610","Dts=H")</f>
        <v>#N/A Invalid Field</v>
      </c>
      <c r="I210" t="str" cm="1">
        <f t="array" ref="I210">_xll.BDH($D210,"MTG_GEN_CPR_6M","20090610","20090610","Dts=H")</f>
        <v>#N/A Invalid Field</v>
      </c>
      <c r="J210" t="str" cm="1">
        <f t="array" ref="J210">_xll.BDH($D210,"MTG_GEN_CPR_12M","20090610","20090610","Dts=H")</f>
        <v>#N/A Invalid Field</v>
      </c>
      <c r="K210" t="str" cm="1">
        <f t="array" ref="K210">_xll.BDP("31283H4W2 Mtge","MTG_PREPAY_TYP")</f>
        <v>PSA</v>
      </c>
      <c r="L210" t="str" cm="1">
        <f t="array" ref="L210">_xll.BDP(D210,"MTG_PREPAY_SPEED")</f>
        <v>#N/A N/A</v>
      </c>
      <c r="M210" cm="1">
        <f t="array" ref="M210">_xll.BDP(D210,"MTG_PL_PSA_1M ")</f>
        <v>0</v>
      </c>
      <c r="N210" cm="1">
        <f t="array" ref="N210">_xll.BDP(D210,"MTG_PL_PSA_3M ")</f>
        <v>876</v>
      </c>
      <c r="O210" cm="1">
        <f t="array" ref="O210">_xll.BDP(D210,"MTG_PL_PSA_6M ")</f>
        <v>1456.3</v>
      </c>
    </row>
    <row r="211" spans="1:15" x14ac:dyDescent="0.25">
      <c r="A211" t="s">
        <v>645</v>
      </c>
      <c r="B211" t="s">
        <v>646</v>
      </c>
      <c r="C211" t="s">
        <v>100</v>
      </c>
      <c r="D211" t="s">
        <v>647</v>
      </c>
      <c r="E211" t="str" cm="1">
        <f t="array" ref="E211">_xll.BDH($D211,"MTG_GEN_CPR_3M","20090331","20090331","Dts=H")</f>
        <v>#N/A Invalid Field</v>
      </c>
      <c r="F211" t="str" cm="1">
        <f t="array" ref="F211">_xll.BDH($D211,"MTG_GEN_CPR_6M","20090331","20090331","Dts=H")</f>
        <v>#N/A Invalid Field</v>
      </c>
      <c r="G211" t="str" cm="1">
        <f t="array" ref="G211">_xll.BDH($D211,"MTG_GEN_CPR_12M","20090331","20090331","Dts=H")</f>
        <v>#N/A Invalid Field</v>
      </c>
      <c r="H211" t="str" cm="1">
        <f t="array" ref="H211">_xll.BDH($D211,"MTG_GEN_CPR_3M","20090610","20090610","Dts=H")</f>
        <v>#N/A Invalid Field</v>
      </c>
      <c r="I211" t="str" cm="1">
        <f t="array" ref="I211">_xll.BDH($D211,"MTG_GEN_CPR_6M","20090610","20090610","Dts=H")</f>
        <v>#N/A Invalid Field</v>
      </c>
      <c r="J211" t="str" cm="1">
        <f t="array" ref="J211">_xll.BDH($D211,"MTG_GEN_CPR_12M","20090610","20090610","Dts=H")</f>
        <v>#N/A Invalid Field</v>
      </c>
      <c r="K211" t="str" cm="1">
        <f t="array" ref="K211">_xll.BDP("31283H4W2 Mtge","MTG_PREPAY_TYP")</f>
        <v>PSA</v>
      </c>
      <c r="L211" t="str" cm="1">
        <f t="array" ref="L211">_xll.BDP(D211,"MTG_PREPAY_SPEED")</f>
        <v>#N/A N/A</v>
      </c>
      <c r="M211" cm="1">
        <f t="array" ref="M211">_xll.BDP(D211,"MTG_PL_PSA_1M ")</f>
        <v>0</v>
      </c>
      <c r="N211" cm="1">
        <f t="array" ref="N211">_xll.BDP(D211,"MTG_PL_PSA_3M ")</f>
        <v>1588.1</v>
      </c>
      <c r="O211" cm="1">
        <f t="array" ref="O211">_xll.BDP(D211,"MTG_PL_PSA_6M ")</f>
        <v>1385.1</v>
      </c>
    </row>
    <row r="212" spans="1:15" x14ac:dyDescent="0.25">
      <c r="A212" t="s">
        <v>648</v>
      </c>
      <c r="B212" t="s">
        <v>649</v>
      </c>
      <c r="C212" t="s">
        <v>100</v>
      </c>
      <c r="D212" t="s">
        <v>650</v>
      </c>
      <c r="E212" t="str" cm="1">
        <f t="array" ref="E212">_xll.BDH($D212,"MTG_GEN_CPR_3M","20090331","20090331","Dts=H")</f>
        <v>#N/A Invalid Field</v>
      </c>
      <c r="F212" t="str" cm="1">
        <f t="array" ref="F212">_xll.BDH($D212,"MTG_GEN_CPR_6M","20090331","20090331","Dts=H")</f>
        <v>#N/A Invalid Field</v>
      </c>
      <c r="G212" t="str" cm="1">
        <f t="array" ref="G212">_xll.BDH($D212,"MTG_GEN_CPR_12M","20090331","20090331","Dts=H")</f>
        <v>#N/A Invalid Field</v>
      </c>
      <c r="H212" t="str" cm="1">
        <f t="array" ref="H212">_xll.BDH($D212,"MTG_GEN_CPR_3M","20090610","20090610","Dts=H")</f>
        <v>#N/A Invalid Field</v>
      </c>
      <c r="I212" t="str" cm="1">
        <f t="array" ref="I212">_xll.BDH($D212,"MTG_GEN_CPR_6M","20090610","20090610","Dts=H")</f>
        <v>#N/A Invalid Field</v>
      </c>
      <c r="J212" t="str" cm="1">
        <f t="array" ref="J212">_xll.BDH($D212,"MTG_GEN_CPR_12M","20090610","20090610","Dts=H")</f>
        <v>#N/A Invalid Field</v>
      </c>
      <c r="K212" t="str" cm="1">
        <f t="array" ref="K212">_xll.BDP("31283H4W2 Mtge","MTG_PREPAY_TYP")</f>
        <v>PSA</v>
      </c>
      <c r="L212" t="str" cm="1">
        <f t="array" ref="L212">_xll.BDP(D212,"MTG_PREPAY_SPEED")</f>
        <v>#N/A N/A</v>
      </c>
      <c r="M212" cm="1">
        <f t="array" ref="M212">_xll.BDP(D212,"MTG_PL_PSA_1M ")</f>
        <v>1666.7</v>
      </c>
      <c r="N212" cm="1">
        <f t="array" ref="N212">_xll.BDP(D212,"MTG_PL_PSA_3M ")</f>
        <v>1666.7</v>
      </c>
      <c r="O212" cm="1">
        <f t="array" ref="O212">_xll.BDP(D212,"MTG_PL_PSA_6M ")</f>
        <v>1666.7</v>
      </c>
    </row>
    <row r="213" spans="1:15" x14ac:dyDescent="0.25">
      <c r="A213" t="s">
        <v>651</v>
      </c>
      <c r="B213" t="s">
        <v>652</v>
      </c>
      <c r="C213" t="s">
        <v>100</v>
      </c>
      <c r="D213" t="s">
        <v>653</v>
      </c>
      <c r="E213" t="str" cm="1">
        <f t="array" ref="E213">_xll.BDH($D213,"MTG_GEN_CPR_3M","20090331","20090331","Dts=H")</f>
        <v>#N/A Invalid Field</v>
      </c>
      <c r="F213" t="str" cm="1">
        <f t="array" ref="F213">_xll.BDH($D213,"MTG_GEN_CPR_6M","20090331","20090331","Dts=H")</f>
        <v>#N/A Invalid Field</v>
      </c>
      <c r="G213" t="str" cm="1">
        <f t="array" ref="G213">_xll.BDH($D213,"MTG_GEN_CPR_12M","20090331","20090331","Dts=H")</f>
        <v>#N/A Invalid Field</v>
      </c>
      <c r="H213" t="str" cm="1">
        <f t="array" ref="H213">_xll.BDH($D213,"MTG_GEN_CPR_3M","20090610","20090610","Dts=H")</f>
        <v>#N/A Invalid Field</v>
      </c>
      <c r="I213" t="str" cm="1">
        <f t="array" ref="I213">_xll.BDH($D213,"MTG_GEN_CPR_6M","20090610","20090610","Dts=H")</f>
        <v>#N/A Invalid Field</v>
      </c>
      <c r="J213" t="str" cm="1">
        <f t="array" ref="J213">_xll.BDH($D213,"MTG_GEN_CPR_12M","20090610","20090610","Dts=H")</f>
        <v>#N/A Invalid Field</v>
      </c>
      <c r="K213" t="str" cm="1">
        <f t="array" ref="K213">_xll.BDP("31283H4W2 Mtge","MTG_PREPAY_TYP")</f>
        <v>PSA</v>
      </c>
      <c r="L213" t="str" cm="1">
        <f t="array" ref="L213">_xll.BDP(D213,"MTG_PREPAY_SPEED")</f>
        <v>#N/A N/A</v>
      </c>
      <c r="M213" cm="1">
        <f t="array" ref="M213">_xll.BDP(D213,"MTG_PL_PSA_1M ")</f>
        <v>1666.7</v>
      </c>
      <c r="N213" cm="1">
        <f t="array" ref="N213">_xll.BDP(D213,"MTG_PL_PSA_3M ")</f>
        <v>1666.7</v>
      </c>
      <c r="O213" cm="1">
        <f t="array" ref="O213">_xll.BDP(D213,"MTG_PL_PSA_6M ")</f>
        <v>1666.7</v>
      </c>
    </row>
    <row r="214" spans="1:15" x14ac:dyDescent="0.25">
      <c r="A214" t="s">
        <v>654</v>
      </c>
      <c r="B214" t="s">
        <v>655</v>
      </c>
      <c r="C214" t="s">
        <v>100</v>
      </c>
      <c r="D214" t="s">
        <v>656</v>
      </c>
      <c r="E214" t="str" cm="1">
        <f t="array" ref="E214">_xll.BDH($D214,"MTG_GEN_CPR_3M","20090331","20090331","Dts=H")</f>
        <v>#N/A Invalid Field</v>
      </c>
      <c r="F214" t="str" cm="1">
        <f t="array" ref="F214">_xll.BDH($D214,"MTG_GEN_CPR_6M","20090331","20090331","Dts=H")</f>
        <v>#N/A Invalid Field</v>
      </c>
      <c r="G214" t="str" cm="1">
        <f t="array" ref="G214">_xll.BDH($D214,"MTG_GEN_CPR_12M","20090331","20090331","Dts=H")</f>
        <v>#N/A Invalid Field</v>
      </c>
      <c r="H214" t="str" cm="1">
        <f t="array" ref="H214">_xll.BDH($D214,"MTG_GEN_CPR_3M","20090610","20090610","Dts=H")</f>
        <v>#N/A Invalid Field</v>
      </c>
      <c r="I214" t="str" cm="1">
        <f t="array" ref="I214">_xll.BDH($D214,"MTG_GEN_CPR_6M","20090610","20090610","Dts=H")</f>
        <v>#N/A Invalid Field</v>
      </c>
      <c r="J214" t="str" cm="1">
        <f t="array" ref="J214">_xll.BDH($D214,"MTG_GEN_CPR_12M","20090610","20090610","Dts=H")</f>
        <v>#N/A Invalid Field</v>
      </c>
      <c r="K214" t="str" cm="1">
        <f t="array" ref="K214">_xll.BDP("31283H4W2 Mtge","MTG_PREPAY_TYP")</f>
        <v>PSA</v>
      </c>
      <c r="L214" t="str" cm="1">
        <f t="array" ref="L214">_xll.BDP(D214,"MTG_PREPAY_SPEED")</f>
        <v>#N/A N/A</v>
      </c>
      <c r="M214" cm="1">
        <f t="array" ref="M214">_xll.BDP(D214,"MTG_PL_PSA_1M ")</f>
        <v>1666.7</v>
      </c>
      <c r="N214" cm="1">
        <f t="array" ref="N214">_xll.BDP(D214,"MTG_PL_PSA_3M ")</f>
        <v>1666.7</v>
      </c>
      <c r="O214" cm="1">
        <f t="array" ref="O214">_xll.BDP(D214,"MTG_PL_PSA_6M ")</f>
        <v>1666.7</v>
      </c>
    </row>
    <row r="215" spans="1:15" x14ac:dyDescent="0.25">
      <c r="A215" t="s">
        <v>657</v>
      </c>
      <c r="B215" t="s">
        <v>658</v>
      </c>
      <c r="C215" t="s">
        <v>100</v>
      </c>
      <c r="D215" t="s">
        <v>659</v>
      </c>
      <c r="E215" t="str" cm="1">
        <f t="array" ref="E215">_xll.BDH($D215,"MTG_GEN_CPR_3M","20090331","20090331","Dts=H")</f>
        <v>#N/A Invalid Field</v>
      </c>
      <c r="F215" t="str" cm="1">
        <f t="array" ref="F215">_xll.BDH($D215,"MTG_GEN_CPR_6M","20090331","20090331","Dts=H")</f>
        <v>#N/A Invalid Field</v>
      </c>
      <c r="G215" t="str" cm="1">
        <f t="array" ref="G215">_xll.BDH($D215,"MTG_GEN_CPR_12M","20090331","20090331","Dts=H")</f>
        <v>#N/A Invalid Field</v>
      </c>
      <c r="H215" t="str" cm="1">
        <f t="array" ref="H215">_xll.BDH($D215,"MTG_GEN_CPR_3M","20090610","20090610","Dts=H")</f>
        <v>#N/A Invalid Field</v>
      </c>
      <c r="I215" t="str" cm="1">
        <f t="array" ref="I215">_xll.BDH($D215,"MTG_GEN_CPR_6M","20090610","20090610","Dts=H")</f>
        <v>#N/A Invalid Field</v>
      </c>
      <c r="J215" t="str" cm="1">
        <f t="array" ref="J215">_xll.BDH($D215,"MTG_GEN_CPR_12M","20090610","20090610","Dts=H")</f>
        <v>#N/A Invalid Field</v>
      </c>
      <c r="K215" t="str" cm="1">
        <f t="array" ref="K215">_xll.BDP("31283H4W2 Mtge","MTG_PREPAY_TYP")</f>
        <v>PSA</v>
      </c>
      <c r="L215" cm="1">
        <f t="array" ref="L215">_xll.BDP(D215,"MTG_PREPAY_SPEED")</f>
        <v>182</v>
      </c>
      <c r="M215" cm="1">
        <f t="array" ref="M215">_xll.BDP(D215,"MTG_PL_PSA_1M ")</f>
        <v>352.2</v>
      </c>
      <c r="N215" cm="1">
        <f t="array" ref="N215">_xll.BDP(D215,"MTG_PL_PSA_3M ")</f>
        <v>229.2</v>
      </c>
      <c r="O215" cm="1">
        <f t="array" ref="O215">_xll.BDP(D215,"MTG_PL_PSA_6M ")</f>
        <v>253.9</v>
      </c>
    </row>
    <row r="216" spans="1:15" x14ac:dyDescent="0.25">
      <c r="A216" t="s">
        <v>660</v>
      </c>
      <c r="B216" t="s">
        <v>661</v>
      </c>
      <c r="C216" t="s">
        <v>100</v>
      </c>
      <c r="D216" t="s">
        <v>662</v>
      </c>
      <c r="E216" t="str" cm="1">
        <f t="array" ref="E216">_xll.BDH($D216,"MTG_GEN_CPR_3M","20090331","20090331","Dts=H")</f>
        <v>#N/A Invalid Field</v>
      </c>
      <c r="F216" t="str" cm="1">
        <f t="array" ref="F216">_xll.BDH($D216,"MTG_GEN_CPR_6M","20090331","20090331","Dts=H")</f>
        <v>#N/A Invalid Field</v>
      </c>
      <c r="G216" t="str" cm="1">
        <f t="array" ref="G216">_xll.BDH($D216,"MTG_GEN_CPR_12M","20090331","20090331","Dts=H")</f>
        <v>#N/A Invalid Field</v>
      </c>
      <c r="H216" t="str" cm="1">
        <f t="array" ref="H216">_xll.BDH($D216,"MTG_GEN_CPR_3M","20090610","20090610","Dts=H")</f>
        <v>#N/A Invalid Field</v>
      </c>
      <c r="I216" t="str" cm="1">
        <f t="array" ref="I216">_xll.BDH($D216,"MTG_GEN_CPR_6M","20090610","20090610","Dts=H")</f>
        <v>#N/A Invalid Field</v>
      </c>
      <c r="J216" t="str" cm="1">
        <f t="array" ref="J216">_xll.BDH($D216,"MTG_GEN_CPR_12M","20090610","20090610","Dts=H")</f>
        <v>#N/A Invalid Field</v>
      </c>
      <c r="K216" t="str" cm="1">
        <f t="array" ref="K216">_xll.BDP("31283H4W2 Mtge","MTG_PREPAY_TYP")</f>
        <v>PSA</v>
      </c>
      <c r="L216" t="str" cm="1">
        <f t="array" ref="L216">_xll.BDP(D216,"MTG_PREPAY_SPEED")</f>
        <v>#N/A N/A</v>
      </c>
      <c r="M216" cm="1">
        <f t="array" ref="M216">_xll.BDP(D216,"MTG_PL_PSA_1M ")</f>
        <v>0</v>
      </c>
      <c r="N216" cm="1">
        <f t="array" ref="N216">_xll.BDP(D216,"MTG_PL_PSA_3M ")</f>
        <v>1612</v>
      </c>
      <c r="O216" cm="1">
        <f t="array" ref="O216">_xll.BDP(D216,"MTG_PL_PSA_6M ")</f>
        <v>1545.6</v>
      </c>
    </row>
    <row r="217" spans="1:15" x14ac:dyDescent="0.25">
      <c r="A217" t="s">
        <v>663</v>
      </c>
      <c r="B217" t="s">
        <v>664</v>
      </c>
      <c r="C217" t="s">
        <v>100</v>
      </c>
      <c r="D217" t="s">
        <v>665</v>
      </c>
      <c r="E217" t="str" cm="1">
        <f t="array" ref="E217">_xll.BDH($D217,"MTG_GEN_CPR_3M","20090331","20090331","Dts=H")</f>
        <v>#N/A Invalid Field</v>
      </c>
      <c r="F217" t="str" cm="1">
        <f t="array" ref="F217">_xll.BDH($D217,"MTG_GEN_CPR_6M","20090331","20090331","Dts=H")</f>
        <v>#N/A Invalid Field</v>
      </c>
      <c r="G217" t="str" cm="1">
        <f t="array" ref="G217">_xll.BDH($D217,"MTG_GEN_CPR_12M","20090331","20090331","Dts=H")</f>
        <v>#N/A Invalid Field</v>
      </c>
      <c r="H217" t="str" cm="1">
        <f t="array" ref="H217">_xll.BDH($D217,"MTG_GEN_CPR_3M","20090610","20090610","Dts=H")</f>
        <v>#N/A Invalid Field</v>
      </c>
      <c r="I217" t="str" cm="1">
        <f t="array" ref="I217">_xll.BDH($D217,"MTG_GEN_CPR_6M","20090610","20090610","Dts=H")</f>
        <v>#N/A Invalid Field</v>
      </c>
      <c r="J217" t="str" cm="1">
        <f t="array" ref="J217">_xll.BDH($D217,"MTG_GEN_CPR_12M","20090610","20090610","Dts=H")</f>
        <v>#N/A Invalid Field</v>
      </c>
      <c r="K217" t="str" cm="1">
        <f t="array" ref="K217">_xll.BDP("31283H4W2 Mtge","MTG_PREPAY_TYP")</f>
        <v>PSA</v>
      </c>
      <c r="L217" t="str" cm="1">
        <f t="array" ref="L217">_xll.BDP(D217,"MTG_PREPAY_SPEED")</f>
        <v>#N/A N/A</v>
      </c>
      <c r="M217" cm="1">
        <f t="array" ref="M217">_xll.BDP(D217,"MTG_PL_PSA_1M ")</f>
        <v>0</v>
      </c>
      <c r="N217" cm="1">
        <f t="array" ref="N217">_xll.BDP(D217,"MTG_PL_PSA_3M ")</f>
        <v>1631</v>
      </c>
      <c r="O217" cm="1">
        <f t="array" ref="O217">_xll.BDP(D217,"MTG_PL_PSA_6M ")</f>
        <v>1632.9</v>
      </c>
    </row>
    <row r="218" spans="1:15" x14ac:dyDescent="0.25">
      <c r="A218" t="s">
        <v>666</v>
      </c>
      <c r="B218" t="s">
        <v>667</v>
      </c>
      <c r="C218" t="s">
        <v>100</v>
      </c>
      <c r="D218" t="s">
        <v>668</v>
      </c>
      <c r="E218" t="str" cm="1">
        <f t="array" ref="E218">_xll.BDH($D218,"MTG_GEN_CPR_3M","20090331","20090331","Dts=H")</f>
        <v>#N/A Invalid Field</v>
      </c>
      <c r="F218" t="str" cm="1">
        <f t="array" ref="F218">_xll.BDH($D218,"MTG_GEN_CPR_6M","20090331","20090331","Dts=H")</f>
        <v>#N/A Invalid Field</v>
      </c>
      <c r="G218" t="str" cm="1">
        <f t="array" ref="G218">_xll.BDH($D218,"MTG_GEN_CPR_12M","20090331","20090331","Dts=H")</f>
        <v>#N/A Invalid Field</v>
      </c>
      <c r="H218" t="str" cm="1">
        <f t="array" ref="H218">_xll.BDH($D218,"MTG_GEN_CPR_3M","20090610","20090610","Dts=H")</f>
        <v>#N/A Invalid Field</v>
      </c>
      <c r="I218" t="str" cm="1">
        <f t="array" ref="I218">_xll.BDH($D218,"MTG_GEN_CPR_6M","20090610","20090610","Dts=H")</f>
        <v>#N/A Invalid Field</v>
      </c>
      <c r="J218" t="str" cm="1">
        <f t="array" ref="J218">_xll.BDH($D218,"MTG_GEN_CPR_12M","20090610","20090610","Dts=H")</f>
        <v>#N/A Invalid Field</v>
      </c>
      <c r="K218" t="str" cm="1">
        <f t="array" ref="K218">_xll.BDP("31283H4W2 Mtge","MTG_PREPAY_TYP")</f>
        <v>PSA</v>
      </c>
      <c r="L218" t="str" cm="1">
        <f t="array" ref="L218">_xll.BDP(D218,"MTG_PREPAY_SPEED")</f>
        <v>#N/A N/A</v>
      </c>
      <c r="M218" cm="1">
        <f t="array" ref="M218">_xll.BDP(D218,"MTG_PL_PSA_1M ")</f>
        <v>1666.7</v>
      </c>
      <c r="N218" cm="1">
        <f t="array" ref="N218">_xll.BDP(D218,"MTG_PL_PSA_3M ")</f>
        <v>1666.7</v>
      </c>
      <c r="O218" cm="1">
        <f t="array" ref="O218">_xll.BDP(D218,"MTG_PL_PSA_6M ")</f>
        <v>1666.7</v>
      </c>
    </row>
    <row r="219" spans="1:15" x14ac:dyDescent="0.25">
      <c r="A219" t="s">
        <v>669</v>
      </c>
      <c r="B219" t="s">
        <v>670</v>
      </c>
      <c r="C219" t="s">
        <v>100</v>
      </c>
      <c r="D219" t="s">
        <v>671</v>
      </c>
      <c r="E219" t="str" cm="1">
        <f t="array" ref="E219">_xll.BDH($D219,"MTG_GEN_CPR_3M","20090331","20090331","Dts=H")</f>
        <v>#N/A Invalid Field</v>
      </c>
      <c r="F219" t="str" cm="1">
        <f t="array" ref="F219">_xll.BDH($D219,"MTG_GEN_CPR_6M","20090331","20090331","Dts=H")</f>
        <v>#N/A Invalid Field</v>
      </c>
      <c r="G219" t="str" cm="1">
        <f t="array" ref="G219">_xll.BDH($D219,"MTG_GEN_CPR_12M","20090331","20090331","Dts=H")</f>
        <v>#N/A Invalid Field</v>
      </c>
      <c r="H219" t="str" cm="1">
        <f t="array" ref="H219">_xll.BDH($D219,"MTG_GEN_CPR_3M","20090610","20090610","Dts=H")</f>
        <v>#N/A Invalid Field</v>
      </c>
      <c r="I219" t="str" cm="1">
        <f t="array" ref="I219">_xll.BDH($D219,"MTG_GEN_CPR_6M","20090610","20090610","Dts=H")</f>
        <v>#N/A Invalid Field</v>
      </c>
      <c r="J219" t="str" cm="1">
        <f t="array" ref="J219">_xll.BDH($D219,"MTG_GEN_CPR_12M","20090610","20090610","Dts=H")</f>
        <v>#N/A Invalid Field</v>
      </c>
      <c r="K219" t="str" cm="1">
        <f t="array" ref="K219">_xll.BDP("31283H4W2 Mtge","MTG_PREPAY_TYP")</f>
        <v>PSA</v>
      </c>
      <c r="L219" cm="1">
        <f t="array" ref="L219">_xll.BDP(D219,"MTG_PREPAY_SPEED")</f>
        <v>3.16</v>
      </c>
      <c r="M219" cm="1">
        <f t="array" ref="M219">_xll.BDP(D219,"MTG_PL_PSA_1M ")</f>
        <v>38</v>
      </c>
      <c r="N219" cm="1">
        <f t="array" ref="N219">_xll.BDP(D219,"MTG_PL_PSA_3M ")</f>
        <v>53.6</v>
      </c>
      <c r="O219" cm="1">
        <f t="array" ref="O219">_xll.BDP(D219,"MTG_PL_PSA_6M ")</f>
        <v>52.7</v>
      </c>
    </row>
    <row r="220" spans="1:15" x14ac:dyDescent="0.25">
      <c r="A220" t="s">
        <v>672</v>
      </c>
      <c r="B220" t="s">
        <v>673</v>
      </c>
      <c r="C220" t="s">
        <v>100</v>
      </c>
      <c r="D220" t="s">
        <v>674</v>
      </c>
      <c r="E220" t="str" cm="1">
        <f t="array" ref="E220">_xll.BDH($D220,"MTG_GEN_CPR_3M","20090331","20090331","Dts=H")</f>
        <v>#N/A Invalid Field</v>
      </c>
      <c r="F220" t="str" cm="1">
        <f t="array" ref="F220">_xll.BDH($D220,"MTG_GEN_CPR_6M","20090331","20090331","Dts=H")</f>
        <v>#N/A Invalid Field</v>
      </c>
      <c r="G220" t="str" cm="1">
        <f t="array" ref="G220">_xll.BDH($D220,"MTG_GEN_CPR_12M","20090331","20090331","Dts=H")</f>
        <v>#N/A Invalid Field</v>
      </c>
      <c r="H220" t="str" cm="1">
        <f t="array" ref="H220">_xll.BDH($D220,"MTG_GEN_CPR_3M","20090610","20090610","Dts=H")</f>
        <v>#N/A Invalid Field</v>
      </c>
      <c r="I220" t="str" cm="1">
        <f t="array" ref="I220">_xll.BDH($D220,"MTG_GEN_CPR_6M","20090610","20090610","Dts=H")</f>
        <v>#N/A Invalid Field</v>
      </c>
      <c r="J220" t="str" cm="1">
        <f t="array" ref="J220">_xll.BDH($D220,"MTG_GEN_CPR_12M","20090610","20090610","Dts=H")</f>
        <v>#N/A Invalid Field</v>
      </c>
      <c r="K220" t="str" cm="1">
        <f t="array" ref="K220">_xll.BDP("31283H4W2 Mtge","MTG_PREPAY_TYP")</f>
        <v>PSA</v>
      </c>
      <c r="L220" t="str" cm="1">
        <f t="array" ref="L220">_xll.BDP(D220,"MTG_PREPAY_SPEED")</f>
        <v>#N/A N/A</v>
      </c>
      <c r="M220" cm="1">
        <f t="array" ref="M220">_xll.BDP(D220,"MTG_PL_PSA_1M ")</f>
        <v>0</v>
      </c>
      <c r="N220" cm="1">
        <f t="array" ref="N220">_xll.BDP(D220,"MTG_PL_PSA_3M ")</f>
        <v>1656.9</v>
      </c>
      <c r="O220" cm="1">
        <f t="array" ref="O220">_xll.BDP(D220,"MTG_PL_PSA_6M ")</f>
        <v>1642.1</v>
      </c>
    </row>
    <row r="221" spans="1:15" x14ac:dyDescent="0.25">
      <c r="A221" t="s">
        <v>675</v>
      </c>
      <c r="B221" t="s">
        <v>676</v>
      </c>
      <c r="C221" t="s">
        <v>100</v>
      </c>
      <c r="D221" t="s">
        <v>677</v>
      </c>
      <c r="E221" t="str" cm="1">
        <f t="array" ref="E221">_xll.BDH($D221,"MTG_GEN_CPR_3M","20090331","20090331","Dts=H")</f>
        <v>#N/A Invalid Field</v>
      </c>
      <c r="F221" t="str" cm="1">
        <f t="array" ref="F221">_xll.BDH($D221,"MTG_GEN_CPR_6M","20090331","20090331","Dts=H")</f>
        <v>#N/A Invalid Field</v>
      </c>
      <c r="G221" t="str" cm="1">
        <f t="array" ref="G221">_xll.BDH($D221,"MTG_GEN_CPR_12M","20090331","20090331","Dts=H")</f>
        <v>#N/A Invalid Field</v>
      </c>
      <c r="H221" t="str" cm="1">
        <f t="array" ref="H221">_xll.BDH($D221,"MTG_GEN_CPR_3M","20090610","20090610","Dts=H")</f>
        <v>#N/A Invalid Field</v>
      </c>
      <c r="I221" t="str" cm="1">
        <f t="array" ref="I221">_xll.BDH($D221,"MTG_GEN_CPR_6M","20090610","20090610","Dts=H")</f>
        <v>#N/A Invalid Field</v>
      </c>
      <c r="J221" t="str" cm="1">
        <f t="array" ref="J221">_xll.BDH($D221,"MTG_GEN_CPR_12M","20090610","20090610","Dts=H")</f>
        <v>#N/A Invalid Field</v>
      </c>
      <c r="K221" t="str" cm="1">
        <f t="array" ref="K221">_xll.BDP("31283H4W2 Mtge","MTG_PREPAY_TYP")</f>
        <v>PSA</v>
      </c>
      <c r="L221" cm="1">
        <f t="array" ref="L221">_xll.BDP(D221,"MTG_PREPAY_SPEED")</f>
        <v>161</v>
      </c>
      <c r="M221" cm="1">
        <f t="array" ref="M221">_xll.BDP(D221,"MTG_PL_PSA_1M ")</f>
        <v>148.19999999999999</v>
      </c>
      <c r="N221" cm="1">
        <f t="array" ref="N221">_xll.BDP(D221,"MTG_PL_PSA_3M ")</f>
        <v>176.7</v>
      </c>
      <c r="O221" cm="1">
        <f t="array" ref="O221">_xll.BDP(D221,"MTG_PL_PSA_6M ")</f>
        <v>170.6</v>
      </c>
    </row>
    <row r="222" spans="1:15" x14ac:dyDescent="0.25">
      <c r="A222" t="s">
        <v>678</v>
      </c>
      <c r="B222" t="s">
        <v>679</v>
      </c>
      <c r="C222" t="s">
        <v>100</v>
      </c>
      <c r="D222" t="s">
        <v>680</v>
      </c>
      <c r="E222" t="str" cm="1">
        <f t="array" ref="E222">_xll.BDH($D222,"MTG_GEN_CPR_3M","20090331","20090331","Dts=H")</f>
        <v>#N/A Invalid Field</v>
      </c>
      <c r="F222" t="str" cm="1">
        <f t="array" ref="F222">_xll.BDH($D222,"MTG_GEN_CPR_6M","20090331","20090331","Dts=H")</f>
        <v>#N/A Invalid Field</v>
      </c>
      <c r="G222" t="str" cm="1">
        <f t="array" ref="G222">_xll.BDH($D222,"MTG_GEN_CPR_12M","20090331","20090331","Dts=H")</f>
        <v>#N/A Invalid Field</v>
      </c>
      <c r="H222" t="str" cm="1">
        <f t="array" ref="H222">_xll.BDH($D222,"MTG_GEN_CPR_3M","20090610","20090610","Dts=H")</f>
        <v>#N/A Invalid Field</v>
      </c>
      <c r="I222" t="str" cm="1">
        <f t="array" ref="I222">_xll.BDH($D222,"MTG_GEN_CPR_6M","20090610","20090610","Dts=H")</f>
        <v>#N/A Invalid Field</v>
      </c>
      <c r="J222" t="str" cm="1">
        <f t="array" ref="J222">_xll.BDH($D222,"MTG_GEN_CPR_12M","20090610","20090610","Dts=H")</f>
        <v>#N/A Invalid Field</v>
      </c>
      <c r="K222" t="str" cm="1">
        <f t="array" ref="K222">_xll.BDP("31283H4W2 Mtge","MTG_PREPAY_TYP")</f>
        <v>PSA</v>
      </c>
      <c r="L222" cm="1">
        <f t="array" ref="L222">_xll.BDP(D222,"MTG_PREPAY_SPEED")</f>
        <v>0</v>
      </c>
      <c r="M222" cm="1">
        <f t="array" ref="M222">_xll.BDP(D222,"MTG_PL_PSA_1M ")</f>
        <v>-0.1</v>
      </c>
      <c r="N222" cm="1">
        <f t="array" ref="N222">_xll.BDP(D222,"MTG_PL_PSA_3M ")</f>
        <v>0</v>
      </c>
      <c r="O222" cm="1">
        <f t="array" ref="O222">_xll.BDP(D222,"MTG_PL_PSA_6M ")</f>
        <v>0</v>
      </c>
    </row>
    <row r="223" spans="1:15" x14ac:dyDescent="0.25">
      <c r="A223" t="s">
        <v>681</v>
      </c>
      <c r="B223" t="s">
        <v>682</v>
      </c>
      <c r="C223" t="s">
        <v>100</v>
      </c>
      <c r="D223" t="s">
        <v>683</v>
      </c>
      <c r="E223" t="str" cm="1">
        <f t="array" ref="E223">_xll.BDH($D223,"MTG_GEN_CPR_3M","20090331","20090331","Dts=H")</f>
        <v>#N/A Invalid Field</v>
      </c>
      <c r="F223" t="str" cm="1">
        <f t="array" ref="F223">_xll.BDH($D223,"MTG_GEN_CPR_6M","20090331","20090331","Dts=H")</f>
        <v>#N/A Invalid Field</v>
      </c>
      <c r="G223" t="str" cm="1">
        <f t="array" ref="G223">_xll.BDH($D223,"MTG_GEN_CPR_12M","20090331","20090331","Dts=H")</f>
        <v>#N/A Invalid Field</v>
      </c>
      <c r="H223" t="str" cm="1">
        <f t="array" ref="H223">_xll.BDH($D223,"MTG_GEN_CPR_3M","20090610","20090610","Dts=H")</f>
        <v>#N/A Invalid Field</v>
      </c>
      <c r="I223" t="str" cm="1">
        <f t="array" ref="I223">_xll.BDH($D223,"MTG_GEN_CPR_6M","20090610","20090610","Dts=H")</f>
        <v>#N/A Invalid Field</v>
      </c>
      <c r="J223" t="str" cm="1">
        <f t="array" ref="J223">_xll.BDH($D223,"MTG_GEN_CPR_12M","20090610","20090610","Dts=H")</f>
        <v>#N/A Invalid Field</v>
      </c>
      <c r="K223" t="str" cm="1">
        <f t="array" ref="K223">_xll.BDP("31283H4W2 Mtge","MTG_PREPAY_TYP")</f>
        <v>PSA</v>
      </c>
      <c r="L223" t="str" cm="1">
        <f t="array" ref="L223">_xll.BDP(D223,"MTG_PREPAY_SPEED")</f>
        <v>#N/A N/A</v>
      </c>
      <c r="M223" cm="1">
        <f t="array" ref="M223">_xll.BDP(D223,"MTG_PL_PSA_1M ")</f>
        <v>0</v>
      </c>
      <c r="N223" cm="1">
        <f t="array" ref="N223">_xll.BDP(D223,"MTG_PL_PSA_3M ")</f>
        <v>1438.6</v>
      </c>
      <c r="O223" cm="1">
        <f t="array" ref="O223">_xll.BDP(D223,"MTG_PL_PSA_6M ")</f>
        <v>1294.4000000000001</v>
      </c>
    </row>
    <row r="224" spans="1:15" x14ac:dyDescent="0.25">
      <c r="A224" t="s">
        <v>684</v>
      </c>
      <c r="B224" t="s">
        <v>685</v>
      </c>
      <c r="C224" t="s">
        <v>100</v>
      </c>
      <c r="D224" t="s">
        <v>686</v>
      </c>
      <c r="E224" t="str" cm="1">
        <f t="array" ref="E224">_xll.BDH($D224,"MTG_GEN_CPR_3M","20090331","20090331","Dts=H")</f>
        <v>#N/A Invalid Field</v>
      </c>
      <c r="F224" t="str" cm="1">
        <f t="array" ref="F224">_xll.BDH($D224,"MTG_GEN_CPR_6M","20090331","20090331","Dts=H")</f>
        <v>#N/A Invalid Field</v>
      </c>
      <c r="G224" t="str" cm="1">
        <f t="array" ref="G224">_xll.BDH($D224,"MTG_GEN_CPR_12M","20090331","20090331","Dts=H")</f>
        <v>#N/A Invalid Field</v>
      </c>
      <c r="H224" t="str" cm="1">
        <f t="array" ref="H224">_xll.BDH($D224,"MTG_GEN_CPR_3M","20090610","20090610","Dts=H")</f>
        <v>#N/A Invalid Field</v>
      </c>
      <c r="I224" t="str" cm="1">
        <f t="array" ref="I224">_xll.BDH($D224,"MTG_GEN_CPR_6M","20090610","20090610","Dts=H")</f>
        <v>#N/A Invalid Field</v>
      </c>
      <c r="J224" t="str" cm="1">
        <f t="array" ref="J224">_xll.BDH($D224,"MTG_GEN_CPR_12M","20090610","20090610","Dts=H")</f>
        <v>#N/A Invalid Field</v>
      </c>
      <c r="K224" t="str" cm="1">
        <f t="array" ref="K224">_xll.BDP("31283H4W2 Mtge","MTG_PREPAY_TYP")</f>
        <v>PSA</v>
      </c>
      <c r="L224" cm="1">
        <f t="array" ref="L224">_xll.BDP(D224,"MTG_PREPAY_SPEED")</f>
        <v>6.68</v>
      </c>
      <c r="M224" cm="1">
        <f t="array" ref="M224">_xll.BDP(D224,"MTG_PL_PSA_1M ")</f>
        <v>4</v>
      </c>
      <c r="N224" cm="1">
        <f t="array" ref="N224">_xll.BDP(D224,"MTG_PL_PSA_3M ")</f>
        <v>3.8</v>
      </c>
      <c r="O224" cm="1">
        <f t="array" ref="O224">_xll.BDP(D224,"MTG_PL_PSA_6M ")</f>
        <v>111.4</v>
      </c>
    </row>
    <row r="225" spans="1:15" x14ac:dyDescent="0.25">
      <c r="A225" t="s">
        <v>687</v>
      </c>
      <c r="B225" t="s">
        <v>688</v>
      </c>
      <c r="C225" t="s">
        <v>100</v>
      </c>
      <c r="D225" t="s">
        <v>689</v>
      </c>
      <c r="E225" t="str" cm="1">
        <f t="array" ref="E225">_xll.BDH($D225,"MTG_GEN_CPR_3M","20090331","20090331","Dts=H")</f>
        <v>#N/A Invalid Field</v>
      </c>
      <c r="F225" t="str" cm="1">
        <f t="array" ref="F225">_xll.BDH($D225,"MTG_GEN_CPR_6M","20090331","20090331","Dts=H")</f>
        <v>#N/A Invalid Field</v>
      </c>
      <c r="G225" t="str" cm="1">
        <f t="array" ref="G225">_xll.BDH($D225,"MTG_GEN_CPR_12M","20090331","20090331","Dts=H")</f>
        <v>#N/A Invalid Field</v>
      </c>
      <c r="H225" t="str" cm="1">
        <f t="array" ref="H225">_xll.BDH($D225,"MTG_GEN_CPR_3M","20090610","20090610","Dts=H")</f>
        <v>#N/A Invalid Field</v>
      </c>
      <c r="I225" t="str" cm="1">
        <f t="array" ref="I225">_xll.BDH($D225,"MTG_GEN_CPR_6M","20090610","20090610","Dts=H")</f>
        <v>#N/A Invalid Field</v>
      </c>
      <c r="J225" t="str" cm="1">
        <f t="array" ref="J225">_xll.BDH($D225,"MTG_GEN_CPR_12M","20090610","20090610","Dts=H")</f>
        <v>#N/A Invalid Field</v>
      </c>
      <c r="K225" t="str" cm="1">
        <f t="array" ref="K225">_xll.BDP("31283H4W2 Mtge","MTG_PREPAY_TYP")</f>
        <v>PSA</v>
      </c>
      <c r="L225" t="str" cm="1">
        <f t="array" ref="L225">_xll.BDP(D225,"MTG_PREPAY_SPEED")</f>
        <v>#N/A N/A</v>
      </c>
      <c r="M225" cm="1">
        <f t="array" ref="M225">_xll.BDP(D225,"MTG_PL_PSA_1M ")</f>
        <v>0</v>
      </c>
      <c r="N225" cm="1">
        <f t="array" ref="N225">_xll.BDP(D225,"MTG_PL_PSA_3M ")</f>
        <v>967.4</v>
      </c>
      <c r="O225" cm="1">
        <f t="array" ref="O225">_xll.BDP(D225,"MTG_PL_PSA_6M ")</f>
        <v>1140.7</v>
      </c>
    </row>
    <row r="226" spans="1:15" x14ac:dyDescent="0.25">
      <c r="A226" t="s">
        <v>690</v>
      </c>
      <c r="B226" t="s">
        <v>691</v>
      </c>
      <c r="C226" t="s">
        <v>100</v>
      </c>
      <c r="D226" t="s">
        <v>692</v>
      </c>
      <c r="E226" t="str" cm="1">
        <f t="array" ref="E226">_xll.BDH($D226,"MTG_GEN_CPR_3M","20090331","20090331","Dts=H")</f>
        <v>#N/A Invalid Field</v>
      </c>
      <c r="F226" t="str" cm="1">
        <f t="array" ref="F226">_xll.BDH($D226,"MTG_GEN_CPR_6M","20090331","20090331","Dts=H")</f>
        <v>#N/A Invalid Field</v>
      </c>
      <c r="G226" t="str" cm="1">
        <f t="array" ref="G226">_xll.BDH($D226,"MTG_GEN_CPR_12M","20090331","20090331","Dts=H")</f>
        <v>#N/A Invalid Field</v>
      </c>
      <c r="H226" t="str" cm="1">
        <f t="array" ref="H226">_xll.BDH($D226,"MTG_GEN_CPR_3M","20090610","20090610","Dts=H")</f>
        <v>#N/A Invalid Field</v>
      </c>
      <c r="I226" t="str" cm="1">
        <f t="array" ref="I226">_xll.BDH($D226,"MTG_GEN_CPR_6M","20090610","20090610","Dts=H")</f>
        <v>#N/A Invalid Field</v>
      </c>
      <c r="J226" t="str" cm="1">
        <f t="array" ref="J226">_xll.BDH($D226,"MTG_GEN_CPR_12M","20090610","20090610","Dts=H")</f>
        <v>#N/A Invalid Field</v>
      </c>
      <c r="K226" t="str" cm="1">
        <f t="array" ref="K226">_xll.BDP("31283H4W2 Mtge","MTG_PREPAY_TYP")</f>
        <v>PSA</v>
      </c>
      <c r="L226" t="str" cm="1">
        <f t="array" ref="L226">_xll.BDP(D226,"MTG_PREPAY_SPEED")</f>
        <v>#N/A N/A</v>
      </c>
      <c r="M226" cm="1">
        <f t="array" ref="M226">_xll.BDP(D226,"MTG_PL_PSA_1M ")</f>
        <v>0</v>
      </c>
      <c r="N226" cm="1">
        <f t="array" ref="N226">_xll.BDP(D226,"MTG_PL_PSA_3M ")</f>
        <v>1138.2</v>
      </c>
      <c r="O226" cm="1">
        <f t="array" ref="O226">_xll.BDP(D226,"MTG_PL_PSA_6M ")</f>
        <v>1613.2</v>
      </c>
    </row>
    <row r="227" spans="1:15" x14ac:dyDescent="0.25">
      <c r="A227" t="s">
        <v>693</v>
      </c>
      <c r="B227" t="s">
        <v>694</v>
      </c>
      <c r="C227" t="s">
        <v>100</v>
      </c>
      <c r="D227" t="s">
        <v>695</v>
      </c>
      <c r="E227" t="str" cm="1">
        <f t="array" ref="E227">_xll.BDH($D227,"MTG_GEN_CPR_3M","20090331","20090331","Dts=H")</f>
        <v>#N/A Invalid Field</v>
      </c>
      <c r="F227" t="str" cm="1">
        <f t="array" ref="F227">_xll.BDH($D227,"MTG_GEN_CPR_6M","20090331","20090331","Dts=H")</f>
        <v>#N/A Invalid Field</v>
      </c>
      <c r="G227" t="str" cm="1">
        <f t="array" ref="G227">_xll.BDH($D227,"MTG_GEN_CPR_12M","20090331","20090331","Dts=H")</f>
        <v>#N/A Invalid Field</v>
      </c>
      <c r="H227" t="str" cm="1">
        <f t="array" ref="H227">_xll.BDH($D227,"MTG_GEN_CPR_3M","20090610","20090610","Dts=H")</f>
        <v>#N/A Invalid Field</v>
      </c>
      <c r="I227" t="str" cm="1">
        <f t="array" ref="I227">_xll.BDH($D227,"MTG_GEN_CPR_6M","20090610","20090610","Dts=H")</f>
        <v>#N/A Invalid Field</v>
      </c>
      <c r="J227" t="str" cm="1">
        <f t="array" ref="J227">_xll.BDH($D227,"MTG_GEN_CPR_12M","20090610","20090610","Dts=H")</f>
        <v>#N/A Invalid Field</v>
      </c>
      <c r="K227" t="str" cm="1">
        <f t="array" ref="K227">_xll.BDP("31283H4W2 Mtge","MTG_PREPAY_TYP")</f>
        <v>PSA</v>
      </c>
      <c r="L227" cm="1">
        <f t="array" ref="L227">_xll.BDP(D227,"MTG_PREPAY_SPEED")</f>
        <v>1.37</v>
      </c>
      <c r="M227" cm="1">
        <f t="array" ref="M227">_xll.BDP(D227,"MTG_PL_PSA_1M ")</f>
        <v>26.6</v>
      </c>
      <c r="N227" cm="1">
        <f t="array" ref="N227">_xll.BDP(D227,"MTG_PL_PSA_3M ")</f>
        <v>24.9</v>
      </c>
      <c r="O227" cm="1">
        <f t="array" ref="O227">_xll.BDP(D227,"MTG_PL_PSA_6M ")</f>
        <v>22.8</v>
      </c>
    </row>
    <row r="228" spans="1:15" x14ac:dyDescent="0.25">
      <c r="A228" t="s">
        <v>696</v>
      </c>
      <c r="B228" t="s">
        <v>697</v>
      </c>
      <c r="C228" t="s">
        <v>100</v>
      </c>
      <c r="D228" t="s">
        <v>698</v>
      </c>
      <c r="E228" t="str" cm="1">
        <f t="array" ref="E228">_xll.BDH($D228,"MTG_GEN_CPR_3M","20090331","20090331","Dts=H")</f>
        <v>#N/A Invalid Field</v>
      </c>
      <c r="F228" t="str" cm="1">
        <f t="array" ref="F228">_xll.BDH($D228,"MTG_GEN_CPR_6M","20090331","20090331","Dts=H")</f>
        <v>#N/A Invalid Field</v>
      </c>
      <c r="G228" t="str" cm="1">
        <f t="array" ref="G228">_xll.BDH($D228,"MTG_GEN_CPR_12M","20090331","20090331","Dts=H")</f>
        <v>#N/A Invalid Field</v>
      </c>
      <c r="H228" t="str" cm="1">
        <f t="array" ref="H228">_xll.BDH($D228,"MTG_GEN_CPR_3M","20090610","20090610","Dts=H")</f>
        <v>#N/A Invalid Field</v>
      </c>
      <c r="I228" t="str" cm="1">
        <f t="array" ref="I228">_xll.BDH($D228,"MTG_GEN_CPR_6M","20090610","20090610","Dts=H")</f>
        <v>#N/A Invalid Field</v>
      </c>
      <c r="J228" t="str" cm="1">
        <f t="array" ref="J228">_xll.BDH($D228,"MTG_GEN_CPR_12M","20090610","20090610","Dts=H")</f>
        <v>#N/A Invalid Field</v>
      </c>
      <c r="K228" t="str" cm="1">
        <f t="array" ref="K228">_xll.BDP("31283H4W2 Mtge","MTG_PREPAY_TYP")</f>
        <v>PSA</v>
      </c>
      <c r="L228" t="str" cm="1">
        <f t="array" ref="L228">_xll.BDP(D228,"MTG_PREPAY_SPEED")</f>
        <v>#N/A N/A</v>
      </c>
      <c r="M228" cm="1">
        <f t="array" ref="M228">_xll.BDP(D228,"MTG_PL_PSA_1M ")</f>
        <v>1666.7</v>
      </c>
      <c r="N228" cm="1">
        <f t="array" ref="N228">_xll.BDP(D228,"MTG_PL_PSA_3M ")</f>
        <v>1666.7</v>
      </c>
      <c r="O228" cm="1">
        <f t="array" ref="O228">_xll.BDP(D228,"MTG_PL_PSA_6M ")</f>
        <v>1666.7</v>
      </c>
    </row>
    <row r="229" spans="1:15" x14ac:dyDescent="0.25">
      <c r="A229" t="s">
        <v>699</v>
      </c>
      <c r="B229" t="s">
        <v>700</v>
      </c>
      <c r="C229" t="s">
        <v>100</v>
      </c>
      <c r="D229" t="s">
        <v>701</v>
      </c>
      <c r="E229" t="str" cm="1">
        <f t="array" ref="E229">_xll.BDH($D229,"MTG_GEN_CPR_3M","20090331","20090331","Dts=H")</f>
        <v>#N/A Invalid Field</v>
      </c>
      <c r="F229" t="str" cm="1">
        <f t="array" ref="F229">_xll.BDH($D229,"MTG_GEN_CPR_6M","20090331","20090331","Dts=H")</f>
        <v>#N/A Invalid Field</v>
      </c>
      <c r="G229" t="str" cm="1">
        <f t="array" ref="G229">_xll.BDH($D229,"MTG_GEN_CPR_12M","20090331","20090331","Dts=H")</f>
        <v>#N/A Invalid Field</v>
      </c>
      <c r="H229" t="str" cm="1">
        <f t="array" ref="H229">_xll.BDH($D229,"MTG_GEN_CPR_3M","20090610","20090610","Dts=H")</f>
        <v>#N/A Invalid Field</v>
      </c>
      <c r="I229" t="str" cm="1">
        <f t="array" ref="I229">_xll.BDH($D229,"MTG_GEN_CPR_6M","20090610","20090610","Dts=H")</f>
        <v>#N/A Invalid Field</v>
      </c>
      <c r="J229" t="str" cm="1">
        <f t="array" ref="J229">_xll.BDH($D229,"MTG_GEN_CPR_12M","20090610","20090610","Dts=H")</f>
        <v>#N/A Invalid Field</v>
      </c>
      <c r="K229" t="str" cm="1">
        <f t="array" ref="K229">_xll.BDP("31283H4W2 Mtge","MTG_PREPAY_TYP")</f>
        <v>PSA</v>
      </c>
      <c r="L229" t="str" cm="1">
        <f t="array" ref="L229">_xll.BDP(D229,"MTG_PREPAY_SPEED")</f>
        <v>#N/A N/A</v>
      </c>
      <c r="M229" cm="1">
        <f t="array" ref="M229">_xll.BDP(D229,"MTG_PL_PSA_1M ")</f>
        <v>0</v>
      </c>
      <c r="N229" cm="1">
        <f t="array" ref="N229">_xll.BDP(D229,"MTG_PL_PSA_3M ")</f>
        <v>843.3</v>
      </c>
      <c r="O229" cm="1">
        <f t="array" ref="O229">_xll.BDP(D229,"MTG_PL_PSA_6M ")</f>
        <v>593.79999999999995</v>
      </c>
    </row>
    <row r="230" spans="1:15" x14ac:dyDescent="0.25">
      <c r="A230" t="s">
        <v>702</v>
      </c>
      <c r="B230" t="s">
        <v>703</v>
      </c>
      <c r="C230" t="s">
        <v>100</v>
      </c>
      <c r="D230" t="s">
        <v>704</v>
      </c>
      <c r="E230" t="str" cm="1">
        <f t="array" ref="E230">_xll.BDH($D230,"MTG_GEN_CPR_3M","20090331","20090331","Dts=H")</f>
        <v>#N/A Invalid Field</v>
      </c>
      <c r="F230" t="str" cm="1">
        <f t="array" ref="F230">_xll.BDH($D230,"MTG_GEN_CPR_6M","20090331","20090331","Dts=H")</f>
        <v>#N/A Invalid Field</v>
      </c>
      <c r="G230" t="str" cm="1">
        <f t="array" ref="G230">_xll.BDH($D230,"MTG_GEN_CPR_12M","20090331","20090331","Dts=H")</f>
        <v>#N/A Invalid Field</v>
      </c>
      <c r="H230" t="str" cm="1">
        <f t="array" ref="H230">_xll.BDH($D230,"MTG_GEN_CPR_3M","20090610","20090610","Dts=H")</f>
        <v>#N/A Invalid Field</v>
      </c>
      <c r="I230" t="str" cm="1">
        <f t="array" ref="I230">_xll.BDH($D230,"MTG_GEN_CPR_6M","20090610","20090610","Dts=H")</f>
        <v>#N/A Invalid Field</v>
      </c>
      <c r="J230" t="str" cm="1">
        <f t="array" ref="J230">_xll.BDH($D230,"MTG_GEN_CPR_12M","20090610","20090610","Dts=H")</f>
        <v>#N/A Invalid Field</v>
      </c>
      <c r="K230" t="str" cm="1">
        <f t="array" ref="K230">_xll.BDP("31283H4W2 Mtge","MTG_PREPAY_TYP")</f>
        <v>PSA</v>
      </c>
      <c r="L230" t="str" cm="1">
        <f t="array" ref="L230">_xll.BDP(D230,"MTG_PREPAY_SPEED")</f>
        <v>#N/A N/A</v>
      </c>
      <c r="M230" cm="1">
        <f t="array" ref="M230">_xll.BDP(D230,"MTG_PL_PSA_1M ")</f>
        <v>0</v>
      </c>
      <c r="N230" cm="1">
        <f t="array" ref="N230">_xll.BDP(D230,"MTG_PL_PSA_3M ")</f>
        <v>909</v>
      </c>
      <c r="O230" cm="1">
        <f t="array" ref="O230">_xll.BDP(D230,"MTG_PL_PSA_6M ")</f>
        <v>745.4</v>
      </c>
    </row>
    <row r="231" spans="1:15" x14ac:dyDescent="0.25">
      <c r="A231" t="s">
        <v>705</v>
      </c>
      <c r="B231" t="s">
        <v>706</v>
      </c>
      <c r="C231" t="s">
        <v>100</v>
      </c>
      <c r="D231" t="s">
        <v>707</v>
      </c>
      <c r="E231" t="str" cm="1">
        <f t="array" ref="E231">_xll.BDH($D231,"MTG_GEN_CPR_3M","20090331","20090331","Dts=H")</f>
        <v>#N/A Invalid Field</v>
      </c>
      <c r="F231" t="str" cm="1">
        <f t="array" ref="F231">_xll.BDH($D231,"MTG_GEN_CPR_6M","20090331","20090331","Dts=H")</f>
        <v>#N/A Invalid Field</v>
      </c>
      <c r="G231" t="str" cm="1">
        <f t="array" ref="G231">_xll.BDH($D231,"MTG_GEN_CPR_12M","20090331","20090331","Dts=H")</f>
        <v>#N/A Invalid Field</v>
      </c>
      <c r="H231" t="str" cm="1">
        <f t="array" ref="H231">_xll.BDH($D231,"MTG_GEN_CPR_3M","20090610","20090610","Dts=H")</f>
        <v>#N/A Invalid Field</v>
      </c>
      <c r="I231" t="str" cm="1">
        <f t="array" ref="I231">_xll.BDH($D231,"MTG_GEN_CPR_6M","20090610","20090610","Dts=H")</f>
        <v>#N/A Invalid Field</v>
      </c>
      <c r="J231" t="str" cm="1">
        <f t="array" ref="J231">_xll.BDH($D231,"MTG_GEN_CPR_12M","20090610","20090610","Dts=H")</f>
        <v>#N/A Invalid Field</v>
      </c>
      <c r="K231" t="str" cm="1">
        <f t="array" ref="K231">_xll.BDP("31283H4W2 Mtge","MTG_PREPAY_TYP")</f>
        <v>PSA</v>
      </c>
      <c r="L231" cm="1">
        <f t="array" ref="L231">_xll.BDP(D231,"MTG_PREPAY_SPEED")</f>
        <v>182</v>
      </c>
      <c r="M231" cm="1">
        <f t="array" ref="M231">_xll.BDP(D231,"MTG_PL_PSA_1M ")</f>
        <v>79</v>
      </c>
      <c r="N231" cm="1">
        <f t="array" ref="N231">_xll.BDP(D231,"MTG_PL_PSA_3M ")</f>
        <v>109.6</v>
      </c>
      <c r="O231" cm="1">
        <f t="array" ref="O231">_xll.BDP(D231,"MTG_PL_PSA_6M ")</f>
        <v>129</v>
      </c>
    </row>
    <row r="232" spans="1:15" x14ac:dyDescent="0.25">
      <c r="A232" t="s">
        <v>708</v>
      </c>
      <c r="B232" t="s">
        <v>709</v>
      </c>
      <c r="C232" t="s">
        <v>100</v>
      </c>
      <c r="D232" t="s">
        <v>710</v>
      </c>
      <c r="E232" t="str" cm="1">
        <f t="array" ref="E232">_xll.BDH($D232,"MTG_GEN_CPR_3M","20090331","20090331","Dts=H")</f>
        <v>#N/A Invalid Field</v>
      </c>
      <c r="F232" t="str" cm="1">
        <f t="array" ref="F232">_xll.BDH($D232,"MTG_GEN_CPR_6M","20090331","20090331","Dts=H")</f>
        <v>#N/A Invalid Field</v>
      </c>
      <c r="G232" t="str" cm="1">
        <f t="array" ref="G232">_xll.BDH($D232,"MTG_GEN_CPR_12M","20090331","20090331","Dts=H")</f>
        <v>#N/A Invalid Field</v>
      </c>
      <c r="H232" t="str" cm="1">
        <f t="array" ref="H232">_xll.BDH($D232,"MTG_GEN_CPR_3M","20090610","20090610","Dts=H")</f>
        <v>#N/A Invalid Field</v>
      </c>
      <c r="I232" t="str" cm="1">
        <f t="array" ref="I232">_xll.BDH($D232,"MTG_GEN_CPR_6M","20090610","20090610","Dts=H")</f>
        <v>#N/A Invalid Field</v>
      </c>
      <c r="J232" t="str" cm="1">
        <f t="array" ref="J232">_xll.BDH($D232,"MTG_GEN_CPR_12M","20090610","20090610","Dts=H")</f>
        <v>#N/A Invalid Field</v>
      </c>
      <c r="K232" t="str" cm="1">
        <f t="array" ref="K232">_xll.BDP("31283H4W2 Mtge","MTG_PREPAY_TYP")</f>
        <v>PSA</v>
      </c>
      <c r="L232" cm="1">
        <f t="array" ref="L232">_xll.BDP(D232,"MTG_PREPAY_SPEED")</f>
        <v>171</v>
      </c>
      <c r="M232" cm="1">
        <f t="array" ref="M232">_xll.BDP(D232,"MTG_PL_PSA_1M ")</f>
        <v>3.7</v>
      </c>
      <c r="N232" cm="1">
        <f t="array" ref="N232">_xll.BDP(D232,"MTG_PL_PSA_3M ")</f>
        <v>3.6</v>
      </c>
      <c r="O232" cm="1">
        <f t="array" ref="O232">_xll.BDP(D232,"MTG_PL_PSA_6M ")</f>
        <v>3.5</v>
      </c>
    </row>
    <row r="233" spans="1:15" x14ac:dyDescent="0.25">
      <c r="A233" t="s">
        <v>711</v>
      </c>
      <c r="B233" t="s">
        <v>712</v>
      </c>
      <c r="C233" t="s">
        <v>100</v>
      </c>
      <c r="D233" t="s">
        <v>713</v>
      </c>
      <c r="E233" t="str" cm="1">
        <f t="array" ref="E233">_xll.BDH($D233,"MTG_GEN_CPR_3M","20090331","20090331","Dts=H")</f>
        <v>#N/A Invalid Field</v>
      </c>
      <c r="F233" t="str" cm="1">
        <f t="array" ref="F233">_xll.BDH($D233,"MTG_GEN_CPR_6M","20090331","20090331","Dts=H")</f>
        <v>#N/A Invalid Field</v>
      </c>
      <c r="G233" t="str" cm="1">
        <f t="array" ref="G233">_xll.BDH($D233,"MTG_GEN_CPR_12M","20090331","20090331","Dts=H")</f>
        <v>#N/A Invalid Field</v>
      </c>
      <c r="H233" t="str" cm="1">
        <f t="array" ref="H233">_xll.BDH($D233,"MTG_GEN_CPR_3M","20090610","20090610","Dts=H")</f>
        <v>#N/A Invalid Field</v>
      </c>
      <c r="I233" t="str" cm="1">
        <f t="array" ref="I233">_xll.BDH($D233,"MTG_GEN_CPR_6M","20090610","20090610","Dts=H")</f>
        <v>#N/A Invalid Field</v>
      </c>
      <c r="J233" t="str" cm="1">
        <f t="array" ref="J233">_xll.BDH($D233,"MTG_GEN_CPR_12M","20090610","20090610","Dts=H")</f>
        <v>#N/A Invalid Field</v>
      </c>
      <c r="K233" t="str" cm="1">
        <f t="array" ref="K233">_xll.BDP("31283H4W2 Mtge","MTG_PREPAY_TYP")</f>
        <v>PSA</v>
      </c>
      <c r="L233" t="str" cm="1">
        <f t="array" ref="L233">_xll.BDP(D233,"MTG_PREPAY_SPEED")</f>
        <v>#N/A N/A</v>
      </c>
      <c r="M233" cm="1">
        <f t="array" ref="M233">_xll.BDP(D233,"MTG_PL_PSA_1M ")</f>
        <v>0</v>
      </c>
      <c r="N233" cm="1">
        <f t="array" ref="N233">_xll.BDP(D233,"MTG_PL_PSA_3M ")</f>
        <v>1577.1</v>
      </c>
      <c r="O233" cm="1">
        <f t="array" ref="O233">_xll.BDP(D233,"MTG_PL_PSA_6M ")</f>
        <v>1353.8</v>
      </c>
    </row>
    <row r="234" spans="1:15" x14ac:dyDescent="0.25">
      <c r="A234" t="s">
        <v>714</v>
      </c>
      <c r="B234" t="s">
        <v>715</v>
      </c>
      <c r="C234" t="s">
        <v>100</v>
      </c>
      <c r="D234" t="s">
        <v>716</v>
      </c>
      <c r="E234" t="str" cm="1">
        <f t="array" ref="E234">_xll.BDH($D234,"MTG_GEN_CPR_3M","20090331","20090331","Dts=H")</f>
        <v>#N/A Invalid Field</v>
      </c>
      <c r="F234" t="str" cm="1">
        <f t="array" ref="F234">_xll.BDH($D234,"MTG_GEN_CPR_6M","20090331","20090331","Dts=H")</f>
        <v>#N/A Invalid Field</v>
      </c>
      <c r="G234" t="str" cm="1">
        <f t="array" ref="G234">_xll.BDH($D234,"MTG_GEN_CPR_12M","20090331","20090331","Dts=H")</f>
        <v>#N/A Invalid Field</v>
      </c>
      <c r="H234" t="str" cm="1">
        <f t="array" ref="H234">_xll.BDH($D234,"MTG_GEN_CPR_3M","20090610","20090610","Dts=H")</f>
        <v>#N/A Invalid Field</v>
      </c>
      <c r="I234" t="str" cm="1">
        <f t="array" ref="I234">_xll.BDH($D234,"MTG_GEN_CPR_6M","20090610","20090610","Dts=H")</f>
        <v>#N/A Invalid Field</v>
      </c>
      <c r="J234" t="str" cm="1">
        <f t="array" ref="J234">_xll.BDH($D234,"MTG_GEN_CPR_12M","20090610","20090610","Dts=H")</f>
        <v>#N/A Invalid Field</v>
      </c>
      <c r="K234" t="str" cm="1">
        <f t="array" ref="K234">_xll.BDP("31283H4W2 Mtge","MTG_PREPAY_TYP")</f>
        <v>PSA</v>
      </c>
      <c r="L234" t="str" cm="1">
        <f t="array" ref="L234">_xll.BDP(D234,"MTG_PREPAY_SPEED")</f>
        <v>#N/A N/A</v>
      </c>
      <c r="M234" cm="1">
        <f t="array" ref="M234">_xll.BDP(D234,"MTG_PL_PSA_1M ")</f>
        <v>0</v>
      </c>
      <c r="N234" cm="1">
        <f t="array" ref="N234">_xll.BDP(D234,"MTG_PL_PSA_3M ")</f>
        <v>1145</v>
      </c>
      <c r="O234" cm="1">
        <f t="array" ref="O234">_xll.BDP(D234,"MTG_PL_PSA_6M ")</f>
        <v>841.5</v>
      </c>
    </row>
    <row r="235" spans="1:15" x14ac:dyDescent="0.25">
      <c r="A235" t="s">
        <v>717</v>
      </c>
      <c r="B235" t="s">
        <v>718</v>
      </c>
      <c r="C235" t="s">
        <v>100</v>
      </c>
      <c r="D235" t="s">
        <v>719</v>
      </c>
      <c r="E235" t="str" cm="1">
        <f t="array" ref="E235">_xll.BDH($D235,"MTG_GEN_CPR_3M","20090331","20090331","Dts=H")</f>
        <v>#N/A Invalid Field</v>
      </c>
      <c r="F235" t="str" cm="1">
        <f t="array" ref="F235">_xll.BDH($D235,"MTG_GEN_CPR_6M","20090331","20090331","Dts=H")</f>
        <v>#N/A Invalid Field</v>
      </c>
      <c r="G235" t="str" cm="1">
        <f t="array" ref="G235">_xll.BDH($D235,"MTG_GEN_CPR_12M","20090331","20090331","Dts=H")</f>
        <v>#N/A Invalid Field</v>
      </c>
      <c r="H235" t="str" cm="1">
        <f t="array" ref="H235">_xll.BDH($D235,"MTG_GEN_CPR_3M","20090610","20090610","Dts=H")</f>
        <v>#N/A Invalid Field</v>
      </c>
      <c r="I235" t="str" cm="1">
        <f t="array" ref="I235">_xll.BDH($D235,"MTG_GEN_CPR_6M","20090610","20090610","Dts=H")</f>
        <v>#N/A Invalid Field</v>
      </c>
      <c r="J235" t="str" cm="1">
        <f t="array" ref="J235">_xll.BDH($D235,"MTG_GEN_CPR_12M","20090610","20090610","Dts=H")</f>
        <v>#N/A Invalid Field</v>
      </c>
      <c r="K235" t="str" cm="1">
        <f t="array" ref="K235">_xll.BDP("31283H4W2 Mtge","MTG_PREPAY_TYP")</f>
        <v>PSA</v>
      </c>
      <c r="L235" cm="1">
        <f t="array" ref="L235">_xll.BDP(D235,"MTG_PREPAY_SPEED")</f>
        <v>182</v>
      </c>
      <c r="M235" cm="1">
        <f t="array" ref="M235">_xll.BDP(D235,"MTG_PL_PSA_1M ")</f>
        <v>3.5</v>
      </c>
      <c r="N235" cm="1">
        <f t="array" ref="N235">_xll.BDP(D235,"MTG_PL_PSA_3M ")</f>
        <v>3.4</v>
      </c>
      <c r="O235" cm="1">
        <f t="array" ref="O235">_xll.BDP(D235,"MTG_PL_PSA_6M ")</f>
        <v>3.3</v>
      </c>
    </row>
    <row r="236" spans="1:15" x14ac:dyDescent="0.25">
      <c r="A236" t="s">
        <v>720</v>
      </c>
      <c r="B236" t="s">
        <v>721</v>
      </c>
      <c r="C236" t="s">
        <v>100</v>
      </c>
      <c r="D236" t="s">
        <v>722</v>
      </c>
      <c r="E236" t="str" cm="1">
        <f t="array" ref="E236">_xll.BDH($D236,"MTG_GEN_CPR_3M","20090331","20090331","Dts=H")</f>
        <v>#N/A Invalid Field</v>
      </c>
      <c r="F236" t="str" cm="1">
        <f t="array" ref="F236">_xll.BDH($D236,"MTG_GEN_CPR_6M","20090331","20090331","Dts=H")</f>
        <v>#N/A Invalid Field</v>
      </c>
      <c r="G236" t="str" cm="1">
        <f t="array" ref="G236">_xll.BDH($D236,"MTG_GEN_CPR_12M","20090331","20090331","Dts=H")</f>
        <v>#N/A Invalid Field</v>
      </c>
      <c r="H236" t="str" cm="1">
        <f t="array" ref="H236">_xll.BDH($D236,"MTG_GEN_CPR_3M","20090610","20090610","Dts=H")</f>
        <v>#N/A Invalid Field</v>
      </c>
      <c r="I236" t="str" cm="1">
        <f t="array" ref="I236">_xll.BDH($D236,"MTG_GEN_CPR_6M","20090610","20090610","Dts=H")</f>
        <v>#N/A Invalid Field</v>
      </c>
      <c r="J236" t="str" cm="1">
        <f t="array" ref="J236">_xll.BDH($D236,"MTG_GEN_CPR_12M","20090610","20090610","Dts=H")</f>
        <v>#N/A Invalid Field</v>
      </c>
      <c r="K236" t="str" cm="1">
        <f t="array" ref="K236">_xll.BDP("31283H4W2 Mtge","MTG_PREPAY_TYP")</f>
        <v>PSA</v>
      </c>
      <c r="L236" t="str" cm="1">
        <f t="array" ref="L236">_xll.BDP(D236,"MTG_PREPAY_SPEED")</f>
        <v>#N/A N/A</v>
      </c>
      <c r="M236" cm="1">
        <f t="array" ref="M236">_xll.BDP(D236,"MTG_PL_PSA_1M ")</f>
        <v>0</v>
      </c>
      <c r="N236" cm="1">
        <f t="array" ref="N236">_xll.BDP(D236,"MTG_PL_PSA_3M ")</f>
        <v>1215.8</v>
      </c>
      <c r="O236" cm="1">
        <f t="array" ref="O236">_xll.BDP(D236,"MTG_PL_PSA_6M ")</f>
        <v>1216.5999999999999</v>
      </c>
    </row>
    <row r="237" spans="1:15" x14ac:dyDescent="0.25">
      <c r="A237" t="s">
        <v>723</v>
      </c>
      <c r="B237" t="s">
        <v>724</v>
      </c>
      <c r="C237" t="s">
        <v>100</v>
      </c>
      <c r="D237" t="s">
        <v>725</v>
      </c>
      <c r="E237" t="str" cm="1">
        <f t="array" ref="E237">_xll.BDH($D237,"MTG_GEN_CPR_3M","20090331","20090331","Dts=H")</f>
        <v>#N/A Invalid Field</v>
      </c>
      <c r="F237" t="str" cm="1">
        <f t="array" ref="F237">_xll.BDH($D237,"MTG_GEN_CPR_6M","20090331","20090331","Dts=H")</f>
        <v>#N/A Invalid Field</v>
      </c>
      <c r="G237" t="str" cm="1">
        <f t="array" ref="G237">_xll.BDH($D237,"MTG_GEN_CPR_12M","20090331","20090331","Dts=H")</f>
        <v>#N/A Invalid Field</v>
      </c>
      <c r="H237" t="str" cm="1">
        <f t="array" ref="H237">_xll.BDH($D237,"MTG_GEN_CPR_3M","20090610","20090610","Dts=H")</f>
        <v>#N/A Invalid Field</v>
      </c>
      <c r="I237" t="str" cm="1">
        <f t="array" ref="I237">_xll.BDH($D237,"MTG_GEN_CPR_6M","20090610","20090610","Dts=H")</f>
        <v>#N/A Invalid Field</v>
      </c>
      <c r="J237" t="str" cm="1">
        <f t="array" ref="J237">_xll.BDH($D237,"MTG_GEN_CPR_12M","20090610","20090610","Dts=H")</f>
        <v>#N/A Invalid Field</v>
      </c>
      <c r="K237" t="str" cm="1">
        <f t="array" ref="K237">_xll.BDP("31283H4W2 Mtge","MTG_PREPAY_TYP")</f>
        <v>PSA</v>
      </c>
      <c r="L237" t="str" cm="1">
        <f t="array" ref="L237">_xll.BDP(D237,"MTG_PREPAY_SPEED")</f>
        <v>#N/A N/A</v>
      </c>
      <c r="M237" cm="1">
        <f t="array" ref="M237">_xll.BDP(D237,"MTG_PL_PSA_1M ")</f>
        <v>0</v>
      </c>
      <c r="N237" cm="1">
        <f t="array" ref="N237">_xll.BDP(D237,"MTG_PL_PSA_3M ")</f>
        <v>1661.3</v>
      </c>
      <c r="O237" cm="1">
        <f t="array" ref="O237">_xll.BDP(D237,"MTG_PL_PSA_6M ")</f>
        <v>1612.8</v>
      </c>
    </row>
    <row r="238" spans="1:15" x14ac:dyDescent="0.25">
      <c r="A238" t="s">
        <v>726</v>
      </c>
      <c r="B238" t="s">
        <v>727</v>
      </c>
      <c r="C238" t="s">
        <v>100</v>
      </c>
      <c r="D238" t="s">
        <v>728</v>
      </c>
      <c r="E238" t="str" cm="1">
        <f t="array" ref="E238">_xll.BDH($D238,"MTG_GEN_CPR_3M","20090331","20090331","Dts=H")</f>
        <v>#N/A Invalid Field</v>
      </c>
      <c r="F238" t="str" cm="1">
        <f t="array" ref="F238">_xll.BDH($D238,"MTG_GEN_CPR_6M","20090331","20090331","Dts=H")</f>
        <v>#N/A Invalid Field</v>
      </c>
      <c r="G238" t="str" cm="1">
        <f t="array" ref="G238">_xll.BDH($D238,"MTG_GEN_CPR_12M","20090331","20090331","Dts=H")</f>
        <v>#N/A Invalid Field</v>
      </c>
      <c r="H238" t="str" cm="1">
        <f t="array" ref="H238">_xll.BDH($D238,"MTG_GEN_CPR_3M","20090610","20090610","Dts=H")</f>
        <v>#N/A Invalid Field</v>
      </c>
      <c r="I238" t="str" cm="1">
        <f t="array" ref="I238">_xll.BDH($D238,"MTG_GEN_CPR_6M","20090610","20090610","Dts=H")</f>
        <v>#N/A Invalid Field</v>
      </c>
      <c r="J238" t="str" cm="1">
        <f t="array" ref="J238">_xll.BDH($D238,"MTG_GEN_CPR_12M","20090610","20090610","Dts=H")</f>
        <v>#N/A Invalid Field</v>
      </c>
      <c r="K238" t="str" cm="1">
        <f t="array" ref="K238">_xll.BDP("31283H4W2 Mtge","MTG_PREPAY_TYP")</f>
        <v>PSA</v>
      </c>
      <c r="L238" t="str" cm="1">
        <f t="array" ref="L238">_xll.BDP(D238,"MTG_PREPAY_SPEED")</f>
        <v>#N/A N/A</v>
      </c>
      <c r="M238" cm="1">
        <f t="array" ref="M238">_xll.BDP(D238,"MTG_PL_PSA_1M ")</f>
        <v>0</v>
      </c>
      <c r="N238" cm="1">
        <f t="array" ref="N238">_xll.BDP(D238,"MTG_PL_PSA_3M ")</f>
        <v>1488.9</v>
      </c>
      <c r="O238" cm="1">
        <f t="array" ref="O238">_xll.BDP(D238,"MTG_PL_PSA_6M ")</f>
        <v>1237.9000000000001</v>
      </c>
    </row>
    <row r="239" spans="1:15" x14ac:dyDescent="0.25">
      <c r="A239" t="s">
        <v>729</v>
      </c>
      <c r="B239" t="s">
        <v>730</v>
      </c>
      <c r="C239" t="s">
        <v>100</v>
      </c>
      <c r="D239" t="s">
        <v>731</v>
      </c>
      <c r="E239" t="str" cm="1">
        <f t="array" ref="E239">_xll.BDH($D239,"MTG_GEN_CPR_3M","20090331","20090331","Dts=H")</f>
        <v>#N/A Invalid Field</v>
      </c>
      <c r="F239" t="str" cm="1">
        <f t="array" ref="F239">_xll.BDH($D239,"MTG_GEN_CPR_6M","20090331","20090331","Dts=H")</f>
        <v>#N/A Invalid Field</v>
      </c>
      <c r="G239" t="str" cm="1">
        <f t="array" ref="G239">_xll.BDH($D239,"MTG_GEN_CPR_12M","20090331","20090331","Dts=H")</f>
        <v>#N/A Invalid Field</v>
      </c>
      <c r="H239" t="str" cm="1">
        <f t="array" ref="H239">_xll.BDH($D239,"MTG_GEN_CPR_3M","20090610","20090610","Dts=H")</f>
        <v>#N/A Invalid Field</v>
      </c>
      <c r="I239" t="str" cm="1">
        <f t="array" ref="I239">_xll.BDH($D239,"MTG_GEN_CPR_6M","20090610","20090610","Dts=H")</f>
        <v>#N/A Invalid Field</v>
      </c>
      <c r="J239" t="str" cm="1">
        <f t="array" ref="J239">_xll.BDH($D239,"MTG_GEN_CPR_12M","20090610","20090610","Dts=H")</f>
        <v>#N/A Invalid Field</v>
      </c>
      <c r="K239" t="str" cm="1">
        <f t="array" ref="K239">_xll.BDP("31283H4W2 Mtge","MTG_PREPAY_TYP")</f>
        <v>PSA</v>
      </c>
      <c r="L239" t="str" cm="1">
        <f t="array" ref="L239">_xll.BDP(D239,"MTG_PREPAY_SPEED")</f>
        <v>#N/A N/A</v>
      </c>
      <c r="M239" cm="1">
        <f t="array" ref="M239">_xll.BDP(D239,"MTG_PL_PSA_1M ")</f>
        <v>0</v>
      </c>
      <c r="N239" cm="1">
        <f t="array" ref="N239">_xll.BDP(D239,"MTG_PL_PSA_3M ")</f>
        <v>1527.7</v>
      </c>
      <c r="O239" cm="1">
        <f t="array" ref="O239">_xll.BDP(D239,"MTG_PL_PSA_6M ")</f>
        <v>1302.5999999999999</v>
      </c>
    </row>
    <row r="240" spans="1:15" x14ac:dyDescent="0.25">
      <c r="A240" t="s">
        <v>732</v>
      </c>
      <c r="B240" t="s">
        <v>733</v>
      </c>
      <c r="C240" t="s">
        <v>100</v>
      </c>
      <c r="D240" t="s">
        <v>734</v>
      </c>
      <c r="E240" t="str" cm="1">
        <f t="array" ref="E240">_xll.BDH($D240,"MTG_GEN_CPR_3M","20090331","20090331","Dts=H")</f>
        <v>#N/A Invalid Field</v>
      </c>
      <c r="F240" t="str" cm="1">
        <f t="array" ref="F240">_xll.BDH($D240,"MTG_GEN_CPR_6M","20090331","20090331","Dts=H")</f>
        <v>#N/A Invalid Field</v>
      </c>
      <c r="G240" t="str" cm="1">
        <f t="array" ref="G240">_xll.BDH($D240,"MTG_GEN_CPR_12M","20090331","20090331","Dts=H")</f>
        <v>#N/A Invalid Field</v>
      </c>
      <c r="H240" t="str" cm="1">
        <f t="array" ref="H240">_xll.BDH($D240,"MTG_GEN_CPR_3M","20090610","20090610","Dts=H")</f>
        <v>#N/A Invalid Field</v>
      </c>
      <c r="I240" t="str" cm="1">
        <f t="array" ref="I240">_xll.BDH($D240,"MTG_GEN_CPR_6M","20090610","20090610","Dts=H")</f>
        <v>#N/A Invalid Field</v>
      </c>
      <c r="J240" t="str" cm="1">
        <f t="array" ref="J240">_xll.BDH($D240,"MTG_GEN_CPR_12M","20090610","20090610","Dts=H")</f>
        <v>#N/A Invalid Field</v>
      </c>
      <c r="K240" t="str" cm="1">
        <f t="array" ref="K240">_xll.BDP("31283H4W2 Mtge","MTG_PREPAY_TYP")</f>
        <v>PSA</v>
      </c>
      <c r="L240" t="str" cm="1">
        <f t="array" ref="L240">_xll.BDP(D240,"MTG_PREPAY_SPEED")</f>
        <v>#N/A N/A</v>
      </c>
      <c r="M240" cm="1">
        <f t="array" ref="M240">_xll.BDP(D240,"MTG_PL_PSA_1M ")</f>
        <v>0</v>
      </c>
      <c r="N240" cm="1">
        <f t="array" ref="N240">_xll.BDP(D240,"MTG_PL_PSA_3M ")</f>
        <v>14</v>
      </c>
      <c r="O240" cm="1">
        <f t="array" ref="O240">_xll.BDP(D240,"MTG_PL_PSA_6M ")</f>
        <v>783.1</v>
      </c>
    </row>
    <row r="241" spans="1:15" x14ac:dyDescent="0.25">
      <c r="A241" t="s">
        <v>735</v>
      </c>
      <c r="B241" t="s">
        <v>736</v>
      </c>
      <c r="C241" t="s">
        <v>100</v>
      </c>
      <c r="D241" t="s">
        <v>737</v>
      </c>
      <c r="E241" t="str" cm="1">
        <f t="array" ref="E241">_xll.BDH($D241,"MTG_GEN_CPR_3M","20090331","20090331","Dts=H")</f>
        <v>#N/A Invalid Field</v>
      </c>
      <c r="F241" t="str" cm="1">
        <f t="array" ref="F241">_xll.BDH($D241,"MTG_GEN_CPR_6M","20090331","20090331","Dts=H")</f>
        <v>#N/A Invalid Field</v>
      </c>
      <c r="G241" t="str" cm="1">
        <f t="array" ref="G241">_xll.BDH($D241,"MTG_GEN_CPR_12M","20090331","20090331","Dts=H")</f>
        <v>#N/A Invalid Field</v>
      </c>
      <c r="H241" t="str" cm="1">
        <f t="array" ref="H241">_xll.BDH($D241,"MTG_GEN_CPR_3M","20090610","20090610","Dts=H")</f>
        <v>#N/A Invalid Field</v>
      </c>
      <c r="I241" t="str" cm="1">
        <f t="array" ref="I241">_xll.BDH($D241,"MTG_GEN_CPR_6M","20090610","20090610","Dts=H")</f>
        <v>#N/A Invalid Field</v>
      </c>
      <c r="J241" t="str" cm="1">
        <f t="array" ref="J241">_xll.BDH($D241,"MTG_GEN_CPR_12M","20090610","20090610","Dts=H")</f>
        <v>#N/A Invalid Field</v>
      </c>
      <c r="K241" t="str" cm="1">
        <f t="array" ref="K241">_xll.BDP("31283H4W2 Mtge","MTG_PREPAY_TYP")</f>
        <v>PSA</v>
      </c>
      <c r="L241" cm="1">
        <f t="array" ref="L241">_xll.BDP(D241,"MTG_PREPAY_SPEED")</f>
        <v>169</v>
      </c>
      <c r="M241" cm="1">
        <f t="array" ref="M241">_xll.BDP(D241,"MTG_PL_PSA_1M ")</f>
        <v>0.1</v>
      </c>
      <c r="N241" cm="1">
        <f t="array" ref="N241">_xll.BDP(D241,"MTG_PL_PSA_3M ")</f>
        <v>0.1</v>
      </c>
      <c r="O241" cm="1">
        <f t="array" ref="O241">_xll.BDP(D241,"MTG_PL_PSA_6M ")</f>
        <v>0.1</v>
      </c>
    </row>
    <row r="242" spans="1:15" x14ac:dyDescent="0.25">
      <c r="A242" t="s">
        <v>738</v>
      </c>
      <c r="B242" t="s">
        <v>739</v>
      </c>
      <c r="C242" t="s">
        <v>100</v>
      </c>
      <c r="D242" t="s">
        <v>740</v>
      </c>
      <c r="E242" t="str" cm="1">
        <f t="array" ref="E242">_xll.BDH($D242,"MTG_GEN_CPR_3M","20090331","20090331","Dts=H")</f>
        <v>#N/A Invalid Field</v>
      </c>
      <c r="F242" t="str" cm="1">
        <f t="array" ref="F242">_xll.BDH($D242,"MTG_GEN_CPR_6M","20090331","20090331","Dts=H")</f>
        <v>#N/A Invalid Field</v>
      </c>
      <c r="G242" t="str" cm="1">
        <f t="array" ref="G242">_xll.BDH($D242,"MTG_GEN_CPR_12M","20090331","20090331","Dts=H")</f>
        <v>#N/A Invalid Field</v>
      </c>
      <c r="H242" t="str" cm="1">
        <f t="array" ref="H242">_xll.BDH($D242,"MTG_GEN_CPR_3M","20090610","20090610","Dts=H")</f>
        <v>#N/A Invalid Field</v>
      </c>
      <c r="I242" t="str" cm="1">
        <f t="array" ref="I242">_xll.BDH($D242,"MTG_GEN_CPR_6M","20090610","20090610","Dts=H")</f>
        <v>#N/A Invalid Field</v>
      </c>
      <c r="J242" t="str" cm="1">
        <f t="array" ref="J242">_xll.BDH($D242,"MTG_GEN_CPR_12M","20090610","20090610","Dts=H")</f>
        <v>#N/A Invalid Field</v>
      </c>
      <c r="K242" t="str" cm="1">
        <f t="array" ref="K242">_xll.BDP("31283H4W2 Mtge","MTG_PREPAY_TYP")</f>
        <v>PSA</v>
      </c>
      <c r="L242" t="str" cm="1">
        <f t="array" ref="L242">_xll.BDP(D242,"MTG_PREPAY_SPEED")</f>
        <v>#N/A N/A</v>
      </c>
      <c r="M242" cm="1">
        <f t="array" ref="M242">_xll.BDP(D242,"MTG_PL_PSA_1M ")</f>
        <v>0</v>
      </c>
      <c r="N242" cm="1">
        <f t="array" ref="N242">_xll.BDP(D242,"MTG_PL_PSA_3M ")</f>
        <v>999.8</v>
      </c>
      <c r="O242" cm="1">
        <f t="array" ref="O242">_xll.BDP(D242,"MTG_PL_PSA_6M ")</f>
        <v>712.6</v>
      </c>
    </row>
    <row r="243" spans="1:15" x14ac:dyDescent="0.25">
      <c r="A243" t="s">
        <v>741</v>
      </c>
      <c r="B243" t="s">
        <v>742</v>
      </c>
      <c r="C243" t="s">
        <v>100</v>
      </c>
      <c r="D243" t="s">
        <v>743</v>
      </c>
      <c r="E243" t="str" cm="1">
        <f t="array" ref="E243">_xll.BDH($D243,"MTG_GEN_CPR_3M","20090331","20090331","Dts=H")</f>
        <v>#N/A Invalid Field</v>
      </c>
      <c r="F243" t="str" cm="1">
        <f t="array" ref="F243">_xll.BDH($D243,"MTG_GEN_CPR_6M","20090331","20090331","Dts=H")</f>
        <v>#N/A Invalid Field</v>
      </c>
      <c r="G243" t="str" cm="1">
        <f t="array" ref="G243">_xll.BDH($D243,"MTG_GEN_CPR_12M","20090331","20090331","Dts=H")</f>
        <v>#N/A Invalid Field</v>
      </c>
      <c r="H243" t="str" cm="1">
        <f t="array" ref="H243">_xll.BDH($D243,"MTG_GEN_CPR_3M","20090610","20090610","Dts=H")</f>
        <v>#N/A Invalid Field</v>
      </c>
      <c r="I243" t="str" cm="1">
        <f t="array" ref="I243">_xll.BDH($D243,"MTG_GEN_CPR_6M","20090610","20090610","Dts=H")</f>
        <v>#N/A Invalid Field</v>
      </c>
      <c r="J243" t="str" cm="1">
        <f t="array" ref="J243">_xll.BDH($D243,"MTG_GEN_CPR_12M","20090610","20090610","Dts=H")</f>
        <v>#N/A Invalid Field</v>
      </c>
      <c r="K243" t="str" cm="1">
        <f t="array" ref="K243">_xll.BDP("31283H4W2 Mtge","MTG_PREPAY_TYP")</f>
        <v>PSA</v>
      </c>
      <c r="L243" t="str" cm="1">
        <f t="array" ref="L243">_xll.BDP(D243,"MTG_PREPAY_SPEED")</f>
        <v>#N/A N/A</v>
      </c>
      <c r="M243" cm="1">
        <f t="array" ref="M243">_xll.BDP(D243,"MTG_PL_PSA_1M ")</f>
        <v>0</v>
      </c>
      <c r="N243" cm="1">
        <f t="array" ref="N243">_xll.BDP(D243,"MTG_PL_PSA_3M ")</f>
        <v>1309.4000000000001</v>
      </c>
      <c r="O243" cm="1">
        <f t="array" ref="O243">_xll.BDP(D243,"MTG_PL_PSA_6M ")</f>
        <v>1142.2</v>
      </c>
    </row>
    <row r="244" spans="1:15" x14ac:dyDescent="0.25">
      <c r="A244" t="s">
        <v>744</v>
      </c>
      <c r="B244" t="s">
        <v>745</v>
      </c>
      <c r="C244" t="s">
        <v>100</v>
      </c>
      <c r="D244" t="s">
        <v>746</v>
      </c>
      <c r="E244" t="str" cm="1">
        <f t="array" ref="E244">_xll.BDH($D244,"MTG_GEN_CPR_3M","20090331","20090331","Dts=H")</f>
        <v>#N/A Invalid Field</v>
      </c>
      <c r="F244" t="str" cm="1">
        <f t="array" ref="F244">_xll.BDH($D244,"MTG_GEN_CPR_6M","20090331","20090331","Dts=H")</f>
        <v>#N/A Invalid Field</v>
      </c>
      <c r="G244" t="str" cm="1">
        <f t="array" ref="G244">_xll.BDH($D244,"MTG_GEN_CPR_12M","20090331","20090331","Dts=H")</f>
        <v>#N/A Invalid Field</v>
      </c>
      <c r="H244" t="str" cm="1">
        <f t="array" ref="H244">_xll.BDH($D244,"MTG_GEN_CPR_3M","20090610","20090610","Dts=H")</f>
        <v>#N/A Invalid Field</v>
      </c>
      <c r="I244" t="str" cm="1">
        <f t="array" ref="I244">_xll.BDH($D244,"MTG_GEN_CPR_6M","20090610","20090610","Dts=H")</f>
        <v>#N/A Invalid Field</v>
      </c>
      <c r="J244" t="str" cm="1">
        <f t="array" ref="J244">_xll.BDH($D244,"MTG_GEN_CPR_12M","20090610","20090610","Dts=H")</f>
        <v>#N/A Invalid Field</v>
      </c>
      <c r="K244" t="str" cm="1">
        <f t="array" ref="K244">_xll.BDP("31283H4W2 Mtge","MTG_PREPAY_TYP")</f>
        <v>PSA</v>
      </c>
      <c r="L244" t="str" cm="1">
        <f t="array" ref="L244">_xll.BDP(D244,"MTG_PREPAY_SPEED")</f>
        <v>#N/A N/A</v>
      </c>
      <c r="M244" cm="1">
        <f t="array" ref="M244">_xll.BDP(D244,"MTG_PL_PSA_1M ")</f>
        <v>0</v>
      </c>
      <c r="N244" cm="1">
        <f t="array" ref="N244">_xll.BDP(D244,"MTG_PL_PSA_3M ")</f>
        <v>1643.1</v>
      </c>
      <c r="O244" cm="1">
        <f t="array" ref="O244">_xll.BDP(D244,"MTG_PL_PSA_6M ")</f>
        <v>1513.7</v>
      </c>
    </row>
    <row r="245" spans="1:15" x14ac:dyDescent="0.25">
      <c r="A245" t="s">
        <v>747</v>
      </c>
      <c r="B245" t="s">
        <v>748</v>
      </c>
      <c r="C245" t="s">
        <v>100</v>
      </c>
      <c r="D245" t="s">
        <v>749</v>
      </c>
      <c r="E245" t="str" cm="1">
        <f t="array" ref="E245">_xll.BDH($D245,"MTG_GEN_CPR_3M","20090331","20090331","Dts=H")</f>
        <v>#N/A Invalid Field</v>
      </c>
      <c r="F245" t="str" cm="1">
        <f t="array" ref="F245">_xll.BDH($D245,"MTG_GEN_CPR_6M","20090331","20090331","Dts=H")</f>
        <v>#N/A Invalid Field</v>
      </c>
      <c r="G245" t="str" cm="1">
        <f t="array" ref="G245">_xll.BDH($D245,"MTG_GEN_CPR_12M","20090331","20090331","Dts=H")</f>
        <v>#N/A Invalid Field</v>
      </c>
      <c r="H245" t="str" cm="1">
        <f t="array" ref="H245">_xll.BDH($D245,"MTG_GEN_CPR_3M","20090610","20090610","Dts=H")</f>
        <v>#N/A Invalid Field</v>
      </c>
      <c r="I245" t="str" cm="1">
        <f t="array" ref="I245">_xll.BDH($D245,"MTG_GEN_CPR_6M","20090610","20090610","Dts=H")</f>
        <v>#N/A Invalid Field</v>
      </c>
      <c r="J245" t="str" cm="1">
        <f t="array" ref="J245">_xll.BDH($D245,"MTG_GEN_CPR_12M","20090610","20090610","Dts=H")</f>
        <v>#N/A Invalid Field</v>
      </c>
      <c r="K245" t="str" cm="1">
        <f t="array" ref="K245">_xll.BDP("31283H4W2 Mtge","MTG_PREPAY_TYP")</f>
        <v>PSA</v>
      </c>
      <c r="L245" cm="1">
        <f t="array" ref="L245">_xll.BDP(D245,"MTG_PREPAY_SPEED")</f>
        <v>169</v>
      </c>
      <c r="M245" cm="1">
        <f t="array" ref="M245">_xll.BDP(D245,"MTG_PL_PSA_1M ")</f>
        <v>224.2</v>
      </c>
      <c r="N245" cm="1">
        <f t="array" ref="N245">_xll.BDP(D245,"MTG_PL_PSA_3M ")</f>
        <v>177.2</v>
      </c>
      <c r="O245" cm="1">
        <f t="array" ref="O245">_xll.BDP(D245,"MTG_PL_PSA_6M ")</f>
        <v>167.6</v>
      </c>
    </row>
    <row r="246" spans="1:15" x14ac:dyDescent="0.25">
      <c r="A246" t="s">
        <v>750</v>
      </c>
      <c r="B246" t="s">
        <v>751</v>
      </c>
      <c r="C246" t="s">
        <v>100</v>
      </c>
      <c r="D246" t="s">
        <v>752</v>
      </c>
      <c r="E246" t="str" cm="1">
        <f t="array" ref="E246">_xll.BDH($D246,"MTG_GEN_CPR_3M","20090331","20090331","Dts=H")</f>
        <v>#N/A Invalid Field</v>
      </c>
      <c r="F246" t="str" cm="1">
        <f t="array" ref="F246">_xll.BDH($D246,"MTG_GEN_CPR_6M","20090331","20090331","Dts=H")</f>
        <v>#N/A Invalid Field</v>
      </c>
      <c r="G246" t="str" cm="1">
        <f t="array" ref="G246">_xll.BDH($D246,"MTG_GEN_CPR_12M","20090331","20090331","Dts=H")</f>
        <v>#N/A Invalid Field</v>
      </c>
      <c r="H246" t="str" cm="1">
        <f t="array" ref="H246">_xll.BDH($D246,"MTG_GEN_CPR_3M","20090610","20090610","Dts=H")</f>
        <v>#N/A Invalid Field</v>
      </c>
      <c r="I246" t="str" cm="1">
        <f t="array" ref="I246">_xll.BDH($D246,"MTG_GEN_CPR_6M","20090610","20090610","Dts=H")</f>
        <v>#N/A Invalid Field</v>
      </c>
      <c r="J246" t="str" cm="1">
        <f t="array" ref="J246">_xll.BDH($D246,"MTG_GEN_CPR_12M","20090610","20090610","Dts=H")</f>
        <v>#N/A Invalid Field</v>
      </c>
      <c r="K246" t="str" cm="1">
        <f t="array" ref="K246">_xll.BDP("31283H4W2 Mtge","MTG_PREPAY_TYP")</f>
        <v>PSA</v>
      </c>
      <c r="L246" t="str" cm="1">
        <f t="array" ref="L246">_xll.BDP(D246,"MTG_PREPAY_SPEED")</f>
        <v>#N/A N/A</v>
      </c>
      <c r="M246" cm="1">
        <f t="array" ref="M246">_xll.BDP(D246,"MTG_PL_PSA_1M ")</f>
        <v>1666.7</v>
      </c>
      <c r="N246" cm="1">
        <f t="array" ref="N246">_xll.BDP(D246,"MTG_PL_PSA_3M ")</f>
        <v>1666.7</v>
      </c>
      <c r="O246" cm="1">
        <f t="array" ref="O246">_xll.BDP(D246,"MTG_PL_PSA_6M ")</f>
        <v>1666.7</v>
      </c>
    </row>
    <row r="247" spans="1:15" x14ac:dyDescent="0.25">
      <c r="A247" t="s">
        <v>753</v>
      </c>
      <c r="B247" t="s">
        <v>754</v>
      </c>
      <c r="C247" t="s">
        <v>100</v>
      </c>
      <c r="D247" t="s">
        <v>755</v>
      </c>
      <c r="E247" t="str" cm="1">
        <f t="array" ref="E247">_xll.BDH($D247,"MTG_GEN_CPR_3M","20090331","20090331","Dts=H")</f>
        <v>#N/A Invalid Field</v>
      </c>
      <c r="F247" t="str" cm="1">
        <f t="array" ref="F247">_xll.BDH($D247,"MTG_GEN_CPR_6M","20090331","20090331","Dts=H")</f>
        <v>#N/A Invalid Field</v>
      </c>
      <c r="G247" t="str" cm="1">
        <f t="array" ref="G247">_xll.BDH($D247,"MTG_GEN_CPR_12M","20090331","20090331","Dts=H")</f>
        <v>#N/A Invalid Field</v>
      </c>
      <c r="H247" t="str" cm="1">
        <f t="array" ref="H247">_xll.BDH($D247,"MTG_GEN_CPR_3M","20090610","20090610","Dts=H")</f>
        <v>#N/A Invalid Field</v>
      </c>
      <c r="I247" t="str" cm="1">
        <f t="array" ref="I247">_xll.BDH($D247,"MTG_GEN_CPR_6M","20090610","20090610","Dts=H")</f>
        <v>#N/A Invalid Field</v>
      </c>
      <c r="J247" t="str" cm="1">
        <f t="array" ref="J247">_xll.BDH($D247,"MTG_GEN_CPR_12M","20090610","20090610","Dts=H")</f>
        <v>#N/A Invalid Field</v>
      </c>
      <c r="K247" t="str" cm="1">
        <f t="array" ref="K247">_xll.BDP("31283H4W2 Mtge","MTG_PREPAY_TYP")</f>
        <v>PSA</v>
      </c>
      <c r="L247" t="str" cm="1">
        <f t="array" ref="L247">_xll.BDP(D247,"MTG_PREPAY_SPEED")</f>
        <v>#N/A N/A</v>
      </c>
      <c r="M247" cm="1">
        <f t="array" ref="M247">_xll.BDP(D247,"MTG_PL_PSA_1M ")</f>
        <v>1666.7</v>
      </c>
      <c r="N247" cm="1">
        <f t="array" ref="N247">_xll.BDP(D247,"MTG_PL_PSA_3M ")</f>
        <v>1666.7</v>
      </c>
      <c r="O247" cm="1">
        <f t="array" ref="O247">_xll.BDP(D247,"MTG_PL_PSA_6M ")</f>
        <v>1666.7</v>
      </c>
    </row>
    <row r="248" spans="1:15" x14ac:dyDescent="0.25">
      <c r="A248" t="s">
        <v>756</v>
      </c>
      <c r="B248" t="s">
        <v>757</v>
      </c>
      <c r="C248" t="s">
        <v>100</v>
      </c>
      <c r="D248" t="s">
        <v>758</v>
      </c>
      <c r="E248" t="str" cm="1">
        <f t="array" ref="E248">_xll.BDH($D248,"MTG_GEN_CPR_3M","20090331","20090331","Dts=H")</f>
        <v>#N/A Invalid Field</v>
      </c>
      <c r="F248" t="str" cm="1">
        <f t="array" ref="F248">_xll.BDH($D248,"MTG_GEN_CPR_6M","20090331","20090331","Dts=H")</f>
        <v>#N/A Invalid Field</v>
      </c>
      <c r="G248" t="str" cm="1">
        <f t="array" ref="G248">_xll.BDH($D248,"MTG_GEN_CPR_12M","20090331","20090331","Dts=H")</f>
        <v>#N/A Invalid Field</v>
      </c>
      <c r="H248" t="str" cm="1">
        <f t="array" ref="H248">_xll.BDH($D248,"MTG_GEN_CPR_3M","20090610","20090610","Dts=H")</f>
        <v>#N/A Invalid Field</v>
      </c>
      <c r="I248" t="str" cm="1">
        <f t="array" ref="I248">_xll.BDH($D248,"MTG_GEN_CPR_6M","20090610","20090610","Dts=H")</f>
        <v>#N/A Invalid Field</v>
      </c>
      <c r="J248" t="str" cm="1">
        <f t="array" ref="J248">_xll.BDH($D248,"MTG_GEN_CPR_12M","20090610","20090610","Dts=H")</f>
        <v>#N/A Invalid Field</v>
      </c>
      <c r="K248" t="str" cm="1">
        <f t="array" ref="K248">_xll.BDP("31283H4W2 Mtge","MTG_PREPAY_TYP")</f>
        <v>PSA</v>
      </c>
      <c r="L248" t="str" cm="1">
        <f t="array" ref="L248">_xll.BDP(D248,"MTG_PREPAY_SPEED")</f>
        <v>#N/A N/A</v>
      </c>
      <c r="M248" cm="1">
        <f t="array" ref="M248">_xll.BDP(D248,"MTG_PL_PSA_1M ")</f>
        <v>0</v>
      </c>
      <c r="N248" cm="1">
        <f t="array" ref="N248">_xll.BDP(D248,"MTG_PL_PSA_3M ")</f>
        <v>1665.6</v>
      </c>
      <c r="O248" cm="1">
        <f t="array" ref="O248">_xll.BDP(D248,"MTG_PL_PSA_6M ")</f>
        <v>1642.6</v>
      </c>
    </row>
    <row r="249" spans="1:15" x14ac:dyDescent="0.25">
      <c r="A249" t="s">
        <v>759</v>
      </c>
      <c r="B249" t="s">
        <v>760</v>
      </c>
      <c r="C249" t="s">
        <v>100</v>
      </c>
      <c r="D249" t="s">
        <v>761</v>
      </c>
      <c r="E249" t="str" cm="1">
        <f t="array" ref="E249">_xll.BDH($D249,"MTG_GEN_CPR_3M","20090331","20090331","Dts=H")</f>
        <v>#N/A Invalid Field</v>
      </c>
      <c r="F249" t="str" cm="1">
        <f t="array" ref="F249">_xll.BDH($D249,"MTG_GEN_CPR_6M","20090331","20090331","Dts=H")</f>
        <v>#N/A Invalid Field</v>
      </c>
      <c r="G249" t="str" cm="1">
        <f t="array" ref="G249">_xll.BDH($D249,"MTG_GEN_CPR_12M","20090331","20090331","Dts=H")</f>
        <v>#N/A Invalid Field</v>
      </c>
      <c r="H249" t="str" cm="1">
        <f t="array" ref="H249">_xll.BDH($D249,"MTG_GEN_CPR_3M","20090610","20090610","Dts=H")</f>
        <v>#N/A Invalid Field</v>
      </c>
      <c r="I249" t="str" cm="1">
        <f t="array" ref="I249">_xll.BDH($D249,"MTG_GEN_CPR_6M","20090610","20090610","Dts=H")</f>
        <v>#N/A Invalid Field</v>
      </c>
      <c r="J249" t="str" cm="1">
        <f t="array" ref="J249">_xll.BDH($D249,"MTG_GEN_CPR_12M","20090610","20090610","Dts=H")</f>
        <v>#N/A Invalid Field</v>
      </c>
      <c r="K249" t="str" cm="1">
        <f t="array" ref="K249">_xll.BDP("31283H4W2 Mtge","MTG_PREPAY_TYP")</f>
        <v>PSA</v>
      </c>
      <c r="L249" cm="1">
        <f t="array" ref="L249">_xll.BDP(D249,"MTG_PREPAY_SPEED")</f>
        <v>169</v>
      </c>
      <c r="M249" cm="1">
        <f t="array" ref="M249">_xll.BDP(D249,"MTG_PL_PSA_1M ")</f>
        <v>0.8</v>
      </c>
      <c r="N249" cm="1">
        <f t="array" ref="N249">_xll.BDP(D249,"MTG_PL_PSA_3M ")</f>
        <v>0.7</v>
      </c>
      <c r="O249" cm="1">
        <f t="array" ref="O249">_xll.BDP(D249,"MTG_PL_PSA_6M ")</f>
        <v>0.7</v>
      </c>
    </row>
    <row r="250" spans="1:15" x14ac:dyDescent="0.25">
      <c r="A250" t="s">
        <v>762</v>
      </c>
      <c r="B250" t="s">
        <v>763</v>
      </c>
      <c r="C250" t="s">
        <v>100</v>
      </c>
      <c r="D250" t="s">
        <v>764</v>
      </c>
      <c r="E250" t="str" cm="1">
        <f t="array" ref="E250">_xll.BDH($D250,"MTG_GEN_CPR_3M","20090331","20090331","Dts=H")</f>
        <v>#N/A Invalid Field</v>
      </c>
      <c r="F250" t="str" cm="1">
        <f t="array" ref="F250">_xll.BDH($D250,"MTG_GEN_CPR_6M","20090331","20090331","Dts=H")</f>
        <v>#N/A Invalid Field</v>
      </c>
      <c r="G250" t="str" cm="1">
        <f t="array" ref="G250">_xll.BDH($D250,"MTG_GEN_CPR_12M","20090331","20090331","Dts=H")</f>
        <v>#N/A Invalid Field</v>
      </c>
      <c r="H250" t="str" cm="1">
        <f t="array" ref="H250">_xll.BDH($D250,"MTG_GEN_CPR_3M","20090610","20090610","Dts=H")</f>
        <v>#N/A Invalid Field</v>
      </c>
      <c r="I250" t="str" cm="1">
        <f t="array" ref="I250">_xll.BDH($D250,"MTG_GEN_CPR_6M","20090610","20090610","Dts=H")</f>
        <v>#N/A Invalid Field</v>
      </c>
      <c r="J250" t="str" cm="1">
        <f t="array" ref="J250">_xll.BDH($D250,"MTG_GEN_CPR_12M","20090610","20090610","Dts=H")</f>
        <v>#N/A Invalid Field</v>
      </c>
      <c r="K250" t="str" cm="1">
        <f t="array" ref="K250">_xll.BDP("31283H4W2 Mtge","MTG_PREPAY_TYP")</f>
        <v>PSA</v>
      </c>
      <c r="L250" cm="1">
        <f t="array" ref="L250">_xll.BDP(D250,"MTG_PREPAY_SPEED")</f>
        <v>227</v>
      </c>
      <c r="M250" cm="1">
        <f t="array" ref="M250">_xll.BDP(D250,"MTG_PL_PSA_1M ")</f>
        <v>729.4</v>
      </c>
      <c r="N250" cm="1">
        <f t="array" ref="N250">_xll.BDP(D250,"MTG_PL_PSA_3M ")</f>
        <v>599.5</v>
      </c>
      <c r="O250" cm="1">
        <f t="array" ref="O250">_xll.BDP(D250,"MTG_PL_PSA_6M ")</f>
        <v>410.4</v>
      </c>
    </row>
    <row r="251" spans="1:15" x14ac:dyDescent="0.25">
      <c r="A251" t="s">
        <v>765</v>
      </c>
      <c r="B251" t="s">
        <v>766</v>
      </c>
      <c r="C251" t="s">
        <v>100</v>
      </c>
      <c r="D251" t="s">
        <v>767</v>
      </c>
      <c r="E251" t="str" cm="1">
        <f t="array" ref="E251">_xll.BDH($D251,"MTG_GEN_CPR_3M","20090331","20090331","Dts=H")</f>
        <v>#N/A Invalid Field</v>
      </c>
      <c r="F251" t="str" cm="1">
        <f t="array" ref="F251">_xll.BDH($D251,"MTG_GEN_CPR_6M","20090331","20090331","Dts=H")</f>
        <v>#N/A Invalid Field</v>
      </c>
      <c r="G251" t="str" cm="1">
        <f t="array" ref="G251">_xll.BDH($D251,"MTG_GEN_CPR_12M","20090331","20090331","Dts=H")</f>
        <v>#N/A Invalid Field</v>
      </c>
      <c r="H251" t="str" cm="1">
        <f t="array" ref="H251">_xll.BDH($D251,"MTG_GEN_CPR_3M","20090610","20090610","Dts=H")</f>
        <v>#N/A Invalid Field</v>
      </c>
      <c r="I251" t="str" cm="1">
        <f t="array" ref="I251">_xll.BDH($D251,"MTG_GEN_CPR_6M","20090610","20090610","Dts=H")</f>
        <v>#N/A Invalid Field</v>
      </c>
      <c r="J251" t="str" cm="1">
        <f t="array" ref="J251">_xll.BDH($D251,"MTG_GEN_CPR_12M","20090610","20090610","Dts=H")</f>
        <v>#N/A Invalid Field</v>
      </c>
      <c r="K251" t="str" cm="1">
        <f t="array" ref="K251">_xll.BDP("31283H4W2 Mtge","MTG_PREPAY_TYP")</f>
        <v>PSA</v>
      </c>
      <c r="L251" cm="1">
        <f t="array" ref="L251">_xll.BDP(D251,"MTG_PREPAY_SPEED")</f>
        <v>169</v>
      </c>
      <c r="M251" cm="1">
        <f t="array" ref="M251">_xll.BDP(D251,"MTG_PL_PSA_1M ")</f>
        <v>3.3</v>
      </c>
      <c r="N251" cm="1">
        <f t="array" ref="N251">_xll.BDP(D251,"MTG_PL_PSA_3M ")</f>
        <v>3.2</v>
      </c>
      <c r="O251" cm="1">
        <f t="array" ref="O251">_xll.BDP(D251,"MTG_PL_PSA_6M ")</f>
        <v>3.8</v>
      </c>
    </row>
    <row r="252" spans="1:15" x14ac:dyDescent="0.25">
      <c r="A252" t="s">
        <v>768</v>
      </c>
      <c r="B252" t="s">
        <v>769</v>
      </c>
      <c r="C252" t="s">
        <v>100</v>
      </c>
      <c r="D252" t="s">
        <v>770</v>
      </c>
      <c r="E252" t="str" cm="1">
        <f t="array" ref="E252">_xll.BDH($D252,"MTG_GEN_CPR_3M","20090331","20090331","Dts=H")</f>
        <v>#N/A Invalid Field</v>
      </c>
      <c r="F252" t="str" cm="1">
        <f t="array" ref="F252">_xll.BDH($D252,"MTG_GEN_CPR_6M","20090331","20090331","Dts=H")</f>
        <v>#N/A Invalid Field</v>
      </c>
      <c r="G252" t="str" cm="1">
        <f t="array" ref="G252">_xll.BDH($D252,"MTG_GEN_CPR_12M","20090331","20090331","Dts=H")</f>
        <v>#N/A Invalid Field</v>
      </c>
      <c r="H252" t="str" cm="1">
        <f t="array" ref="H252">_xll.BDH($D252,"MTG_GEN_CPR_3M","20090610","20090610","Dts=H")</f>
        <v>#N/A Invalid Field</v>
      </c>
      <c r="I252" t="str" cm="1">
        <f t="array" ref="I252">_xll.BDH($D252,"MTG_GEN_CPR_6M","20090610","20090610","Dts=H")</f>
        <v>#N/A Invalid Field</v>
      </c>
      <c r="J252" t="str" cm="1">
        <f t="array" ref="J252">_xll.BDH($D252,"MTG_GEN_CPR_12M","20090610","20090610","Dts=H")</f>
        <v>#N/A Invalid Field</v>
      </c>
      <c r="K252" t="str" cm="1">
        <f t="array" ref="K252">_xll.BDP("31283H4W2 Mtge","MTG_PREPAY_TYP")</f>
        <v>PSA</v>
      </c>
      <c r="L252" cm="1">
        <f t="array" ref="L252">_xll.BDP(D252,"MTG_PREPAY_SPEED")</f>
        <v>169</v>
      </c>
      <c r="M252" cm="1">
        <f t="array" ref="M252">_xll.BDP(D252,"MTG_PL_PSA_1M ")</f>
        <v>13.3</v>
      </c>
      <c r="N252" cm="1">
        <f t="array" ref="N252">_xll.BDP(D252,"MTG_PL_PSA_3M ")</f>
        <v>180.6</v>
      </c>
      <c r="O252" cm="1">
        <f t="array" ref="O252">_xll.BDP(D252,"MTG_PL_PSA_6M ")</f>
        <v>104.6</v>
      </c>
    </row>
    <row r="253" spans="1:15" x14ac:dyDescent="0.25">
      <c r="A253" t="s">
        <v>771</v>
      </c>
      <c r="B253" t="s">
        <v>772</v>
      </c>
      <c r="C253" t="s">
        <v>100</v>
      </c>
      <c r="D253" t="s">
        <v>773</v>
      </c>
      <c r="E253" t="str" cm="1">
        <f t="array" ref="E253">_xll.BDH($D253,"MTG_GEN_CPR_3M","20090331","20090331","Dts=H")</f>
        <v>#N/A Invalid Field</v>
      </c>
      <c r="F253" t="str" cm="1">
        <f t="array" ref="F253">_xll.BDH($D253,"MTG_GEN_CPR_6M","20090331","20090331","Dts=H")</f>
        <v>#N/A Invalid Field</v>
      </c>
      <c r="G253" t="str" cm="1">
        <f t="array" ref="G253">_xll.BDH($D253,"MTG_GEN_CPR_12M","20090331","20090331","Dts=H")</f>
        <v>#N/A Invalid Field</v>
      </c>
      <c r="H253" t="str" cm="1">
        <f t="array" ref="H253">_xll.BDH($D253,"MTG_GEN_CPR_3M","20090610","20090610","Dts=H")</f>
        <v>#N/A Invalid Field</v>
      </c>
      <c r="I253" t="str" cm="1">
        <f t="array" ref="I253">_xll.BDH($D253,"MTG_GEN_CPR_6M","20090610","20090610","Dts=H")</f>
        <v>#N/A Invalid Field</v>
      </c>
      <c r="J253" t="str" cm="1">
        <f t="array" ref="J253">_xll.BDH($D253,"MTG_GEN_CPR_12M","20090610","20090610","Dts=H")</f>
        <v>#N/A Invalid Field</v>
      </c>
      <c r="K253" t="str" cm="1">
        <f t="array" ref="K253">_xll.BDP("31283H4W2 Mtge","MTG_PREPAY_TYP")</f>
        <v>PSA</v>
      </c>
      <c r="L253" t="str" cm="1">
        <f t="array" ref="L253">_xll.BDP(D253,"MTG_PREPAY_SPEED")</f>
        <v>#N/A N/A</v>
      </c>
      <c r="M253" cm="1">
        <f t="array" ref="M253">_xll.BDP(D253,"MTG_PL_PSA_1M ")</f>
        <v>0</v>
      </c>
      <c r="N253" cm="1">
        <f t="array" ref="N253">_xll.BDP(D253,"MTG_PL_PSA_3M ")</f>
        <v>1391.7</v>
      </c>
      <c r="O253" cm="1">
        <f t="array" ref="O253">_xll.BDP(D253,"MTG_PL_PSA_6M ")</f>
        <v>1253.0999999999999</v>
      </c>
    </row>
    <row r="254" spans="1:15" x14ac:dyDescent="0.25">
      <c r="A254" t="s">
        <v>774</v>
      </c>
      <c r="B254" t="s">
        <v>775</v>
      </c>
      <c r="C254" t="s">
        <v>100</v>
      </c>
      <c r="D254" t="s">
        <v>776</v>
      </c>
      <c r="E254" t="str" cm="1">
        <f t="array" ref="E254">_xll.BDH($D254,"MTG_GEN_CPR_3M","20090331","20090331","Dts=H")</f>
        <v>#N/A Invalid Field</v>
      </c>
      <c r="F254" t="str" cm="1">
        <f t="array" ref="F254">_xll.BDH($D254,"MTG_GEN_CPR_6M","20090331","20090331","Dts=H")</f>
        <v>#N/A Invalid Field</v>
      </c>
      <c r="G254" t="str" cm="1">
        <f t="array" ref="G254">_xll.BDH($D254,"MTG_GEN_CPR_12M","20090331","20090331","Dts=H")</f>
        <v>#N/A Invalid Field</v>
      </c>
      <c r="H254" t="str" cm="1">
        <f t="array" ref="H254">_xll.BDH($D254,"MTG_GEN_CPR_3M","20090610","20090610","Dts=H")</f>
        <v>#N/A Invalid Field</v>
      </c>
      <c r="I254" t="str" cm="1">
        <f t="array" ref="I254">_xll.BDH($D254,"MTG_GEN_CPR_6M","20090610","20090610","Dts=H")</f>
        <v>#N/A Invalid Field</v>
      </c>
      <c r="J254" t="str" cm="1">
        <f t="array" ref="J254">_xll.BDH($D254,"MTG_GEN_CPR_12M","20090610","20090610","Dts=H")</f>
        <v>#N/A Invalid Field</v>
      </c>
      <c r="K254" t="str" cm="1">
        <f t="array" ref="K254">_xll.BDP("31283H4W2 Mtge","MTG_PREPAY_TYP")</f>
        <v>PSA</v>
      </c>
      <c r="L254" t="str" cm="1">
        <f t="array" ref="L254">_xll.BDP(D254,"MTG_PREPAY_SPEED")</f>
        <v>#N/A N/A</v>
      </c>
      <c r="M254" cm="1">
        <f t="array" ref="M254">_xll.BDP(D254,"MTG_PL_PSA_1M ")</f>
        <v>0</v>
      </c>
      <c r="N254" cm="1">
        <f t="array" ref="N254">_xll.BDP(D254,"MTG_PL_PSA_3M ")</f>
        <v>1360.7</v>
      </c>
      <c r="O254" cm="1">
        <f t="array" ref="O254">_xll.BDP(D254,"MTG_PL_PSA_6M ")</f>
        <v>1139</v>
      </c>
    </row>
    <row r="255" spans="1:15" x14ac:dyDescent="0.25">
      <c r="A255" t="s">
        <v>777</v>
      </c>
      <c r="B255" t="s">
        <v>778</v>
      </c>
      <c r="C255" t="s">
        <v>100</v>
      </c>
      <c r="D255" t="s">
        <v>779</v>
      </c>
      <c r="E255" t="str" cm="1">
        <f t="array" ref="E255">_xll.BDH($D255,"MTG_GEN_CPR_3M","20090331","20090331","Dts=H")</f>
        <v>#N/A Invalid Field</v>
      </c>
      <c r="F255" t="str" cm="1">
        <f t="array" ref="F255">_xll.BDH($D255,"MTG_GEN_CPR_6M","20090331","20090331","Dts=H")</f>
        <v>#N/A Invalid Field</v>
      </c>
      <c r="G255" t="str" cm="1">
        <f t="array" ref="G255">_xll.BDH($D255,"MTG_GEN_CPR_12M","20090331","20090331","Dts=H")</f>
        <v>#N/A Invalid Field</v>
      </c>
      <c r="H255" t="str" cm="1">
        <f t="array" ref="H255">_xll.BDH($D255,"MTG_GEN_CPR_3M","20090610","20090610","Dts=H")</f>
        <v>#N/A Invalid Field</v>
      </c>
      <c r="I255" t="str" cm="1">
        <f t="array" ref="I255">_xll.BDH($D255,"MTG_GEN_CPR_6M","20090610","20090610","Dts=H")</f>
        <v>#N/A Invalid Field</v>
      </c>
      <c r="J255" t="str" cm="1">
        <f t="array" ref="J255">_xll.BDH($D255,"MTG_GEN_CPR_12M","20090610","20090610","Dts=H")</f>
        <v>#N/A Invalid Field</v>
      </c>
      <c r="K255" t="str" cm="1">
        <f t="array" ref="K255">_xll.BDP("31283H4W2 Mtge","MTG_PREPAY_TYP")</f>
        <v>PSA</v>
      </c>
      <c r="L255" t="str" cm="1">
        <f t="array" ref="L255">_xll.BDP(D255,"MTG_PREPAY_SPEED")</f>
        <v>#N/A N/A</v>
      </c>
      <c r="M255" cm="1">
        <f t="array" ref="M255">_xll.BDP(D255,"MTG_PL_PSA_1M ")</f>
        <v>0</v>
      </c>
      <c r="N255" cm="1">
        <f t="array" ref="N255">_xll.BDP(D255,"MTG_PL_PSA_3M ")</f>
        <v>1629.2</v>
      </c>
      <c r="O255" cm="1">
        <f t="array" ref="O255">_xll.BDP(D255,"MTG_PL_PSA_6M ")</f>
        <v>1498.2</v>
      </c>
    </row>
    <row r="256" spans="1:15" x14ac:dyDescent="0.25">
      <c r="A256" t="s">
        <v>780</v>
      </c>
      <c r="B256" t="s">
        <v>781</v>
      </c>
      <c r="C256" t="s">
        <v>100</v>
      </c>
      <c r="D256" t="s">
        <v>782</v>
      </c>
      <c r="E256" t="str" cm="1">
        <f t="array" ref="E256">_xll.BDH($D256,"MTG_GEN_CPR_3M","20090331","20090331","Dts=H")</f>
        <v>#N/A Invalid Field</v>
      </c>
      <c r="F256" t="str" cm="1">
        <f t="array" ref="F256">_xll.BDH($D256,"MTG_GEN_CPR_6M","20090331","20090331","Dts=H")</f>
        <v>#N/A Invalid Field</v>
      </c>
      <c r="G256" t="str" cm="1">
        <f t="array" ref="G256">_xll.BDH($D256,"MTG_GEN_CPR_12M","20090331","20090331","Dts=H")</f>
        <v>#N/A Invalid Field</v>
      </c>
      <c r="H256" t="str" cm="1">
        <f t="array" ref="H256">_xll.BDH($D256,"MTG_GEN_CPR_3M","20090610","20090610","Dts=H")</f>
        <v>#N/A Invalid Field</v>
      </c>
      <c r="I256" t="str" cm="1">
        <f t="array" ref="I256">_xll.BDH($D256,"MTG_GEN_CPR_6M","20090610","20090610","Dts=H")</f>
        <v>#N/A Invalid Field</v>
      </c>
      <c r="J256" t="str" cm="1">
        <f t="array" ref="J256">_xll.BDH($D256,"MTG_GEN_CPR_12M","20090610","20090610","Dts=H")</f>
        <v>#N/A Invalid Field</v>
      </c>
      <c r="K256" t="str" cm="1">
        <f t="array" ref="K256">_xll.BDP("31283H4W2 Mtge","MTG_PREPAY_TYP")</f>
        <v>PSA</v>
      </c>
      <c r="L256" t="str" cm="1">
        <f t="array" ref="L256">_xll.BDP(D256,"MTG_PREPAY_SPEED")</f>
        <v>#N/A N/A</v>
      </c>
      <c r="M256" cm="1">
        <f t="array" ref="M256">_xll.BDP(D256,"MTG_PL_PSA_1M ")</f>
        <v>0</v>
      </c>
      <c r="N256" cm="1">
        <f t="array" ref="N256">_xll.BDP(D256,"MTG_PL_PSA_3M ")</f>
        <v>2.1</v>
      </c>
      <c r="O256" cm="1">
        <f t="array" ref="O256">_xll.BDP(D256,"MTG_PL_PSA_6M ")</f>
        <v>1358.7</v>
      </c>
    </row>
    <row r="257" spans="1:15" x14ac:dyDescent="0.25">
      <c r="A257" t="s">
        <v>783</v>
      </c>
      <c r="B257" t="s">
        <v>784</v>
      </c>
      <c r="C257" t="s">
        <v>100</v>
      </c>
      <c r="D257" t="s">
        <v>785</v>
      </c>
      <c r="E257" t="str" cm="1">
        <f t="array" ref="E257">_xll.BDH($D257,"MTG_GEN_CPR_3M","20090331","20090331","Dts=H")</f>
        <v>#N/A Invalid Field</v>
      </c>
      <c r="F257" t="str" cm="1">
        <f t="array" ref="F257">_xll.BDH($D257,"MTG_GEN_CPR_6M","20090331","20090331","Dts=H")</f>
        <v>#N/A Invalid Field</v>
      </c>
      <c r="G257" t="str" cm="1">
        <f t="array" ref="G257">_xll.BDH($D257,"MTG_GEN_CPR_12M","20090331","20090331","Dts=H")</f>
        <v>#N/A Invalid Field</v>
      </c>
      <c r="H257" t="str" cm="1">
        <f t="array" ref="H257">_xll.BDH($D257,"MTG_GEN_CPR_3M","20090610","20090610","Dts=H")</f>
        <v>#N/A Invalid Field</v>
      </c>
      <c r="I257" t="str" cm="1">
        <f t="array" ref="I257">_xll.BDH($D257,"MTG_GEN_CPR_6M","20090610","20090610","Dts=H")</f>
        <v>#N/A Invalid Field</v>
      </c>
      <c r="J257" t="str" cm="1">
        <f t="array" ref="J257">_xll.BDH($D257,"MTG_GEN_CPR_12M","20090610","20090610","Dts=H")</f>
        <v>#N/A Invalid Field</v>
      </c>
      <c r="K257" t="str" cm="1">
        <f t="array" ref="K257">_xll.BDP("31283H4W2 Mtge","MTG_PREPAY_TYP")</f>
        <v>PSA</v>
      </c>
      <c r="L257" t="str" cm="1">
        <f t="array" ref="L257">_xll.BDP(D257,"MTG_PREPAY_SPEED")</f>
        <v>#N/A N/A</v>
      </c>
      <c r="M257" cm="1">
        <f t="array" ref="M257">_xll.BDP(D257,"MTG_PL_PSA_1M ")</f>
        <v>0</v>
      </c>
      <c r="N257" cm="1">
        <f t="array" ref="N257">_xll.BDP(D257,"MTG_PL_PSA_3M ")</f>
        <v>1415.2</v>
      </c>
      <c r="O257" cm="1">
        <f t="array" ref="O257">_xll.BDP(D257,"MTG_PL_PSA_6M ")</f>
        <v>1313.2</v>
      </c>
    </row>
    <row r="258" spans="1:15" x14ac:dyDescent="0.25">
      <c r="A258" t="s">
        <v>786</v>
      </c>
      <c r="B258" t="s">
        <v>787</v>
      </c>
      <c r="C258" t="s">
        <v>100</v>
      </c>
      <c r="D258" t="s">
        <v>788</v>
      </c>
      <c r="E258" t="str" cm="1">
        <f t="array" ref="E258">_xll.BDH($D258,"MTG_GEN_CPR_3M","20090331","20090331","Dts=H")</f>
        <v>#N/A Invalid Field</v>
      </c>
      <c r="F258" t="str" cm="1">
        <f t="array" ref="F258">_xll.BDH($D258,"MTG_GEN_CPR_6M","20090331","20090331","Dts=H")</f>
        <v>#N/A Invalid Field</v>
      </c>
      <c r="G258" t="str" cm="1">
        <f t="array" ref="G258">_xll.BDH($D258,"MTG_GEN_CPR_12M","20090331","20090331","Dts=H")</f>
        <v>#N/A Invalid Field</v>
      </c>
      <c r="H258" t="str" cm="1">
        <f t="array" ref="H258">_xll.BDH($D258,"MTG_GEN_CPR_3M","20090610","20090610","Dts=H")</f>
        <v>#N/A Invalid Field</v>
      </c>
      <c r="I258" t="str" cm="1">
        <f t="array" ref="I258">_xll.BDH($D258,"MTG_GEN_CPR_6M","20090610","20090610","Dts=H")</f>
        <v>#N/A Invalid Field</v>
      </c>
      <c r="J258" t="str" cm="1">
        <f t="array" ref="J258">_xll.BDH($D258,"MTG_GEN_CPR_12M","20090610","20090610","Dts=H")</f>
        <v>#N/A Invalid Field</v>
      </c>
      <c r="K258" t="str" cm="1">
        <f t="array" ref="K258">_xll.BDP("31283H4W2 Mtge","MTG_PREPAY_TYP")</f>
        <v>PSA</v>
      </c>
      <c r="L258" t="str" cm="1">
        <f t="array" ref="L258">_xll.BDP(D258,"MTG_PREPAY_SPEED")</f>
        <v>#N/A N/A</v>
      </c>
      <c r="M258" cm="1">
        <f t="array" ref="M258">_xll.BDP(D258,"MTG_PL_PSA_1M ")</f>
        <v>0</v>
      </c>
      <c r="N258" cm="1">
        <f t="array" ref="N258">_xll.BDP(D258,"MTG_PL_PSA_3M ")</f>
        <v>20.100000000000001</v>
      </c>
      <c r="O258" cm="1">
        <f t="array" ref="O258">_xll.BDP(D258,"MTG_PL_PSA_6M ")</f>
        <v>588.70000000000005</v>
      </c>
    </row>
    <row r="259" spans="1:15" x14ac:dyDescent="0.25">
      <c r="A259" t="s">
        <v>789</v>
      </c>
      <c r="B259" t="s">
        <v>790</v>
      </c>
      <c r="C259" t="s">
        <v>100</v>
      </c>
      <c r="D259" t="s">
        <v>791</v>
      </c>
      <c r="E259" t="str" cm="1">
        <f t="array" ref="E259">_xll.BDH($D259,"MTG_GEN_CPR_3M","20090331","20090331","Dts=H")</f>
        <v>#N/A Invalid Field</v>
      </c>
      <c r="F259" t="str" cm="1">
        <f t="array" ref="F259">_xll.BDH($D259,"MTG_GEN_CPR_6M","20090331","20090331","Dts=H")</f>
        <v>#N/A Invalid Field</v>
      </c>
      <c r="G259" t="str" cm="1">
        <f t="array" ref="G259">_xll.BDH($D259,"MTG_GEN_CPR_12M","20090331","20090331","Dts=H")</f>
        <v>#N/A Invalid Field</v>
      </c>
      <c r="H259" t="str" cm="1">
        <f t="array" ref="H259">_xll.BDH($D259,"MTG_GEN_CPR_3M","20090610","20090610","Dts=H")</f>
        <v>#N/A Invalid Field</v>
      </c>
      <c r="I259" t="str" cm="1">
        <f t="array" ref="I259">_xll.BDH($D259,"MTG_GEN_CPR_6M","20090610","20090610","Dts=H")</f>
        <v>#N/A Invalid Field</v>
      </c>
      <c r="J259" t="str" cm="1">
        <f t="array" ref="J259">_xll.BDH($D259,"MTG_GEN_CPR_12M","20090610","20090610","Dts=H")</f>
        <v>#N/A Invalid Field</v>
      </c>
      <c r="K259" t="str" cm="1">
        <f t="array" ref="K259">_xll.BDP("31283H4W2 Mtge","MTG_PREPAY_TYP")</f>
        <v>PSA</v>
      </c>
      <c r="L259" t="str" cm="1">
        <f t="array" ref="L259">_xll.BDP(D259,"MTG_PREPAY_SPEED")</f>
        <v>#N/A N/A</v>
      </c>
      <c r="M259" cm="1">
        <f t="array" ref="M259">_xll.BDP(D259,"MTG_PL_PSA_1M ")</f>
        <v>0</v>
      </c>
      <c r="N259" cm="1">
        <f t="array" ref="N259">_xll.BDP(D259,"MTG_PL_PSA_3M ")</f>
        <v>1589.1</v>
      </c>
      <c r="O259" cm="1">
        <f t="array" ref="O259">_xll.BDP(D259,"MTG_PL_PSA_6M ")</f>
        <v>1364</v>
      </c>
    </row>
    <row r="260" spans="1:15" x14ac:dyDescent="0.25">
      <c r="A260" t="s">
        <v>792</v>
      </c>
      <c r="B260" t="s">
        <v>793</v>
      </c>
      <c r="C260" t="s">
        <v>100</v>
      </c>
      <c r="D260" t="s">
        <v>794</v>
      </c>
      <c r="E260" t="str" cm="1">
        <f t="array" ref="E260">_xll.BDH($D260,"MTG_GEN_CPR_3M","20090331","20090331","Dts=H")</f>
        <v>#N/A Invalid Field</v>
      </c>
      <c r="F260" t="str" cm="1">
        <f t="array" ref="F260">_xll.BDH($D260,"MTG_GEN_CPR_6M","20090331","20090331","Dts=H")</f>
        <v>#N/A Invalid Field</v>
      </c>
      <c r="G260" t="str" cm="1">
        <f t="array" ref="G260">_xll.BDH($D260,"MTG_GEN_CPR_12M","20090331","20090331","Dts=H")</f>
        <v>#N/A Invalid Field</v>
      </c>
      <c r="H260" t="str" cm="1">
        <f t="array" ref="H260">_xll.BDH($D260,"MTG_GEN_CPR_3M","20090610","20090610","Dts=H")</f>
        <v>#N/A Invalid Field</v>
      </c>
      <c r="I260" t="str" cm="1">
        <f t="array" ref="I260">_xll.BDH($D260,"MTG_GEN_CPR_6M","20090610","20090610","Dts=H")</f>
        <v>#N/A Invalid Field</v>
      </c>
      <c r="J260" t="str" cm="1">
        <f t="array" ref="J260">_xll.BDH($D260,"MTG_GEN_CPR_12M","20090610","20090610","Dts=H")</f>
        <v>#N/A Invalid Field</v>
      </c>
      <c r="K260" t="str" cm="1">
        <f t="array" ref="K260">_xll.BDP("31283H4W2 Mtge","MTG_PREPAY_TYP")</f>
        <v>PSA</v>
      </c>
      <c r="L260" cm="1">
        <f t="array" ref="L260">_xll.BDP(D260,"MTG_PREPAY_SPEED")</f>
        <v>125</v>
      </c>
      <c r="M260" cm="1">
        <f t="array" ref="M260">_xll.BDP(D260,"MTG_PL_PSA_1M ")</f>
        <v>202.8</v>
      </c>
      <c r="N260" cm="1">
        <f t="array" ref="N260">_xll.BDP(D260,"MTG_PL_PSA_3M ")</f>
        <v>188.9</v>
      </c>
      <c r="O260" cm="1">
        <f t="array" ref="O260">_xll.BDP(D260,"MTG_PL_PSA_6M ")</f>
        <v>175.3</v>
      </c>
    </row>
    <row r="261" spans="1:15" x14ac:dyDescent="0.25">
      <c r="A261" t="s">
        <v>795</v>
      </c>
      <c r="B261" t="s">
        <v>796</v>
      </c>
      <c r="C261" t="s">
        <v>100</v>
      </c>
      <c r="D261" t="s">
        <v>797</v>
      </c>
      <c r="E261" t="str" cm="1">
        <f t="array" ref="E261">_xll.BDH($D261,"MTG_GEN_CPR_3M","20090331","20090331","Dts=H")</f>
        <v>#N/A Invalid Field</v>
      </c>
      <c r="F261" t="str" cm="1">
        <f t="array" ref="F261">_xll.BDH($D261,"MTG_GEN_CPR_6M","20090331","20090331","Dts=H")</f>
        <v>#N/A Invalid Field</v>
      </c>
      <c r="G261" t="str" cm="1">
        <f t="array" ref="G261">_xll.BDH($D261,"MTG_GEN_CPR_12M","20090331","20090331","Dts=H")</f>
        <v>#N/A Invalid Field</v>
      </c>
      <c r="H261" t="str" cm="1">
        <f t="array" ref="H261">_xll.BDH($D261,"MTG_GEN_CPR_3M","20090610","20090610","Dts=H")</f>
        <v>#N/A Invalid Field</v>
      </c>
      <c r="I261" t="str" cm="1">
        <f t="array" ref="I261">_xll.BDH($D261,"MTG_GEN_CPR_6M","20090610","20090610","Dts=H")</f>
        <v>#N/A Invalid Field</v>
      </c>
      <c r="J261" t="str" cm="1">
        <f t="array" ref="J261">_xll.BDH($D261,"MTG_GEN_CPR_12M","20090610","20090610","Dts=H")</f>
        <v>#N/A Invalid Field</v>
      </c>
      <c r="K261" t="str" cm="1">
        <f t="array" ref="K261">_xll.BDP("31283H4W2 Mtge","MTG_PREPAY_TYP")</f>
        <v>PSA</v>
      </c>
      <c r="L261" t="str" cm="1">
        <f t="array" ref="L261">_xll.BDP(D261,"MTG_PREPAY_SPEED")</f>
        <v>#N/A N/A</v>
      </c>
      <c r="M261" cm="1">
        <f t="array" ref="M261">_xll.BDP(D261,"MTG_PL_PSA_1M ")</f>
        <v>0</v>
      </c>
      <c r="N261" cm="1">
        <f t="array" ref="N261">_xll.BDP(D261,"MTG_PL_PSA_3M ")</f>
        <v>1613.6</v>
      </c>
      <c r="O261" cm="1">
        <f t="array" ref="O261">_xll.BDP(D261,"MTG_PL_PSA_6M ")</f>
        <v>1460.4</v>
      </c>
    </row>
    <row r="262" spans="1:15" x14ac:dyDescent="0.25">
      <c r="A262" t="s">
        <v>798</v>
      </c>
      <c r="B262" t="s">
        <v>799</v>
      </c>
      <c r="C262" t="s">
        <v>100</v>
      </c>
      <c r="D262" t="s">
        <v>800</v>
      </c>
      <c r="E262" t="str" cm="1">
        <f t="array" ref="E262">_xll.BDH($D262,"MTG_GEN_CPR_3M","20090331","20090331","Dts=H")</f>
        <v>#N/A Invalid Field</v>
      </c>
      <c r="F262" t="str" cm="1">
        <f t="array" ref="F262">_xll.BDH($D262,"MTG_GEN_CPR_6M","20090331","20090331","Dts=H")</f>
        <v>#N/A Invalid Field</v>
      </c>
      <c r="G262" t="str" cm="1">
        <f t="array" ref="G262">_xll.BDH($D262,"MTG_GEN_CPR_12M","20090331","20090331","Dts=H")</f>
        <v>#N/A Invalid Field</v>
      </c>
      <c r="H262" t="str" cm="1">
        <f t="array" ref="H262">_xll.BDH($D262,"MTG_GEN_CPR_3M","20090610","20090610","Dts=H")</f>
        <v>#N/A Invalid Field</v>
      </c>
      <c r="I262" t="str" cm="1">
        <f t="array" ref="I262">_xll.BDH($D262,"MTG_GEN_CPR_6M","20090610","20090610","Dts=H")</f>
        <v>#N/A Invalid Field</v>
      </c>
      <c r="J262" t="str" cm="1">
        <f t="array" ref="J262">_xll.BDH($D262,"MTG_GEN_CPR_12M","20090610","20090610","Dts=H")</f>
        <v>#N/A Invalid Field</v>
      </c>
      <c r="K262" t="str" cm="1">
        <f t="array" ref="K262">_xll.BDP("31283H4W2 Mtge","MTG_PREPAY_TYP")</f>
        <v>PSA</v>
      </c>
      <c r="L262" t="str" cm="1">
        <f t="array" ref="L262">_xll.BDP(D262,"MTG_PREPAY_SPEED")</f>
        <v>#N/A N/A</v>
      </c>
      <c r="M262" cm="1">
        <f t="array" ref="M262">_xll.BDP(D262,"MTG_PL_PSA_1M ")</f>
        <v>0</v>
      </c>
      <c r="N262" cm="1">
        <f t="array" ref="N262">_xll.BDP(D262,"MTG_PL_PSA_3M ")</f>
        <v>1666.7</v>
      </c>
      <c r="O262" cm="1">
        <f t="array" ref="O262">_xll.BDP(D262,"MTG_PL_PSA_6M ")</f>
        <v>1666.3</v>
      </c>
    </row>
    <row r="263" spans="1:15" x14ac:dyDescent="0.25">
      <c r="A263" t="s">
        <v>801</v>
      </c>
      <c r="B263" t="s">
        <v>802</v>
      </c>
      <c r="C263" t="s">
        <v>100</v>
      </c>
      <c r="D263" t="s">
        <v>803</v>
      </c>
      <c r="E263" t="str" cm="1">
        <f t="array" ref="E263">_xll.BDH($D263,"MTG_GEN_CPR_3M","20090331","20090331","Dts=H")</f>
        <v>#N/A Invalid Field</v>
      </c>
      <c r="F263" t="str" cm="1">
        <f t="array" ref="F263">_xll.BDH($D263,"MTG_GEN_CPR_6M","20090331","20090331","Dts=H")</f>
        <v>#N/A Invalid Field</v>
      </c>
      <c r="G263" t="str" cm="1">
        <f t="array" ref="G263">_xll.BDH($D263,"MTG_GEN_CPR_12M","20090331","20090331","Dts=H")</f>
        <v>#N/A Invalid Field</v>
      </c>
      <c r="H263" t="str" cm="1">
        <f t="array" ref="H263">_xll.BDH($D263,"MTG_GEN_CPR_3M","20090610","20090610","Dts=H")</f>
        <v>#N/A Invalid Field</v>
      </c>
      <c r="I263" t="str" cm="1">
        <f t="array" ref="I263">_xll.BDH($D263,"MTG_GEN_CPR_6M","20090610","20090610","Dts=H")</f>
        <v>#N/A Invalid Field</v>
      </c>
      <c r="J263" t="str" cm="1">
        <f t="array" ref="J263">_xll.BDH($D263,"MTG_GEN_CPR_12M","20090610","20090610","Dts=H")</f>
        <v>#N/A Invalid Field</v>
      </c>
      <c r="K263" t="str" cm="1">
        <f t="array" ref="K263">_xll.BDP("31283H4W2 Mtge","MTG_PREPAY_TYP")</f>
        <v>PSA</v>
      </c>
      <c r="L263" t="str" cm="1">
        <f t="array" ref="L263">_xll.BDP(D263,"MTG_PREPAY_SPEED")</f>
        <v>#N/A N/A</v>
      </c>
      <c r="M263" cm="1">
        <f t="array" ref="M263">_xll.BDP(D263,"MTG_PL_PSA_1M ")</f>
        <v>0</v>
      </c>
      <c r="N263" cm="1">
        <f t="array" ref="N263">_xll.BDP(D263,"MTG_PL_PSA_3M ")</f>
        <v>1343.6</v>
      </c>
      <c r="O263" cm="1">
        <f t="array" ref="O263">_xll.BDP(D263,"MTG_PL_PSA_6M ")</f>
        <v>1353.6</v>
      </c>
    </row>
    <row r="264" spans="1:15" x14ac:dyDescent="0.25">
      <c r="A264" t="s">
        <v>804</v>
      </c>
      <c r="B264" t="s">
        <v>805</v>
      </c>
      <c r="C264" t="s">
        <v>100</v>
      </c>
      <c r="D264" t="s">
        <v>806</v>
      </c>
      <c r="E264" t="str" cm="1">
        <f t="array" ref="E264">_xll.BDH($D264,"MTG_GEN_CPR_3M","20090331","20090331","Dts=H")</f>
        <v>#N/A Invalid Field</v>
      </c>
      <c r="F264" t="str" cm="1">
        <f t="array" ref="F264">_xll.BDH($D264,"MTG_GEN_CPR_6M","20090331","20090331","Dts=H")</f>
        <v>#N/A Invalid Field</v>
      </c>
      <c r="G264" t="str" cm="1">
        <f t="array" ref="G264">_xll.BDH($D264,"MTG_GEN_CPR_12M","20090331","20090331","Dts=H")</f>
        <v>#N/A Invalid Field</v>
      </c>
      <c r="H264" t="str" cm="1">
        <f t="array" ref="H264">_xll.BDH($D264,"MTG_GEN_CPR_3M","20090610","20090610","Dts=H")</f>
        <v>#N/A Invalid Field</v>
      </c>
      <c r="I264" t="str" cm="1">
        <f t="array" ref="I264">_xll.BDH($D264,"MTG_GEN_CPR_6M","20090610","20090610","Dts=H")</f>
        <v>#N/A Invalid Field</v>
      </c>
      <c r="J264" t="str" cm="1">
        <f t="array" ref="J264">_xll.BDH($D264,"MTG_GEN_CPR_12M","20090610","20090610","Dts=H")</f>
        <v>#N/A Invalid Field</v>
      </c>
      <c r="K264" t="str" cm="1">
        <f t="array" ref="K264">_xll.BDP("31283H4W2 Mtge","MTG_PREPAY_TYP")</f>
        <v>PSA</v>
      </c>
      <c r="L264" cm="1">
        <f t="array" ref="L264">_xll.BDP(D264,"MTG_PREPAY_SPEED")</f>
        <v>125</v>
      </c>
      <c r="M264" cm="1">
        <f t="array" ref="M264">_xll.BDP(D264,"MTG_PL_PSA_1M ")</f>
        <v>192.5</v>
      </c>
      <c r="N264" cm="1">
        <f t="array" ref="N264">_xll.BDP(D264,"MTG_PL_PSA_3M ")</f>
        <v>184.2</v>
      </c>
      <c r="O264" cm="1">
        <f t="array" ref="O264">_xll.BDP(D264,"MTG_PL_PSA_6M ")</f>
        <v>181.3</v>
      </c>
    </row>
    <row r="265" spans="1:15" x14ac:dyDescent="0.25">
      <c r="A265" t="s">
        <v>807</v>
      </c>
      <c r="B265" t="s">
        <v>808</v>
      </c>
      <c r="C265" t="s">
        <v>100</v>
      </c>
      <c r="D265" t="s">
        <v>809</v>
      </c>
      <c r="E265" t="str" cm="1">
        <f t="array" ref="E265">_xll.BDH($D265,"MTG_GEN_CPR_3M","20090331","20090331","Dts=H")</f>
        <v>#N/A Invalid Field</v>
      </c>
      <c r="F265" t="str" cm="1">
        <f t="array" ref="F265">_xll.BDH($D265,"MTG_GEN_CPR_6M","20090331","20090331","Dts=H")</f>
        <v>#N/A Invalid Field</v>
      </c>
      <c r="G265" t="str" cm="1">
        <f t="array" ref="G265">_xll.BDH($D265,"MTG_GEN_CPR_12M","20090331","20090331","Dts=H")</f>
        <v>#N/A Invalid Field</v>
      </c>
      <c r="H265" t="str" cm="1">
        <f t="array" ref="H265">_xll.BDH($D265,"MTG_GEN_CPR_3M","20090610","20090610","Dts=H")</f>
        <v>#N/A Invalid Field</v>
      </c>
      <c r="I265" t="str" cm="1">
        <f t="array" ref="I265">_xll.BDH($D265,"MTG_GEN_CPR_6M","20090610","20090610","Dts=H")</f>
        <v>#N/A Invalid Field</v>
      </c>
      <c r="J265" t="str" cm="1">
        <f t="array" ref="J265">_xll.BDH($D265,"MTG_GEN_CPR_12M","20090610","20090610","Dts=H")</f>
        <v>#N/A Invalid Field</v>
      </c>
      <c r="K265" t="str" cm="1">
        <f t="array" ref="K265">_xll.BDP("31283H4W2 Mtge","MTG_PREPAY_TYP")</f>
        <v>PSA</v>
      </c>
      <c r="L265" t="str" cm="1">
        <f t="array" ref="L265">_xll.BDP(D265,"MTG_PREPAY_SPEED")</f>
        <v>#N/A N/A</v>
      </c>
      <c r="M265" cm="1">
        <f t="array" ref="M265">_xll.BDP(D265,"MTG_PL_PSA_1M ")</f>
        <v>0</v>
      </c>
      <c r="N265" cm="1">
        <f t="array" ref="N265">_xll.BDP(D265,"MTG_PL_PSA_3M ")</f>
        <v>10.8</v>
      </c>
      <c r="O265" cm="1">
        <f t="array" ref="O265">_xll.BDP(D265,"MTG_PL_PSA_6M ")</f>
        <v>442.5</v>
      </c>
    </row>
    <row r="266" spans="1:15" x14ac:dyDescent="0.25">
      <c r="A266" t="s">
        <v>810</v>
      </c>
      <c r="B266" t="s">
        <v>811</v>
      </c>
      <c r="C266" t="s">
        <v>100</v>
      </c>
      <c r="D266" t="s">
        <v>812</v>
      </c>
      <c r="E266" t="str" cm="1">
        <f t="array" ref="E266">_xll.BDH($D266,"MTG_GEN_CPR_3M","20090331","20090331","Dts=H")</f>
        <v>#N/A Invalid Field</v>
      </c>
      <c r="F266" t="str" cm="1">
        <f t="array" ref="F266">_xll.BDH($D266,"MTG_GEN_CPR_6M","20090331","20090331","Dts=H")</f>
        <v>#N/A Invalid Field</v>
      </c>
      <c r="G266" t="str" cm="1">
        <f t="array" ref="G266">_xll.BDH($D266,"MTG_GEN_CPR_12M","20090331","20090331","Dts=H")</f>
        <v>#N/A Invalid Field</v>
      </c>
      <c r="H266" t="str" cm="1">
        <f t="array" ref="H266">_xll.BDH($D266,"MTG_GEN_CPR_3M","20090610","20090610","Dts=H")</f>
        <v>#N/A Invalid Field</v>
      </c>
      <c r="I266" t="str" cm="1">
        <f t="array" ref="I266">_xll.BDH($D266,"MTG_GEN_CPR_6M","20090610","20090610","Dts=H")</f>
        <v>#N/A Invalid Field</v>
      </c>
      <c r="J266" t="str" cm="1">
        <f t="array" ref="J266">_xll.BDH($D266,"MTG_GEN_CPR_12M","20090610","20090610","Dts=H")</f>
        <v>#N/A Invalid Field</v>
      </c>
      <c r="K266" t="str" cm="1">
        <f t="array" ref="K266">_xll.BDP("31283H4W2 Mtge","MTG_PREPAY_TYP")</f>
        <v>PSA</v>
      </c>
      <c r="L266" cm="1">
        <f t="array" ref="L266">_xll.BDP(D266,"MTG_PREPAY_SPEED")</f>
        <v>169</v>
      </c>
      <c r="M266" cm="1">
        <f t="array" ref="M266">_xll.BDP(D266,"MTG_PL_PSA_1M ")</f>
        <v>131.80000000000001</v>
      </c>
      <c r="N266" cm="1">
        <f t="array" ref="N266">_xll.BDP(D266,"MTG_PL_PSA_3M ")</f>
        <v>155.9</v>
      </c>
      <c r="O266" cm="1">
        <f t="array" ref="O266">_xll.BDP(D266,"MTG_PL_PSA_6M ")</f>
        <v>164.7</v>
      </c>
    </row>
    <row r="267" spans="1:15" x14ac:dyDescent="0.25">
      <c r="A267" t="s">
        <v>813</v>
      </c>
      <c r="B267" t="s">
        <v>814</v>
      </c>
      <c r="C267" t="s">
        <v>100</v>
      </c>
      <c r="D267" t="s">
        <v>815</v>
      </c>
      <c r="E267" t="str" cm="1">
        <f t="array" ref="E267">_xll.BDH($D267,"MTG_GEN_CPR_3M","20090331","20090331","Dts=H")</f>
        <v>#N/A Invalid Field</v>
      </c>
      <c r="F267" t="str" cm="1">
        <f t="array" ref="F267">_xll.BDH($D267,"MTG_GEN_CPR_6M","20090331","20090331","Dts=H")</f>
        <v>#N/A Invalid Field</v>
      </c>
      <c r="G267" t="str" cm="1">
        <f t="array" ref="G267">_xll.BDH($D267,"MTG_GEN_CPR_12M","20090331","20090331","Dts=H")</f>
        <v>#N/A Invalid Field</v>
      </c>
      <c r="H267" t="str" cm="1">
        <f t="array" ref="H267">_xll.BDH($D267,"MTG_GEN_CPR_3M","20090610","20090610","Dts=H")</f>
        <v>#N/A Invalid Field</v>
      </c>
      <c r="I267" t="str" cm="1">
        <f t="array" ref="I267">_xll.BDH($D267,"MTG_GEN_CPR_6M","20090610","20090610","Dts=H")</f>
        <v>#N/A Invalid Field</v>
      </c>
      <c r="J267" t="str" cm="1">
        <f t="array" ref="J267">_xll.BDH($D267,"MTG_GEN_CPR_12M","20090610","20090610","Dts=H")</f>
        <v>#N/A Invalid Field</v>
      </c>
      <c r="K267" t="str" cm="1">
        <f t="array" ref="K267">_xll.BDP("31283H4W2 Mtge","MTG_PREPAY_TYP")</f>
        <v>PSA</v>
      </c>
      <c r="L267" t="str" cm="1">
        <f t="array" ref="L267">_xll.BDP(D267,"MTG_PREPAY_SPEED")</f>
        <v>#N/A N/A</v>
      </c>
      <c r="M267" cm="1">
        <f t="array" ref="M267">_xll.BDP(D267,"MTG_PL_PSA_1M ")</f>
        <v>0</v>
      </c>
      <c r="N267" cm="1">
        <f t="array" ref="N267">_xll.BDP(D267,"MTG_PL_PSA_3M ")</f>
        <v>748.8</v>
      </c>
      <c r="O267" cm="1">
        <f t="array" ref="O267">_xll.BDP(D267,"MTG_PL_PSA_6M ")</f>
        <v>1037.7</v>
      </c>
    </row>
    <row r="268" spans="1:15" x14ac:dyDescent="0.25">
      <c r="A268" t="s">
        <v>816</v>
      </c>
      <c r="B268" t="s">
        <v>817</v>
      </c>
      <c r="C268" t="s">
        <v>100</v>
      </c>
      <c r="D268" t="s">
        <v>818</v>
      </c>
      <c r="E268" t="str" cm="1">
        <f t="array" ref="E268">_xll.BDH($D268,"MTG_GEN_CPR_3M","20090331","20090331","Dts=H")</f>
        <v>#N/A Invalid Field</v>
      </c>
      <c r="F268" t="str" cm="1">
        <f t="array" ref="F268">_xll.BDH($D268,"MTG_GEN_CPR_6M","20090331","20090331","Dts=H")</f>
        <v>#N/A Invalid Field</v>
      </c>
      <c r="G268" t="str" cm="1">
        <f t="array" ref="G268">_xll.BDH($D268,"MTG_GEN_CPR_12M","20090331","20090331","Dts=H")</f>
        <v>#N/A Invalid Field</v>
      </c>
      <c r="H268" t="str" cm="1">
        <f t="array" ref="H268">_xll.BDH($D268,"MTG_GEN_CPR_3M","20090610","20090610","Dts=H")</f>
        <v>#N/A Invalid Field</v>
      </c>
      <c r="I268" t="str" cm="1">
        <f t="array" ref="I268">_xll.BDH($D268,"MTG_GEN_CPR_6M","20090610","20090610","Dts=H")</f>
        <v>#N/A Invalid Field</v>
      </c>
      <c r="J268" t="str" cm="1">
        <f t="array" ref="J268">_xll.BDH($D268,"MTG_GEN_CPR_12M","20090610","20090610","Dts=H")</f>
        <v>#N/A Invalid Field</v>
      </c>
      <c r="K268" t="str" cm="1">
        <f t="array" ref="K268">_xll.BDP("31283H4W2 Mtge","MTG_PREPAY_TYP")</f>
        <v>PSA</v>
      </c>
      <c r="L268" t="str" cm="1">
        <f t="array" ref="L268">_xll.BDP(D268,"MTG_PREPAY_SPEED")</f>
        <v>#N/A N/A</v>
      </c>
      <c r="M268" cm="1">
        <f t="array" ref="M268">_xll.BDP(D268,"MTG_PL_PSA_1M ")</f>
        <v>0</v>
      </c>
      <c r="N268" cm="1">
        <f t="array" ref="N268">_xll.BDP(D268,"MTG_PL_PSA_3M ")</f>
        <v>655.1</v>
      </c>
      <c r="O268" cm="1">
        <f t="array" ref="O268">_xll.BDP(D268,"MTG_PL_PSA_6M ")</f>
        <v>854.3</v>
      </c>
    </row>
    <row r="269" spans="1:15" x14ac:dyDescent="0.25">
      <c r="A269" t="s">
        <v>819</v>
      </c>
      <c r="B269" t="s">
        <v>820</v>
      </c>
      <c r="C269" t="s">
        <v>100</v>
      </c>
      <c r="D269" t="s">
        <v>821</v>
      </c>
      <c r="E269" t="str" cm="1">
        <f t="array" ref="E269">_xll.BDH($D269,"MTG_GEN_CPR_3M","20090331","20090331","Dts=H")</f>
        <v>#N/A Invalid Field</v>
      </c>
      <c r="F269" t="str" cm="1">
        <f t="array" ref="F269">_xll.BDH($D269,"MTG_GEN_CPR_6M","20090331","20090331","Dts=H")</f>
        <v>#N/A Invalid Field</v>
      </c>
      <c r="G269" t="str" cm="1">
        <f t="array" ref="G269">_xll.BDH($D269,"MTG_GEN_CPR_12M","20090331","20090331","Dts=H")</f>
        <v>#N/A Invalid Field</v>
      </c>
      <c r="H269" t="str" cm="1">
        <f t="array" ref="H269">_xll.BDH($D269,"MTG_GEN_CPR_3M","20090610","20090610","Dts=H")</f>
        <v>#N/A Invalid Field</v>
      </c>
      <c r="I269" t="str" cm="1">
        <f t="array" ref="I269">_xll.BDH($D269,"MTG_GEN_CPR_6M","20090610","20090610","Dts=H")</f>
        <v>#N/A Invalid Field</v>
      </c>
      <c r="J269" t="str" cm="1">
        <f t="array" ref="J269">_xll.BDH($D269,"MTG_GEN_CPR_12M","20090610","20090610","Dts=H")</f>
        <v>#N/A Invalid Field</v>
      </c>
      <c r="K269" t="str" cm="1">
        <f t="array" ref="K269">_xll.BDP("31283H4W2 Mtge","MTG_PREPAY_TYP")</f>
        <v>PSA</v>
      </c>
      <c r="L269" t="str" cm="1">
        <f t="array" ref="L269">_xll.BDP(D269,"MTG_PREPAY_SPEED")</f>
        <v>#N/A N/A</v>
      </c>
      <c r="M269" cm="1">
        <f t="array" ref="M269">_xll.BDP(D269,"MTG_PL_PSA_1M ")</f>
        <v>0</v>
      </c>
      <c r="N269" cm="1">
        <f t="array" ref="N269">_xll.BDP(D269,"MTG_PL_PSA_3M ")</f>
        <v>1451.3</v>
      </c>
      <c r="O269" cm="1">
        <f t="array" ref="O269">_xll.BDP(D269,"MTG_PL_PSA_6M ")</f>
        <v>1623.1</v>
      </c>
    </row>
    <row r="270" spans="1:15" x14ac:dyDescent="0.25">
      <c r="A270" t="s">
        <v>822</v>
      </c>
      <c r="B270" t="s">
        <v>823</v>
      </c>
      <c r="C270" t="s">
        <v>100</v>
      </c>
      <c r="D270" t="s">
        <v>824</v>
      </c>
      <c r="E270" t="str" cm="1">
        <f t="array" ref="E270">_xll.BDH($D270,"MTG_GEN_CPR_3M","20090331","20090331","Dts=H")</f>
        <v>#N/A Invalid Field</v>
      </c>
      <c r="F270" t="str" cm="1">
        <f t="array" ref="F270">_xll.BDH($D270,"MTG_GEN_CPR_6M","20090331","20090331","Dts=H")</f>
        <v>#N/A Invalid Field</v>
      </c>
      <c r="G270" t="str" cm="1">
        <f t="array" ref="G270">_xll.BDH($D270,"MTG_GEN_CPR_12M","20090331","20090331","Dts=H")</f>
        <v>#N/A Invalid Field</v>
      </c>
      <c r="H270" t="str" cm="1">
        <f t="array" ref="H270">_xll.BDH($D270,"MTG_GEN_CPR_3M","20090610","20090610","Dts=H")</f>
        <v>#N/A Invalid Field</v>
      </c>
      <c r="I270" t="str" cm="1">
        <f t="array" ref="I270">_xll.BDH($D270,"MTG_GEN_CPR_6M","20090610","20090610","Dts=H")</f>
        <v>#N/A Invalid Field</v>
      </c>
      <c r="J270" t="str" cm="1">
        <f t="array" ref="J270">_xll.BDH($D270,"MTG_GEN_CPR_12M","20090610","20090610","Dts=H")</f>
        <v>#N/A Invalid Field</v>
      </c>
      <c r="K270" t="str" cm="1">
        <f t="array" ref="K270">_xll.BDP("31283H4W2 Mtge","MTG_PREPAY_TYP")</f>
        <v>PSA</v>
      </c>
      <c r="L270" cm="1">
        <f t="array" ref="L270">_xll.BDP(D270,"MTG_PREPAY_SPEED")</f>
        <v>161</v>
      </c>
      <c r="M270" cm="1">
        <f t="array" ref="M270">_xll.BDP(D270,"MTG_PL_PSA_1M ")</f>
        <v>172.2</v>
      </c>
      <c r="N270" cm="1">
        <f t="array" ref="N270">_xll.BDP(D270,"MTG_PL_PSA_3M ")</f>
        <v>166.2</v>
      </c>
      <c r="O270" cm="1">
        <f t="array" ref="O270">_xll.BDP(D270,"MTG_PL_PSA_6M ")</f>
        <v>148.69999999999999</v>
      </c>
    </row>
    <row r="271" spans="1:15" x14ac:dyDescent="0.25">
      <c r="A271" t="s">
        <v>825</v>
      </c>
      <c r="B271" t="s">
        <v>826</v>
      </c>
      <c r="C271" t="s">
        <v>100</v>
      </c>
      <c r="D271" t="s">
        <v>827</v>
      </c>
      <c r="E271" t="str" cm="1">
        <f t="array" ref="E271">_xll.BDH($D271,"MTG_GEN_CPR_3M","20090331","20090331","Dts=H")</f>
        <v>#N/A Invalid Field</v>
      </c>
      <c r="F271" t="str" cm="1">
        <f t="array" ref="F271">_xll.BDH($D271,"MTG_GEN_CPR_6M","20090331","20090331","Dts=H")</f>
        <v>#N/A Invalid Field</v>
      </c>
      <c r="G271" t="str" cm="1">
        <f t="array" ref="G271">_xll.BDH($D271,"MTG_GEN_CPR_12M","20090331","20090331","Dts=H")</f>
        <v>#N/A Invalid Field</v>
      </c>
      <c r="H271" t="str" cm="1">
        <f t="array" ref="H271">_xll.BDH($D271,"MTG_GEN_CPR_3M","20090610","20090610","Dts=H")</f>
        <v>#N/A Invalid Field</v>
      </c>
      <c r="I271" t="str" cm="1">
        <f t="array" ref="I271">_xll.BDH($D271,"MTG_GEN_CPR_6M","20090610","20090610","Dts=H")</f>
        <v>#N/A Invalid Field</v>
      </c>
      <c r="J271" t="str" cm="1">
        <f t="array" ref="J271">_xll.BDH($D271,"MTG_GEN_CPR_12M","20090610","20090610","Dts=H")</f>
        <v>#N/A Invalid Field</v>
      </c>
      <c r="K271" t="str" cm="1">
        <f t="array" ref="K271">_xll.BDP("31283H4W2 Mtge","MTG_PREPAY_TYP")</f>
        <v>PSA</v>
      </c>
      <c r="L271" t="str" cm="1">
        <f t="array" ref="L271">_xll.BDP(D271,"MTG_PREPAY_SPEED")</f>
        <v>#N/A N/A</v>
      </c>
      <c r="M271" cm="1">
        <f t="array" ref="M271">_xll.BDP(D271,"MTG_PL_PSA_1M ")</f>
        <v>0</v>
      </c>
      <c r="N271" cm="1">
        <f t="array" ref="N271">_xll.BDP(D271,"MTG_PL_PSA_3M ")</f>
        <v>889</v>
      </c>
      <c r="O271" cm="1">
        <f t="array" ref="O271">_xll.BDP(D271,"MTG_PL_PSA_6M ")</f>
        <v>1005.6</v>
      </c>
    </row>
    <row r="272" spans="1:15" x14ac:dyDescent="0.25">
      <c r="A272" t="s">
        <v>828</v>
      </c>
      <c r="B272" t="s">
        <v>829</v>
      </c>
      <c r="C272" t="s">
        <v>100</v>
      </c>
      <c r="D272" t="s">
        <v>830</v>
      </c>
      <c r="E272" t="str" cm="1">
        <f t="array" ref="E272">_xll.BDH($D272,"MTG_GEN_CPR_3M","20090331","20090331","Dts=H")</f>
        <v>#N/A Invalid Field</v>
      </c>
      <c r="F272" t="str" cm="1">
        <f t="array" ref="F272">_xll.BDH($D272,"MTG_GEN_CPR_6M","20090331","20090331","Dts=H")</f>
        <v>#N/A Invalid Field</v>
      </c>
      <c r="G272" t="str" cm="1">
        <f t="array" ref="G272">_xll.BDH($D272,"MTG_GEN_CPR_12M","20090331","20090331","Dts=H")</f>
        <v>#N/A Invalid Field</v>
      </c>
      <c r="H272" t="str" cm="1">
        <f t="array" ref="H272">_xll.BDH($D272,"MTG_GEN_CPR_3M","20090610","20090610","Dts=H")</f>
        <v>#N/A Invalid Field</v>
      </c>
      <c r="I272" t="str" cm="1">
        <f t="array" ref="I272">_xll.BDH($D272,"MTG_GEN_CPR_6M","20090610","20090610","Dts=H")</f>
        <v>#N/A Invalid Field</v>
      </c>
      <c r="J272" t="str" cm="1">
        <f t="array" ref="J272">_xll.BDH($D272,"MTG_GEN_CPR_12M","20090610","20090610","Dts=H")</f>
        <v>#N/A Invalid Field</v>
      </c>
      <c r="K272" t="str" cm="1">
        <f t="array" ref="K272">_xll.BDP("31283H4W2 Mtge","MTG_PREPAY_TYP")</f>
        <v>PSA</v>
      </c>
      <c r="L272" t="str" cm="1">
        <f t="array" ref="L272">_xll.BDP(D272,"MTG_PREPAY_SPEED")</f>
        <v>#N/A N/A</v>
      </c>
      <c r="M272" cm="1">
        <f t="array" ref="M272">_xll.BDP(D272,"MTG_PL_PSA_1M ")</f>
        <v>1666.7</v>
      </c>
      <c r="N272" cm="1">
        <f t="array" ref="N272">_xll.BDP(D272,"MTG_PL_PSA_3M ")</f>
        <v>1666.7</v>
      </c>
      <c r="O272" cm="1">
        <f t="array" ref="O272">_xll.BDP(D272,"MTG_PL_PSA_6M ")</f>
        <v>1666.7</v>
      </c>
    </row>
    <row r="273" spans="1:15" x14ac:dyDescent="0.25">
      <c r="A273" t="s">
        <v>831</v>
      </c>
      <c r="B273" t="s">
        <v>832</v>
      </c>
      <c r="C273" t="s">
        <v>100</v>
      </c>
      <c r="D273" t="s">
        <v>833</v>
      </c>
      <c r="E273" t="str" cm="1">
        <f t="array" ref="E273">_xll.BDH($D273,"MTG_GEN_CPR_3M","20090331","20090331","Dts=H")</f>
        <v>#N/A Invalid Field</v>
      </c>
      <c r="F273" t="str" cm="1">
        <f t="array" ref="F273">_xll.BDH($D273,"MTG_GEN_CPR_6M","20090331","20090331","Dts=H")</f>
        <v>#N/A Invalid Field</v>
      </c>
      <c r="G273" t="str" cm="1">
        <f t="array" ref="G273">_xll.BDH($D273,"MTG_GEN_CPR_12M","20090331","20090331","Dts=H")</f>
        <v>#N/A Invalid Field</v>
      </c>
      <c r="H273" t="str" cm="1">
        <f t="array" ref="H273">_xll.BDH($D273,"MTG_GEN_CPR_3M","20090610","20090610","Dts=H")</f>
        <v>#N/A Invalid Field</v>
      </c>
      <c r="I273" t="str" cm="1">
        <f t="array" ref="I273">_xll.BDH($D273,"MTG_GEN_CPR_6M","20090610","20090610","Dts=H")</f>
        <v>#N/A Invalid Field</v>
      </c>
      <c r="J273" t="str" cm="1">
        <f t="array" ref="J273">_xll.BDH($D273,"MTG_GEN_CPR_12M","20090610","20090610","Dts=H")</f>
        <v>#N/A Invalid Field</v>
      </c>
      <c r="K273" t="str" cm="1">
        <f t="array" ref="K273">_xll.BDP("31283H4W2 Mtge","MTG_PREPAY_TYP")</f>
        <v>PSA</v>
      </c>
      <c r="L273" t="str" cm="1">
        <f t="array" ref="L273">_xll.BDP(D273,"MTG_PREPAY_SPEED")</f>
        <v>#N/A N/A</v>
      </c>
      <c r="M273" cm="1">
        <f t="array" ref="M273">_xll.BDP(D273,"MTG_PL_PSA_1M ")</f>
        <v>0</v>
      </c>
      <c r="N273" cm="1">
        <f t="array" ref="N273">_xll.BDP(D273,"MTG_PL_PSA_3M ")</f>
        <v>415.5</v>
      </c>
      <c r="O273" cm="1">
        <f t="array" ref="O273">_xll.BDP(D273,"MTG_PL_PSA_6M ")</f>
        <v>659.5</v>
      </c>
    </row>
    <row r="274" spans="1:15" x14ac:dyDescent="0.25">
      <c r="A274" t="s">
        <v>834</v>
      </c>
      <c r="B274" t="s">
        <v>835</v>
      </c>
      <c r="C274" t="s">
        <v>100</v>
      </c>
      <c r="D274" t="s">
        <v>836</v>
      </c>
      <c r="E274" t="str" cm="1">
        <f t="array" ref="E274">_xll.BDH($D274,"MTG_GEN_CPR_3M","20090331","20090331","Dts=H")</f>
        <v>#N/A Invalid Field</v>
      </c>
      <c r="F274" t="str" cm="1">
        <f t="array" ref="F274">_xll.BDH($D274,"MTG_GEN_CPR_6M","20090331","20090331","Dts=H")</f>
        <v>#N/A Invalid Field</v>
      </c>
      <c r="G274" t="str" cm="1">
        <f t="array" ref="G274">_xll.BDH($D274,"MTG_GEN_CPR_12M","20090331","20090331","Dts=H")</f>
        <v>#N/A Invalid Field</v>
      </c>
      <c r="H274" t="str" cm="1">
        <f t="array" ref="H274">_xll.BDH($D274,"MTG_GEN_CPR_3M","20090610","20090610","Dts=H")</f>
        <v>#N/A Invalid Field</v>
      </c>
      <c r="I274" t="str" cm="1">
        <f t="array" ref="I274">_xll.BDH($D274,"MTG_GEN_CPR_6M","20090610","20090610","Dts=H")</f>
        <v>#N/A Invalid Field</v>
      </c>
      <c r="J274" t="str" cm="1">
        <f t="array" ref="J274">_xll.BDH($D274,"MTG_GEN_CPR_12M","20090610","20090610","Dts=H")</f>
        <v>#N/A Invalid Field</v>
      </c>
      <c r="K274" t="str" cm="1">
        <f t="array" ref="K274">_xll.BDP("31283H4W2 Mtge","MTG_PREPAY_TYP")</f>
        <v>PSA</v>
      </c>
      <c r="L274" cm="1">
        <f t="array" ref="L274">_xll.BDP(D274,"MTG_PREPAY_SPEED")</f>
        <v>2.15</v>
      </c>
      <c r="M274" cm="1">
        <f t="array" ref="M274">_xll.BDP(D274,"MTG_PL_PSA_1M ")</f>
        <v>23.1</v>
      </c>
      <c r="N274" cm="1">
        <f t="array" ref="N274">_xll.BDP(D274,"MTG_PL_PSA_3M ")</f>
        <v>36.5</v>
      </c>
      <c r="O274" cm="1">
        <f t="array" ref="O274">_xll.BDP(D274,"MTG_PL_PSA_6M ")</f>
        <v>35.9</v>
      </c>
    </row>
    <row r="275" spans="1:15" x14ac:dyDescent="0.25">
      <c r="A275" t="s">
        <v>837</v>
      </c>
      <c r="B275" t="s">
        <v>838</v>
      </c>
      <c r="C275" t="s">
        <v>100</v>
      </c>
      <c r="D275" t="s">
        <v>839</v>
      </c>
      <c r="E275" t="str" cm="1">
        <f t="array" ref="E275">_xll.BDH($D275,"MTG_GEN_CPR_3M","20090331","20090331","Dts=H")</f>
        <v>#N/A Invalid Field</v>
      </c>
      <c r="F275" t="str" cm="1">
        <f t="array" ref="F275">_xll.BDH($D275,"MTG_GEN_CPR_6M","20090331","20090331","Dts=H")</f>
        <v>#N/A Invalid Field</v>
      </c>
      <c r="G275" t="str" cm="1">
        <f t="array" ref="G275">_xll.BDH($D275,"MTG_GEN_CPR_12M","20090331","20090331","Dts=H")</f>
        <v>#N/A Invalid Field</v>
      </c>
      <c r="H275" t="str" cm="1">
        <f t="array" ref="H275">_xll.BDH($D275,"MTG_GEN_CPR_3M","20090610","20090610","Dts=H")</f>
        <v>#N/A Invalid Field</v>
      </c>
      <c r="I275" t="str" cm="1">
        <f t="array" ref="I275">_xll.BDH($D275,"MTG_GEN_CPR_6M","20090610","20090610","Dts=H")</f>
        <v>#N/A Invalid Field</v>
      </c>
      <c r="J275" t="str" cm="1">
        <f t="array" ref="J275">_xll.BDH($D275,"MTG_GEN_CPR_12M","20090610","20090610","Dts=H")</f>
        <v>#N/A Invalid Field</v>
      </c>
      <c r="K275" t="str" cm="1">
        <f t="array" ref="K275">_xll.BDP("31283H4W2 Mtge","MTG_PREPAY_TYP")</f>
        <v>PSA</v>
      </c>
      <c r="L275" t="str" cm="1">
        <f t="array" ref="L275">_xll.BDP(D275,"MTG_PREPAY_SPEED")</f>
        <v>#N/A N/A</v>
      </c>
      <c r="M275" cm="1">
        <f t="array" ref="M275">_xll.BDP(D275,"MTG_PL_PSA_1M ")</f>
        <v>0</v>
      </c>
      <c r="N275" cm="1">
        <f t="array" ref="N275">_xll.BDP(D275,"MTG_PL_PSA_3M ")</f>
        <v>703.3</v>
      </c>
      <c r="O275" cm="1">
        <f t="array" ref="O275">_xll.BDP(D275,"MTG_PL_PSA_6M ")</f>
        <v>824.3</v>
      </c>
    </row>
    <row r="276" spans="1:15" x14ac:dyDescent="0.25">
      <c r="A276" t="s">
        <v>840</v>
      </c>
      <c r="B276" t="s">
        <v>841</v>
      </c>
      <c r="C276" t="s">
        <v>100</v>
      </c>
      <c r="D276" t="s">
        <v>842</v>
      </c>
      <c r="E276" t="str" cm="1">
        <f t="array" ref="E276">_xll.BDH($D276,"MTG_GEN_CPR_3M","20090331","20090331","Dts=H")</f>
        <v>#N/A Invalid Field</v>
      </c>
      <c r="F276" t="str" cm="1">
        <f t="array" ref="F276">_xll.BDH($D276,"MTG_GEN_CPR_6M","20090331","20090331","Dts=H")</f>
        <v>#N/A Invalid Field</v>
      </c>
      <c r="G276" t="str" cm="1">
        <f t="array" ref="G276">_xll.BDH($D276,"MTG_GEN_CPR_12M","20090331","20090331","Dts=H")</f>
        <v>#N/A Invalid Field</v>
      </c>
      <c r="H276" t="str" cm="1">
        <f t="array" ref="H276">_xll.BDH($D276,"MTG_GEN_CPR_3M","20090610","20090610","Dts=H")</f>
        <v>#N/A Invalid Field</v>
      </c>
      <c r="I276" t="str" cm="1">
        <f t="array" ref="I276">_xll.BDH($D276,"MTG_GEN_CPR_6M","20090610","20090610","Dts=H")</f>
        <v>#N/A Invalid Field</v>
      </c>
      <c r="J276" t="str" cm="1">
        <f t="array" ref="J276">_xll.BDH($D276,"MTG_GEN_CPR_12M","20090610","20090610","Dts=H")</f>
        <v>#N/A Invalid Field</v>
      </c>
      <c r="K276" t="str" cm="1">
        <f t="array" ref="K276">_xll.BDP("31283H4W2 Mtge","MTG_PREPAY_TYP")</f>
        <v>PSA</v>
      </c>
      <c r="L276" t="str" cm="1">
        <f t="array" ref="L276">_xll.BDP(D276,"MTG_PREPAY_SPEED")</f>
        <v>#N/A N/A</v>
      </c>
      <c r="M276" cm="1">
        <f t="array" ref="M276">_xll.BDP(D276,"MTG_PL_PSA_1M ")</f>
        <v>0</v>
      </c>
      <c r="N276" cm="1">
        <f t="array" ref="N276">_xll.BDP(D276,"MTG_PL_PSA_3M ")</f>
        <v>1318.4</v>
      </c>
      <c r="O276" cm="1">
        <f t="array" ref="O276">_xll.BDP(D276,"MTG_PL_PSA_6M ")</f>
        <v>1333.8</v>
      </c>
    </row>
    <row r="277" spans="1:15" x14ac:dyDescent="0.25">
      <c r="A277" t="s">
        <v>843</v>
      </c>
      <c r="B277" t="s">
        <v>844</v>
      </c>
      <c r="C277" t="s">
        <v>100</v>
      </c>
      <c r="D277" t="s">
        <v>845</v>
      </c>
      <c r="E277" t="str" cm="1">
        <f t="array" ref="E277">_xll.BDH($D277,"MTG_GEN_CPR_3M","20090331","20090331","Dts=H")</f>
        <v>#N/A Invalid Field</v>
      </c>
      <c r="F277" t="str" cm="1">
        <f t="array" ref="F277">_xll.BDH($D277,"MTG_GEN_CPR_6M","20090331","20090331","Dts=H")</f>
        <v>#N/A Invalid Field</v>
      </c>
      <c r="G277" t="str" cm="1">
        <f t="array" ref="G277">_xll.BDH($D277,"MTG_GEN_CPR_12M","20090331","20090331","Dts=H")</f>
        <v>#N/A Invalid Field</v>
      </c>
      <c r="H277" t="str" cm="1">
        <f t="array" ref="H277">_xll.BDH($D277,"MTG_GEN_CPR_3M","20090610","20090610","Dts=H")</f>
        <v>#N/A Invalid Field</v>
      </c>
      <c r="I277" t="str" cm="1">
        <f t="array" ref="I277">_xll.BDH($D277,"MTG_GEN_CPR_6M","20090610","20090610","Dts=H")</f>
        <v>#N/A Invalid Field</v>
      </c>
      <c r="J277" t="str" cm="1">
        <f t="array" ref="J277">_xll.BDH($D277,"MTG_GEN_CPR_12M","20090610","20090610","Dts=H")</f>
        <v>#N/A Invalid Field</v>
      </c>
      <c r="K277" t="str" cm="1">
        <f t="array" ref="K277">_xll.BDP("31283H4W2 Mtge","MTG_PREPAY_TYP")</f>
        <v>PSA</v>
      </c>
      <c r="L277" cm="1">
        <f t="array" ref="L277">_xll.BDP(D277,"MTG_PREPAY_SPEED")</f>
        <v>161</v>
      </c>
      <c r="M277" cm="1">
        <f t="array" ref="M277">_xll.BDP(D277,"MTG_PL_PSA_1M ")</f>
        <v>124.9</v>
      </c>
      <c r="N277" cm="1">
        <f t="array" ref="N277">_xll.BDP(D277,"MTG_PL_PSA_3M ")</f>
        <v>148.30000000000001</v>
      </c>
      <c r="O277" cm="1">
        <f t="array" ref="O277">_xll.BDP(D277,"MTG_PL_PSA_6M ")</f>
        <v>153.4</v>
      </c>
    </row>
    <row r="278" spans="1:15" x14ac:dyDescent="0.25">
      <c r="A278" t="s">
        <v>846</v>
      </c>
      <c r="B278" t="s">
        <v>847</v>
      </c>
      <c r="C278" t="s">
        <v>100</v>
      </c>
      <c r="D278" t="s">
        <v>848</v>
      </c>
      <c r="E278" t="str" cm="1">
        <f t="array" ref="E278">_xll.BDH($D278,"MTG_GEN_CPR_3M","20090331","20090331","Dts=H")</f>
        <v>#N/A Invalid Field</v>
      </c>
      <c r="F278" t="str" cm="1">
        <f t="array" ref="F278">_xll.BDH($D278,"MTG_GEN_CPR_6M","20090331","20090331","Dts=H")</f>
        <v>#N/A Invalid Field</v>
      </c>
      <c r="G278" t="str" cm="1">
        <f t="array" ref="G278">_xll.BDH($D278,"MTG_GEN_CPR_12M","20090331","20090331","Dts=H")</f>
        <v>#N/A Invalid Field</v>
      </c>
      <c r="H278" t="str" cm="1">
        <f t="array" ref="H278">_xll.BDH($D278,"MTG_GEN_CPR_3M","20090610","20090610","Dts=H")</f>
        <v>#N/A Invalid Field</v>
      </c>
      <c r="I278" t="str" cm="1">
        <f t="array" ref="I278">_xll.BDH($D278,"MTG_GEN_CPR_6M","20090610","20090610","Dts=H")</f>
        <v>#N/A Invalid Field</v>
      </c>
      <c r="J278" t="str" cm="1">
        <f t="array" ref="J278">_xll.BDH($D278,"MTG_GEN_CPR_12M","20090610","20090610","Dts=H")</f>
        <v>#N/A Invalid Field</v>
      </c>
      <c r="K278" t="str" cm="1">
        <f t="array" ref="K278">_xll.BDP("31283H4W2 Mtge","MTG_PREPAY_TYP")</f>
        <v>PSA</v>
      </c>
      <c r="L278" cm="1">
        <f t="array" ref="L278">_xll.BDP(D278,"MTG_PREPAY_SPEED")</f>
        <v>161</v>
      </c>
      <c r="M278" cm="1">
        <f t="array" ref="M278">_xll.BDP(D278,"MTG_PL_PSA_1M ")</f>
        <v>198.8</v>
      </c>
      <c r="N278" cm="1">
        <f t="array" ref="N278">_xll.BDP(D278,"MTG_PL_PSA_3M ")</f>
        <v>177.9</v>
      </c>
      <c r="O278" cm="1">
        <f t="array" ref="O278">_xll.BDP(D278,"MTG_PL_PSA_6M ")</f>
        <v>142.6</v>
      </c>
    </row>
    <row r="279" spans="1:15" x14ac:dyDescent="0.25">
      <c r="A279" t="s">
        <v>849</v>
      </c>
      <c r="B279" t="s">
        <v>850</v>
      </c>
      <c r="C279" t="s">
        <v>100</v>
      </c>
      <c r="D279" t="s">
        <v>851</v>
      </c>
      <c r="E279" t="str" cm="1">
        <f t="array" ref="E279">_xll.BDH($D279,"MTG_GEN_CPR_3M","20090331","20090331","Dts=H")</f>
        <v>#N/A Invalid Field</v>
      </c>
      <c r="F279" t="str" cm="1">
        <f t="array" ref="F279">_xll.BDH($D279,"MTG_GEN_CPR_6M","20090331","20090331","Dts=H")</f>
        <v>#N/A Invalid Field</v>
      </c>
      <c r="G279" t="str" cm="1">
        <f t="array" ref="G279">_xll.BDH($D279,"MTG_GEN_CPR_12M","20090331","20090331","Dts=H")</f>
        <v>#N/A Invalid Field</v>
      </c>
      <c r="H279" t="str" cm="1">
        <f t="array" ref="H279">_xll.BDH($D279,"MTG_GEN_CPR_3M","20090610","20090610","Dts=H")</f>
        <v>#N/A Invalid Field</v>
      </c>
      <c r="I279" t="str" cm="1">
        <f t="array" ref="I279">_xll.BDH($D279,"MTG_GEN_CPR_6M","20090610","20090610","Dts=H")</f>
        <v>#N/A Invalid Field</v>
      </c>
      <c r="J279" t="str" cm="1">
        <f t="array" ref="J279">_xll.BDH($D279,"MTG_GEN_CPR_12M","20090610","20090610","Dts=H")</f>
        <v>#N/A Invalid Field</v>
      </c>
      <c r="K279" t="str" cm="1">
        <f t="array" ref="K279">_xll.BDP("31283H4W2 Mtge","MTG_PREPAY_TYP")</f>
        <v>PSA</v>
      </c>
      <c r="L279" t="str" cm="1">
        <f t="array" ref="L279">_xll.BDP(D279,"MTG_PREPAY_SPEED")</f>
        <v>#N/A N/A</v>
      </c>
      <c r="M279" cm="1">
        <f t="array" ref="M279">_xll.BDP(D279,"MTG_PL_PSA_1M ")</f>
        <v>0</v>
      </c>
      <c r="N279" cm="1">
        <f t="array" ref="N279">_xll.BDP(D279,"MTG_PL_PSA_3M ")</f>
        <v>-951.2</v>
      </c>
      <c r="O279" cm="1">
        <f t="array" ref="O279">_xll.BDP(D279,"MTG_PL_PSA_6M ")</f>
        <v>-311.8</v>
      </c>
    </row>
    <row r="280" spans="1:15" x14ac:dyDescent="0.25">
      <c r="A280" t="s">
        <v>852</v>
      </c>
      <c r="B280" t="s">
        <v>853</v>
      </c>
      <c r="C280" t="s">
        <v>100</v>
      </c>
      <c r="D280" t="s">
        <v>854</v>
      </c>
      <c r="E280" t="str" cm="1">
        <f t="array" ref="E280">_xll.BDH($D280,"MTG_GEN_CPR_3M","20090331","20090331","Dts=H")</f>
        <v>#N/A Invalid Field</v>
      </c>
      <c r="F280" t="str" cm="1">
        <f t="array" ref="F280">_xll.BDH($D280,"MTG_GEN_CPR_6M","20090331","20090331","Dts=H")</f>
        <v>#N/A Invalid Field</v>
      </c>
      <c r="G280" t="str" cm="1">
        <f t="array" ref="G280">_xll.BDH($D280,"MTG_GEN_CPR_12M","20090331","20090331","Dts=H")</f>
        <v>#N/A Invalid Field</v>
      </c>
      <c r="H280" t="str" cm="1">
        <f t="array" ref="H280">_xll.BDH($D280,"MTG_GEN_CPR_3M","20090610","20090610","Dts=H")</f>
        <v>#N/A Invalid Field</v>
      </c>
      <c r="I280" t="str" cm="1">
        <f t="array" ref="I280">_xll.BDH($D280,"MTG_GEN_CPR_6M","20090610","20090610","Dts=H")</f>
        <v>#N/A Invalid Field</v>
      </c>
      <c r="J280" t="str" cm="1">
        <f t="array" ref="J280">_xll.BDH($D280,"MTG_GEN_CPR_12M","20090610","20090610","Dts=H")</f>
        <v>#N/A Invalid Field</v>
      </c>
      <c r="K280" t="str" cm="1">
        <f t="array" ref="K280">_xll.BDP("31283H4W2 Mtge","MTG_PREPAY_TYP")</f>
        <v>PSA</v>
      </c>
      <c r="L280" cm="1">
        <f t="array" ref="L280">_xll.BDP(D280,"MTG_PREPAY_SPEED")</f>
        <v>125</v>
      </c>
      <c r="M280" cm="1">
        <f t="array" ref="M280">_xll.BDP(D280,"MTG_PL_PSA_1M ")</f>
        <v>131.5</v>
      </c>
      <c r="N280" cm="1">
        <f t="array" ref="N280">_xll.BDP(D280,"MTG_PL_PSA_3M ")</f>
        <v>156.9</v>
      </c>
      <c r="O280" cm="1">
        <f t="array" ref="O280">_xll.BDP(D280,"MTG_PL_PSA_6M ")</f>
        <v>149.6</v>
      </c>
    </row>
    <row r="281" spans="1:15" x14ac:dyDescent="0.25">
      <c r="A281" t="s">
        <v>855</v>
      </c>
      <c r="B281" t="s">
        <v>856</v>
      </c>
      <c r="C281" t="s">
        <v>100</v>
      </c>
      <c r="D281" t="s">
        <v>857</v>
      </c>
      <c r="E281" t="str" cm="1">
        <f t="array" ref="E281">_xll.BDH($D281,"MTG_GEN_CPR_3M","20090331","20090331","Dts=H")</f>
        <v>#N/A Invalid Field</v>
      </c>
      <c r="F281" t="str" cm="1">
        <f t="array" ref="F281">_xll.BDH($D281,"MTG_GEN_CPR_6M","20090331","20090331","Dts=H")</f>
        <v>#N/A Invalid Field</v>
      </c>
      <c r="G281" t="str" cm="1">
        <f t="array" ref="G281">_xll.BDH($D281,"MTG_GEN_CPR_12M","20090331","20090331","Dts=H")</f>
        <v>#N/A Invalid Field</v>
      </c>
      <c r="H281" t="str" cm="1">
        <f t="array" ref="H281">_xll.BDH($D281,"MTG_GEN_CPR_3M","20090610","20090610","Dts=H")</f>
        <v>#N/A Invalid Field</v>
      </c>
      <c r="I281" t="str" cm="1">
        <f t="array" ref="I281">_xll.BDH($D281,"MTG_GEN_CPR_6M","20090610","20090610","Dts=H")</f>
        <v>#N/A Invalid Field</v>
      </c>
      <c r="J281" t="str" cm="1">
        <f t="array" ref="J281">_xll.BDH($D281,"MTG_GEN_CPR_12M","20090610","20090610","Dts=H")</f>
        <v>#N/A Invalid Field</v>
      </c>
      <c r="K281" t="str" cm="1">
        <f t="array" ref="K281">_xll.BDP("31283H4W2 Mtge","MTG_PREPAY_TYP")</f>
        <v>PSA</v>
      </c>
      <c r="L281" t="str" cm="1">
        <f t="array" ref="L281">_xll.BDP(D281,"MTG_PREPAY_SPEED")</f>
        <v>#N/A N/A</v>
      </c>
      <c r="M281" cm="1">
        <f t="array" ref="M281">_xll.BDP(D281,"MTG_PL_PSA_1M ")</f>
        <v>0</v>
      </c>
      <c r="N281" cm="1">
        <f t="array" ref="N281">_xll.BDP(D281,"MTG_PL_PSA_3M ")</f>
        <v>1629.5</v>
      </c>
      <c r="O281" cm="1">
        <f t="array" ref="O281">_xll.BDP(D281,"MTG_PL_PSA_6M ")</f>
        <v>1603.4</v>
      </c>
    </row>
    <row r="282" spans="1:15" x14ac:dyDescent="0.25">
      <c r="A282" t="s">
        <v>858</v>
      </c>
      <c r="B282" t="s">
        <v>859</v>
      </c>
      <c r="C282" t="s">
        <v>100</v>
      </c>
      <c r="D282" t="s">
        <v>860</v>
      </c>
      <c r="E282" t="str" cm="1">
        <f t="array" ref="E282">_xll.BDH($D282,"MTG_GEN_CPR_3M","20090331","20090331","Dts=H")</f>
        <v>#N/A Invalid Field</v>
      </c>
      <c r="F282" t="str" cm="1">
        <f t="array" ref="F282">_xll.BDH($D282,"MTG_GEN_CPR_6M","20090331","20090331","Dts=H")</f>
        <v>#N/A Invalid Field</v>
      </c>
      <c r="G282" t="str" cm="1">
        <f t="array" ref="G282">_xll.BDH($D282,"MTG_GEN_CPR_12M","20090331","20090331","Dts=H")</f>
        <v>#N/A Invalid Field</v>
      </c>
      <c r="H282" t="str" cm="1">
        <f t="array" ref="H282">_xll.BDH($D282,"MTG_GEN_CPR_3M","20090610","20090610","Dts=H")</f>
        <v>#N/A Invalid Field</v>
      </c>
      <c r="I282" t="str" cm="1">
        <f t="array" ref="I282">_xll.BDH($D282,"MTG_GEN_CPR_6M","20090610","20090610","Dts=H")</f>
        <v>#N/A Invalid Field</v>
      </c>
      <c r="J282" t="str" cm="1">
        <f t="array" ref="J282">_xll.BDH($D282,"MTG_GEN_CPR_12M","20090610","20090610","Dts=H")</f>
        <v>#N/A Invalid Field</v>
      </c>
      <c r="K282" t="str" cm="1">
        <f t="array" ref="K282">_xll.BDP("31283H4W2 Mtge","MTG_PREPAY_TYP")</f>
        <v>PSA</v>
      </c>
      <c r="L282" cm="1">
        <f t="array" ref="L282">_xll.BDP(D282,"MTG_PREPAY_SPEED")</f>
        <v>1.33</v>
      </c>
      <c r="M282" cm="1">
        <f t="array" ref="M282">_xll.BDP(D282,"MTG_PL_PSA_1M ")</f>
        <v>14.7</v>
      </c>
      <c r="N282" cm="1">
        <f t="array" ref="N282">_xll.BDP(D282,"MTG_PL_PSA_3M ")</f>
        <v>24.2</v>
      </c>
      <c r="O282" cm="1">
        <f t="array" ref="O282">_xll.BDP(D282,"MTG_PL_PSA_6M ")</f>
        <v>22.2</v>
      </c>
    </row>
    <row r="283" spans="1:15" x14ac:dyDescent="0.25">
      <c r="A283" t="s">
        <v>861</v>
      </c>
      <c r="B283" t="s">
        <v>862</v>
      </c>
      <c r="C283" t="s">
        <v>100</v>
      </c>
      <c r="D283" t="s">
        <v>863</v>
      </c>
      <c r="E283" t="str" cm="1">
        <f t="array" ref="E283">_xll.BDH($D283,"MTG_GEN_CPR_3M","20090331","20090331","Dts=H")</f>
        <v>#N/A Invalid Field</v>
      </c>
      <c r="F283" t="str" cm="1">
        <f t="array" ref="F283">_xll.BDH($D283,"MTG_GEN_CPR_6M","20090331","20090331","Dts=H")</f>
        <v>#N/A Invalid Field</v>
      </c>
      <c r="G283" t="str" cm="1">
        <f t="array" ref="G283">_xll.BDH($D283,"MTG_GEN_CPR_12M","20090331","20090331","Dts=H")</f>
        <v>#N/A Invalid Field</v>
      </c>
      <c r="H283" t="str" cm="1">
        <f t="array" ref="H283">_xll.BDH($D283,"MTG_GEN_CPR_3M","20090610","20090610","Dts=H")</f>
        <v>#N/A Invalid Field</v>
      </c>
      <c r="I283" t="str" cm="1">
        <f t="array" ref="I283">_xll.BDH($D283,"MTG_GEN_CPR_6M","20090610","20090610","Dts=H")</f>
        <v>#N/A Invalid Field</v>
      </c>
      <c r="J283" t="str" cm="1">
        <f t="array" ref="J283">_xll.BDH($D283,"MTG_GEN_CPR_12M","20090610","20090610","Dts=H")</f>
        <v>#N/A Invalid Field</v>
      </c>
      <c r="K283" t="str" cm="1">
        <f t="array" ref="K283">_xll.BDP("31283H4W2 Mtge","MTG_PREPAY_TYP")</f>
        <v>PSA</v>
      </c>
      <c r="L283" t="str" cm="1">
        <f t="array" ref="L283">_xll.BDP(D283,"MTG_PREPAY_SPEED")</f>
        <v>#N/A N/A</v>
      </c>
      <c r="M283" cm="1">
        <f t="array" ref="M283">_xll.BDP(D283,"MTG_PL_PSA_1M ")</f>
        <v>0</v>
      </c>
      <c r="N283" cm="1">
        <f t="array" ref="N283">_xll.BDP(D283,"MTG_PL_PSA_3M ")</f>
        <v>609.20000000000005</v>
      </c>
      <c r="O283" cm="1">
        <f t="array" ref="O283">_xll.BDP(D283,"MTG_PL_PSA_6M ")</f>
        <v>1362.6</v>
      </c>
    </row>
    <row r="284" spans="1:15" x14ac:dyDescent="0.25">
      <c r="A284" t="s">
        <v>864</v>
      </c>
      <c r="B284" t="s">
        <v>865</v>
      </c>
      <c r="C284" t="s">
        <v>100</v>
      </c>
      <c r="D284" t="s">
        <v>866</v>
      </c>
      <c r="E284" t="str" cm="1">
        <f t="array" ref="E284">_xll.BDH($D284,"MTG_GEN_CPR_3M","20090331","20090331","Dts=H")</f>
        <v>#N/A Invalid Field</v>
      </c>
      <c r="F284" t="str" cm="1">
        <f t="array" ref="F284">_xll.BDH($D284,"MTG_GEN_CPR_6M","20090331","20090331","Dts=H")</f>
        <v>#N/A Invalid Field</v>
      </c>
      <c r="G284" t="str" cm="1">
        <f t="array" ref="G284">_xll.BDH($D284,"MTG_GEN_CPR_12M","20090331","20090331","Dts=H")</f>
        <v>#N/A Invalid Field</v>
      </c>
      <c r="H284" t="str" cm="1">
        <f t="array" ref="H284">_xll.BDH($D284,"MTG_GEN_CPR_3M","20090610","20090610","Dts=H")</f>
        <v>#N/A Invalid Field</v>
      </c>
      <c r="I284" t="str" cm="1">
        <f t="array" ref="I284">_xll.BDH($D284,"MTG_GEN_CPR_6M","20090610","20090610","Dts=H")</f>
        <v>#N/A Invalid Field</v>
      </c>
      <c r="J284" t="str" cm="1">
        <f t="array" ref="J284">_xll.BDH($D284,"MTG_GEN_CPR_12M","20090610","20090610","Dts=H")</f>
        <v>#N/A Invalid Field</v>
      </c>
      <c r="K284" t="str" cm="1">
        <f t="array" ref="K284">_xll.BDP("31283H4W2 Mtge","MTG_PREPAY_TYP")</f>
        <v>PSA</v>
      </c>
      <c r="L284" cm="1">
        <f t="array" ref="L284">_xll.BDP(D284,"MTG_PREPAY_SPEED")</f>
        <v>169</v>
      </c>
      <c r="M284" cm="1">
        <f t="array" ref="M284">_xll.BDP(D284,"MTG_PL_PSA_1M ")</f>
        <v>388.5</v>
      </c>
      <c r="N284" cm="1">
        <f t="array" ref="N284">_xll.BDP(D284,"MTG_PL_PSA_3M ")</f>
        <v>217.3</v>
      </c>
      <c r="O284" cm="1">
        <f t="array" ref="O284">_xll.BDP(D284,"MTG_PL_PSA_6M ")</f>
        <v>192.3</v>
      </c>
    </row>
    <row r="285" spans="1:15" x14ac:dyDescent="0.25">
      <c r="A285" t="s">
        <v>867</v>
      </c>
      <c r="B285" t="s">
        <v>868</v>
      </c>
      <c r="C285" t="s">
        <v>100</v>
      </c>
      <c r="D285" t="s">
        <v>869</v>
      </c>
      <c r="E285" t="str" cm="1">
        <f t="array" ref="E285">_xll.BDH($D285,"MTG_GEN_CPR_3M","20090331","20090331","Dts=H")</f>
        <v>#N/A Invalid Field</v>
      </c>
      <c r="F285" t="str" cm="1">
        <f t="array" ref="F285">_xll.BDH($D285,"MTG_GEN_CPR_6M","20090331","20090331","Dts=H")</f>
        <v>#N/A Invalid Field</v>
      </c>
      <c r="G285" t="str" cm="1">
        <f t="array" ref="G285">_xll.BDH($D285,"MTG_GEN_CPR_12M","20090331","20090331","Dts=H")</f>
        <v>#N/A Invalid Field</v>
      </c>
      <c r="H285" t="str" cm="1">
        <f t="array" ref="H285">_xll.BDH($D285,"MTG_GEN_CPR_3M","20090610","20090610","Dts=H")</f>
        <v>#N/A Invalid Field</v>
      </c>
      <c r="I285" t="str" cm="1">
        <f t="array" ref="I285">_xll.BDH($D285,"MTG_GEN_CPR_6M","20090610","20090610","Dts=H")</f>
        <v>#N/A Invalid Field</v>
      </c>
      <c r="J285" t="str" cm="1">
        <f t="array" ref="J285">_xll.BDH($D285,"MTG_GEN_CPR_12M","20090610","20090610","Dts=H")</f>
        <v>#N/A Invalid Field</v>
      </c>
      <c r="K285" t="str" cm="1">
        <f t="array" ref="K285">_xll.BDP("31283H4W2 Mtge","MTG_PREPAY_TYP")</f>
        <v>PSA</v>
      </c>
      <c r="L285" cm="1">
        <f t="array" ref="L285">_xll.BDP(D285,"MTG_PREPAY_SPEED")</f>
        <v>125</v>
      </c>
      <c r="M285" cm="1">
        <f t="array" ref="M285">_xll.BDP(D285,"MTG_PL_PSA_1M ")</f>
        <v>151.5</v>
      </c>
      <c r="N285" cm="1">
        <f t="array" ref="N285">_xll.BDP(D285,"MTG_PL_PSA_3M ")</f>
        <v>154.9</v>
      </c>
      <c r="O285" cm="1">
        <f t="array" ref="O285">_xll.BDP(D285,"MTG_PL_PSA_6M ")</f>
        <v>151.4</v>
      </c>
    </row>
    <row r="286" spans="1:15" x14ac:dyDescent="0.25">
      <c r="A286" t="s">
        <v>870</v>
      </c>
      <c r="B286" t="s">
        <v>871</v>
      </c>
      <c r="C286" t="s">
        <v>100</v>
      </c>
      <c r="D286" t="s">
        <v>872</v>
      </c>
      <c r="E286" t="str" cm="1">
        <f t="array" ref="E286">_xll.BDH($D286,"MTG_GEN_CPR_3M","20090331","20090331","Dts=H")</f>
        <v>#N/A Invalid Field</v>
      </c>
      <c r="F286" t="str" cm="1">
        <f t="array" ref="F286">_xll.BDH($D286,"MTG_GEN_CPR_6M","20090331","20090331","Dts=H")</f>
        <v>#N/A Invalid Field</v>
      </c>
      <c r="G286" t="str" cm="1">
        <f t="array" ref="G286">_xll.BDH($D286,"MTG_GEN_CPR_12M","20090331","20090331","Dts=H")</f>
        <v>#N/A Invalid Field</v>
      </c>
      <c r="H286" t="str" cm="1">
        <f t="array" ref="H286">_xll.BDH($D286,"MTG_GEN_CPR_3M","20090610","20090610","Dts=H")</f>
        <v>#N/A Invalid Field</v>
      </c>
      <c r="I286" t="str" cm="1">
        <f t="array" ref="I286">_xll.BDH($D286,"MTG_GEN_CPR_6M","20090610","20090610","Dts=H")</f>
        <v>#N/A Invalid Field</v>
      </c>
      <c r="J286" t="str" cm="1">
        <f t="array" ref="J286">_xll.BDH($D286,"MTG_GEN_CPR_12M","20090610","20090610","Dts=H")</f>
        <v>#N/A Invalid Field</v>
      </c>
      <c r="K286" t="str" cm="1">
        <f t="array" ref="K286">_xll.BDP("31283H4W2 Mtge","MTG_PREPAY_TYP")</f>
        <v>PSA</v>
      </c>
      <c r="L286" cm="1">
        <f t="array" ref="L286">_xll.BDP(D286,"MTG_PREPAY_SPEED")</f>
        <v>7.44</v>
      </c>
      <c r="M286" cm="1">
        <f t="array" ref="M286">_xll.BDP(D286,"MTG_PL_PSA_1M ")</f>
        <v>193.2</v>
      </c>
      <c r="N286" cm="1">
        <f t="array" ref="N286">_xll.BDP(D286,"MTG_PL_PSA_3M ")</f>
        <v>167.6</v>
      </c>
      <c r="O286" cm="1">
        <f t="array" ref="O286">_xll.BDP(D286,"MTG_PL_PSA_6M ")</f>
        <v>124</v>
      </c>
    </row>
    <row r="287" spans="1:15" x14ac:dyDescent="0.25">
      <c r="A287" t="s">
        <v>873</v>
      </c>
      <c r="B287" t="s">
        <v>874</v>
      </c>
      <c r="C287" t="s">
        <v>100</v>
      </c>
      <c r="D287" t="s">
        <v>875</v>
      </c>
      <c r="E287" t="str" cm="1">
        <f t="array" ref="E287">_xll.BDH($D287,"MTG_GEN_CPR_3M","20090331","20090331","Dts=H")</f>
        <v>#N/A Invalid Field</v>
      </c>
      <c r="F287" t="str" cm="1">
        <f t="array" ref="F287">_xll.BDH($D287,"MTG_GEN_CPR_6M","20090331","20090331","Dts=H")</f>
        <v>#N/A Invalid Field</v>
      </c>
      <c r="G287" t="str" cm="1">
        <f t="array" ref="G287">_xll.BDH($D287,"MTG_GEN_CPR_12M","20090331","20090331","Dts=H")</f>
        <v>#N/A Invalid Field</v>
      </c>
      <c r="H287" t="str" cm="1">
        <f t="array" ref="H287">_xll.BDH($D287,"MTG_GEN_CPR_3M","20090610","20090610","Dts=H")</f>
        <v>#N/A Invalid Field</v>
      </c>
      <c r="I287" t="str" cm="1">
        <f t="array" ref="I287">_xll.BDH($D287,"MTG_GEN_CPR_6M","20090610","20090610","Dts=H")</f>
        <v>#N/A Invalid Field</v>
      </c>
      <c r="J287" t="str" cm="1">
        <f t="array" ref="J287">_xll.BDH($D287,"MTG_GEN_CPR_12M","20090610","20090610","Dts=H")</f>
        <v>#N/A Invalid Field</v>
      </c>
      <c r="K287" t="str" cm="1">
        <f t="array" ref="K287">_xll.BDP("31283H4W2 Mtge","MTG_PREPAY_TYP")</f>
        <v>PSA</v>
      </c>
      <c r="L287" t="str" cm="1">
        <f t="array" ref="L287">_xll.BDP(D287,"MTG_PREPAY_SPEED")</f>
        <v>#N/A N/A</v>
      </c>
      <c r="M287" cm="1">
        <f t="array" ref="M287">_xll.BDP(D287,"MTG_PL_PSA_1M ")</f>
        <v>0</v>
      </c>
      <c r="N287" cm="1">
        <f t="array" ref="N287">_xll.BDP(D287,"MTG_PL_PSA_3M ")</f>
        <v>1614.8</v>
      </c>
      <c r="O287" cm="1">
        <f t="array" ref="O287">_xll.BDP(D287,"MTG_PL_PSA_6M ")</f>
        <v>1414.5</v>
      </c>
    </row>
    <row r="288" spans="1:15" x14ac:dyDescent="0.25">
      <c r="A288" t="s">
        <v>876</v>
      </c>
      <c r="B288" t="s">
        <v>877</v>
      </c>
      <c r="C288" t="s">
        <v>100</v>
      </c>
      <c r="D288" t="s">
        <v>878</v>
      </c>
      <c r="E288" t="str" cm="1">
        <f t="array" ref="E288">_xll.BDH($D288,"MTG_GEN_CPR_3M","20090331","20090331","Dts=H")</f>
        <v>#N/A Invalid Field</v>
      </c>
      <c r="F288" t="str" cm="1">
        <f t="array" ref="F288">_xll.BDH($D288,"MTG_GEN_CPR_6M","20090331","20090331","Dts=H")</f>
        <v>#N/A Invalid Field</v>
      </c>
      <c r="G288" t="str" cm="1">
        <f t="array" ref="G288">_xll.BDH($D288,"MTG_GEN_CPR_12M","20090331","20090331","Dts=H")</f>
        <v>#N/A Invalid Field</v>
      </c>
      <c r="H288" t="str" cm="1">
        <f t="array" ref="H288">_xll.BDH($D288,"MTG_GEN_CPR_3M","20090610","20090610","Dts=H")</f>
        <v>#N/A Invalid Field</v>
      </c>
      <c r="I288" t="str" cm="1">
        <f t="array" ref="I288">_xll.BDH($D288,"MTG_GEN_CPR_6M","20090610","20090610","Dts=H")</f>
        <v>#N/A Invalid Field</v>
      </c>
      <c r="J288" t="str" cm="1">
        <f t="array" ref="J288">_xll.BDH($D288,"MTG_GEN_CPR_12M","20090610","20090610","Dts=H")</f>
        <v>#N/A Invalid Field</v>
      </c>
      <c r="K288" t="str" cm="1">
        <f t="array" ref="K288">_xll.BDP("31283H4W2 Mtge","MTG_PREPAY_TYP")</f>
        <v>PSA</v>
      </c>
      <c r="L288" cm="1">
        <f t="array" ref="L288">_xll.BDP(D288,"MTG_PREPAY_SPEED")</f>
        <v>169</v>
      </c>
      <c r="M288" cm="1">
        <f t="array" ref="M288">_xll.BDP(D288,"MTG_PL_PSA_1M ")</f>
        <v>26.3</v>
      </c>
      <c r="N288" cm="1">
        <f t="array" ref="N288">_xll.BDP(D288,"MTG_PL_PSA_3M ")</f>
        <v>43.3</v>
      </c>
      <c r="O288" cm="1">
        <f t="array" ref="O288">_xll.BDP(D288,"MTG_PL_PSA_6M ")</f>
        <v>46.4</v>
      </c>
    </row>
    <row r="289" spans="1:15" x14ac:dyDescent="0.25">
      <c r="A289" t="s">
        <v>879</v>
      </c>
      <c r="B289" t="s">
        <v>880</v>
      </c>
      <c r="C289" t="s">
        <v>100</v>
      </c>
      <c r="D289" t="s">
        <v>881</v>
      </c>
      <c r="E289" t="str" cm="1">
        <f t="array" ref="E289">_xll.BDH($D289,"MTG_GEN_CPR_3M","20090331","20090331","Dts=H")</f>
        <v>#N/A Invalid Field</v>
      </c>
      <c r="F289" t="str" cm="1">
        <f t="array" ref="F289">_xll.BDH($D289,"MTG_GEN_CPR_6M","20090331","20090331","Dts=H")</f>
        <v>#N/A Invalid Field</v>
      </c>
      <c r="G289" t="str" cm="1">
        <f t="array" ref="G289">_xll.BDH($D289,"MTG_GEN_CPR_12M","20090331","20090331","Dts=H")</f>
        <v>#N/A Invalid Field</v>
      </c>
      <c r="H289" t="str" cm="1">
        <f t="array" ref="H289">_xll.BDH($D289,"MTG_GEN_CPR_3M","20090610","20090610","Dts=H")</f>
        <v>#N/A Invalid Field</v>
      </c>
      <c r="I289" t="str" cm="1">
        <f t="array" ref="I289">_xll.BDH($D289,"MTG_GEN_CPR_6M","20090610","20090610","Dts=H")</f>
        <v>#N/A Invalid Field</v>
      </c>
      <c r="J289" t="str" cm="1">
        <f t="array" ref="J289">_xll.BDH($D289,"MTG_GEN_CPR_12M","20090610","20090610","Dts=H")</f>
        <v>#N/A Invalid Field</v>
      </c>
      <c r="K289" t="str" cm="1">
        <f t="array" ref="K289">_xll.BDP("31283H4W2 Mtge","MTG_PREPAY_TYP")</f>
        <v>PSA</v>
      </c>
      <c r="L289" cm="1">
        <f t="array" ref="L289">_xll.BDP(D289,"MTG_PREPAY_SPEED")</f>
        <v>169</v>
      </c>
      <c r="M289" cm="1">
        <f t="array" ref="M289">_xll.BDP(D289,"MTG_PL_PSA_1M ")</f>
        <v>1344.5</v>
      </c>
      <c r="N289" cm="1">
        <f t="array" ref="N289">_xll.BDP(D289,"MTG_PL_PSA_3M ")</f>
        <v>714.6</v>
      </c>
      <c r="O289" cm="1">
        <f t="array" ref="O289">_xll.BDP(D289,"MTG_PL_PSA_6M ")</f>
        <v>416.9</v>
      </c>
    </row>
    <row r="290" spans="1:15" x14ac:dyDescent="0.25">
      <c r="A290" t="s">
        <v>882</v>
      </c>
      <c r="B290" t="s">
        <v>883</v>
      </c>
      <c r="C290" t="s">
        <v>100</v>
      </c>
      <c r="D290" t="s">
        <v>884</v>
      </c>
      <c r="E290" t="str" cm="1">
        <f t="array" ref="E290">_xll.BDH($D290,"MTG_GEN_CPR_3M","20090331","20090331","Dts=H")</f>
        <v>#N/A Invalid Field</v>
      </c>
      <c r="F290" t="str" cm="1">
        <f t="array" ref="F290">_xll.BDH($D290,"MTG_GEN_CPR_6M","20090331","20090331","Dts=H")</f>
        <v>#N/A Invalid Field</v>
      </c>
      <c r="G290" t="str" cm="1">
        <f t="array" ref="G290">_xll.BDH($D290,"MTG_GEN_CPR_12M","20090331","20090331","Dts=H")</f>
        <v>#N/A Invalid Field</v>
      </c>
      <c r="H290" t="str" cm="1">
        <f t="array" ref="H290">_xll.BDH($D290,"MTG_GEN_CPR_3M","20090610","20090610","Dts=H")</f>
        <v>#N/A Invalid Field</v>
      </c>
      <c r="I290" t="str" cm="1">
        <f t="array" ref="I290">_xll.BDH($D290,"MTG_GEN_CPR_6M","20090610","20090610","Dts=H")</f>
        <v>#N/A Invalid Field</v>
      </c>
      <c r="J290" t="str" cm="1">
        <f t="array" ref="J290">_xll.BDH($D290,"MTG_GEN_CPR_12M","20090610","20090610","Dts=H")</f>
        <v>#N/A Invalid Field</v>
      </c>
      <c r="K290" t="str" cm="1">
        <f t="array" ref="K290">_xll.BDP("31283H4W2 Mtge","MTG_PREPAY_TYP")</f>
        <v>PSA</v>
      </c>
      <c r="L290" cm="1">
        <f t="array" ref="L290">_xll.BDP(D290,"MTG_PREPAY_SPEED")</f>
        <v>125</v>
      </c>
      <c r="M290" cm="1">
        <f t="array" ref="M290">_xll.BDP(D290,"MTG_PL_PSA_1M ")</f>
        <v>5.9</v>
      </c>
      <c r="N290" cm="1">
        <f t="array" ref="N290">_xll.BDP(D290,"MTG_PL_PSA_3M ")</f>
        <v>21.9</v>
      </c>
      <c r="O290" cm="1">
        <f t="array" ref="O290">_xll.BDP(D290,"MTG_PL_PSA_6M ")</f>
        <v>13.3</v>
      </c>
    </row>
    <row r="291" spans="1:15" x14ac:dyDescent="0.25">
      <c r="A291" t="s">
        <v>885</v>
      </c>
      <c r="B291" t="s">
        <v>886</v>
      </c>
      <c r="C291" t="s">
        <v>100</v>
      </c>
      <c r="D291" t="s">
        <v>887</v>
      </c>
      <c r="E291" t="str" cm="1">
        <f t="array" ref="E291">_xll.BDH($D291,"MTG_GEN_CPR_3M","20090331","20090331","Dts=H")</f>
        <v>#N/A Invalid Field</v>
      </c>
      <c r="F291" t="str" cm="1">
        <f t="array" ref="F291">_xll.BDH($D291,"MTG_GEN_CPR_6M","20090331","20090331","Dts=H")</f>
        <v>#N/A Invalid Field</v>
      </c>
      <c r="G291" t="str" cm="1">
        <f t="array" ref="G291">_xll.BDH($D291,"MTG_GEN_CPR_12M","20090331","20090331","Dts=H")</f>
        <v>#N/A Invalid Field</v>
      </c>
      <c r="H291" t="str" cm="1">
        <f t="array" ref="H291">_xll.BDH($D291,"MTG_GEN_CPR_3M","20090610","20090610","Dts=H")</f>
        <v>#N/A Invalid Field</v>
      </c>
      <c r="I291" t="str" cm="1">
        <f t="array" ref="I291">_xll.BDH($D291,"MTG_GEN_CPR_6M","20090610","20090610","Dts=H")</f>
        <v>#N/A Invalid Field</v>
      </c>
      <c r="J291" t="str" cm="1">
        <f t="array" ref="J291">_xll.BDH($D291,"MTG_GEN_CPR_12M","20090610","20090610","Dts=H")</f>
        <v>#N/A Invalid Field</v>
      </c>
      <c r="K291" t="str" cm="1">
        <f t="array" ref="K291">_xll.BDP("31283H4W2 Mtge","MTG_PREPAY_TYP")</f>
        <v>PSA</v>
      </c>
      <c r="L291" t="str" cm="1">
        <f t="array" ref="L291">_xll.BDP(D291,"MTG_PREPAY_SPEED")</f>
        <v>#N/A N/A</v>
      </c>
      <c r="M291" cm="1">
        <f t="array" ref="M291">_xll.BDP(D291,"MTG_PL_PSA_1M ")</f>
        <v>0</v>
      </c>
      <c r="N291" cm="1">
        <f t="array" ref="N291">_xll.BDP(D291,"MTG_PL_PSA_3M ")</f>
        <v>1419.8</v>
      </c>
      <c r="O291" cm="1">
        <f t="array" ref="O291">_xll.BDP(D291,"MTG_PL_PSA_6M ")</f>
        <v>1333.8</v>
      </c>
    </row>
    <row r="292" spans="1:15" x14ac:dyDescent="0.25">
      <c r="A292" t="s">
        <v>888</v>
      </c>
      <c r="B292" t="s">
        <v>889</v>
      </c>
      <c r="C292" t="s">
        <v>100</v>
      </c>
      <c r="D292" t="s">
        <v>890</v>
      </c>
      <c r="E292" t="str" cm="1">
        <f t="array" ref="E292">_xll.BDH($D292,"MTG_GEN_CPR_3M","20090331","20090331","Dts=H")</f>
        <v>#N/A Invalid Field</v>
      </c>
      <c r="F292" t="str" cm="1">
        <f t="array" ref="F292">_xll.BDH($D292,"MTG_GEN_CPR_6M","20090331","20090331","Dts=H")</f>
        <v>#N/A Invalid Field</v>
      </c>
      <c r="G292" t="str" cm="1">
        <f t="array" ref="G292">_xll.BDH($D292,"MTG_GEN_CPR_12M","20090331","20090331","Dts=H")</f>
        <v>#N/A Invalid Field</v>
      </c>
      <c r="H292" t="str" cm="1">
        <f t="array" ref="H292">_xll.BDH($D292,"MTG_GEN_CPR_3M","20090610","20090610","Dts=H")</f>
        <v>#N/A Invalid Field</v>
      </c>
      <c r="I292" t="str" cm="1">
        <f t="array" ref="I292">_xll.BDH($D292,"MTG_GEN_CPR_6M","20090610","20090610","Dts=H")</f>
        <v>#N/A Invalid Field</v>
      </c>
      <c r="J292" t="str" cm="1">
        <f t="array" ref="J292">_xll.BDH($D292,"MTG_GEN_CPR_12M","20090610","20090610","Dts=H")</f>
        <v>#N/A Invalid Field</v>
      </c>
      <c r="K292" t="str" cm="1">
        <f t="array" ref="K292">_xll.BDP("31283H4W2 Mtge","MTG_PREPAY_TYP")</f>
        <v>PSA</v>
      </c>
      <c r="L292" t="str" cm="1">
        <f t="array" ref="L292">_xll.BDP(D292,"MTG_PREPAY_SPEED")</f>
        <v>#N/A N/A</v>
      </c>
      <c r="M292" cm="1">
        <f t="array" ref="M292">_xll.BDP(D292,"MTG_PL_PSA_1M ")</f>
        <v>0</v>
      </c>
      <c r="N292" cm="1">
        <f t="array" ref="N292">_xll.BDP(D292,"MTG_PL_PSA_3M ")</f>
        <v>319.10000000000002</v>
      </c>
      <c r="O292" cm="1">
        <f t="array" ref="O292">_xll.BDP(D292,"MTG_PL_PSA_6M ")</f>
        <v>1211.0999999999999</v>
      </c>
    </row>
    <row r="293" spans="1:15" x14ac:dyDescent="0.25">
      <c r="A293" t="s">
        <v>891</v>
      </c>
      <c r="B293" t="s">
        <v>892</v>
      </c>
      <c r="C293" t="s">
        <v>100</v>
      </c>
      <c r="D293" t="s">
        <v>893</v>
      </c>
      <c r="E293" t="str" cm="1">
        <f t="array" ref="E293">_xll.BDH($D293,"MTG_GEN_CPR_3M","20090331","20090331","Dts=H")</f>
        <v>#N/A Invalid Field</v>
      </c>
      <c r="F293" t="str" cm="1">
        <f t="array" ref="F293">_xll.BDH($D293,"MTG_GEN_CPR_6M","20090331","20090331","Dts=H")</f>
        <v>#N/A Invalid Field</v>
      </c>
      <c r="G293" t="str" cm="1">
        <f t="array" ref="G293">_xll.BDH($D293,"MTG_GEN_CPR_12M","20090331","20090331","Dts=H")</f>
        <v>#N/A Invalid Field</v>
      </c>
      <c r="H293" t="str" cm="1">
        <f t="array" ref="H293">_xll.BDH($D293,"MTG_GEN_CPR_3M","20090610","20090610","Dts=H")</f>
        <v>#N/A Invalid Field</v>
      </c>
      <c r="I293" t="str" cm="1">
        <f t="array" ref="I293">_xll.BDH($D293,"MTG_GEN_CPR_6M","20090610","20090610","Dts=H")</f>
        <v>#N/A Invalid Field</v>
      </c>
      <c r="J293" t="str" cm="1">
        <f t="array" ref="J293">_xll.BDH($D293,"MTG_GEN_CPR_12M","20090610","20090610","Dts=H")</f>
        <v>#N/A Invalid Field</v>
      </c>
      <c r="K293" t="str" cm="1">
        <f t="array" ref="K293">_xll.BDP("31283H4W2 Mtge","MTG_PREPAY_TYP")</f>
        <v>PSA</v>
      </c>
      <c r="L293" cm="1">
        <f t="array" ref="L293">_xll.BDP(D293,"MTG_PREPAY_SPEED")</f>
        <v>125</v>
      </c>
      <c r="M293" cm="1">
        <f t="array" ref="M293">_xll.BDP(D293,"MTG_PL_PSA_1M ")</f>
        <v>182.6</v>
      </c>
      <c r="N293" cm="1">
        <f t="array" ref="N293">_xll.BDP(D293,"MTG_PL_PSA_3M ")</f>
        <v>146</v>
      </c>
      <c r="O293" cm="1">
        <f t="array" ref="O293">_xll.BDP(D293,"MTG_PL_PSA_6M ")</f>
        <v>130.6</v>
      </c>
    </row>
    <row r="294" spans="1:15" x14ac:dyDescent="0.25">
      <c r="A294" t="s">
        <v>894</v>
      </c>
      <c r="B294" t="s">
        <v>895</v>
      </c>
      <c r="C294" t="s">
        <v>100</v>
      </c>
      <c r="D294" t="s">
        <v>896</v>
      </c>
      <c r="E294" t="str" cm="1">
        <f t="array" ref="E294">_xll.BDH($D294,"MTG_GEN_CPR_3M","20090331","20090331","Dts=H")</f>
        <v>#N/A Invalid Field</v>
      </c>
      <c r="F294" t="str" cm="1">
        <f t="array" ref="F294">_xll.BDH($D294,"MTG_GEN_CPR_6M","20090331","20090331","Dts=H")</f>
        <v>#N/A Invalid Field</v>
      </c>
      <c r="G294" t="str" cm="1">
        <f t="array" ref="G294">_xll.BDH($D294,"MTG_GEN_CPR_12M","20090331","20090331","Dts=H")</f>
        <v>#N/A Invalid Field</v>
      </c>
      <c r="H294" t="str" cm="1">
        <f t="array" ref="H294">_xll.BDH($D294,"MTG_GEN_CPR_3M","20090610","20090610","Dts=H")</f>
        <v>#N/A Invalid Field</v>
      </c>
      <c r="I294" t="str" cm="1">
        <f t="array" ref="I294">_xll.BDH($D294,"MTG_GEN_CPR_6M","20090610","20090610","Dts=H")</f>
        <v>#N/A Invalid Field</v>
      </c>
      <c r="J294" t="str" cm="1">
        <f t="array" ref="J294">_xll.BDH($D294,"MTG_GEN_CPR_12M","20090610","20090610","Dts=H")</f>
        <v>#N/A Invalid Field</v>
      </c>
      <c r="K294" t="str" cm="1">
        <f t="array" ref="K294">_xll.BDP("31283H4W2 Mtge","MTG_PREPAY_TYP")</f>
        <v>PSA</v>
      </c>
      <c r="L294" cm="1">
        <f t="array" ref="L294">_xll.BDP(D294,"MTG_PREPAY_SPEED")</f>
        <v>169</v>
      </c>
      <c r="M294" cm="1">
        <f t="array" ref="M294">_xll.BDP(D294,"MTG_PL_PSA_1M ")</f>
        <v>41.6</v>
      </c>
      <c r="N294" cm="1">
        <f t="array" ref="N294">_xll.BDP(D294,"MTG_PL_PSA_3M ")</f>
        <v>41.8</v>
      </c>
      <c r="O294" cm="1">
        <f t="array" ref="O294">_xll.BDP(D294,"MTG_PL_PSA_6M ")</f>
        <v>40.200000000000003</v>
      </c>
    </row>
    <row r="295" spans="1:15" x14ac:dyDescent="0.25">
      <c r="A295" t="s">
        <v>897</v>
      </c>
      <c r="B295" t="s">
        <v>898</v>
      </c>
      <c r="C295" t="s">
        <v>100</v>
      </c>
      <c r="D295" t="s">
        <v>899</v>
      </c>
      <c r="E295" t="str" cm="1">
        <f t="array" ref="E295">_xll.BDH($D295,"MTG_GEN_CPR_3M","20090331","20090331","Dts=H")</f>
        <v>#N/A Invalid Field</v>
      </c>
      <c r="F295" t="str" cm="1">
        <f t="array" ref="F295">_xll.BDH($D295,"MTG_GEN_CPR_6M","20090331","20090331","Dts=H")</f>
        <v>#N/A Invalid Field</v>
      </c>
      <c r="G295" t="str" cm="1">
        <f t="array" ref="G295">_xll.BDH($D295,"MTG_GEN_CPR_12M","20090331","20090331","Dts=H")</f>
        <v>#N/A Invalid Field</v>
      </c>
      <c r="H295" t="str" cm="1">
        <f t="array" ref="H295">_xll.BDH($D295,"MTG_GEN_CPR_3M","20090610","20090610","Dts=H")</f>
        <v>#N/A Invalid Field</v>
      </c>
      <c r="I295" t="str" cm="1">
        <f t="array" ref="I295">_xll.BDH($D295,"MTG_GEN_CPR_6M","20090610","20090610","Dts=H")</f>
        <v>#N/A Invalid Field</v>
      </c>
      <c r="J295" t="str" cm="1">
        <f t="array" ref="J295">_xll.BDH($D295,"MTG_GEN_CPR_12M","20090610","20090610","Dts=H")</f>
        <v>#N/A Invalid Field</v>
      </c>
      <c r="K295" t="str" cm="1">
        <f t="array" ref="K295">_xll.BDP("31283H4W2 Mtge","MTG_PREPAY_TYP")</f>
        <v>PSA</v>
      </c>
      <c r="L295" t="str" cm="1">
        <f t="array" ref="L295">_xll.BDP(D295,"MTG_PREPAY_SPEED")</f>
        <v>#N/A N/A</v>
      </c>
      <c r="M295" cm="1">
        <f t="array" ref="M295">_xll.BDP(D295,"MTG_PL_PSA_1M ")</f>
        <v>0</v>
      </c>
      <c r="N295" cm="1">
        <f t="array" ref="N295">_xll.BDP(D295,"MTG_PL_PSA_3M ")</f>
        <v>1466.7</v>
      </c>
      <c r="O295" cm="1">
        <f t="array" ref="O295">_xll.BDP(D295,"MTG_PL_PSA_6M ")</f>
        <v>1341.2</v>
      </c>
    </row>
    <row r="296" spans="1:15" x14ac:dyDescent="0.25">
      <c r="A296" t="s">
        <v>900</v>
      </c>
      <c r="B296" t="s">
        <v>901</v>
      </c>
      <c r="C296" t="s">
        <v>100</v>
      </c>
      <c r="D296" t="s">
        <v>902</v>
      </c>
      <c r="E296" t="str" cm="1">
        <f t="array" ref="E296">_xll.BDH($D296,"MTG_GEN_CPR_3M","20090331","20090331","Dts=H")</f>
        <v>#N/A Invalid Field</v>
      </c>
      <c r="F296" t="str" cm="1">
        <f t="array" ref="F296">_xll.BDH($D296,"MTG_GEN_CPR_6M","20090331","20090331","Dts=H")</f>
        <v>#N/A Invalid Field</v>
      </c>
      <c r="G296" t="str" cm="1">
        <f t="array" ref="G296">_xll.BDH($D296,"MTG_GEN_CPR_12M","20090331","20090331","Dts=H")</f>
        <v>#N/A Invalid Field</v>
      </c>
      <c r="H296" t="str" cm="1">
        <f t="array" ref="H296">_xll.BDH($D296,"MTG_GEN_CPR_3M","20090610","20090610","Dts=H")</f>
        <v>#N/A Invalid Field</v>
      </c>
      <c r="I296" t="str" cm="1">
        <f t="array" ref="I296">_xll.BDH($D296,"MTG_GEN_CPR_6M","20090610","20090610","Dts=H")</f>
        <v>#N/A Invalid Field</v>
      </c>
      <c r="J296" t="str" cm="1">
        <f t="array" ref="J296">_xll.BDH($D296,"MTG_GEN_CPR_12M","20090610","20090610","Dts=H")</f>
        <v>#N/A Invalid Field</v>
      </c>
      <c r="K296" t="str" cm="1">
        <f t="array" ref="K296">_xll.BDP("31283H4W2 Mtge","MTG_PREPAY_TYP")</f>
        <v>PSA</v>
      </c>
      <c r="L296" t="str" cm="1">
        <f t="array" ref="L296">_xll.BDP(D296,"MTG_PREPAY_SPEED")</f>
        <v>#N/A N/A</v>
      </c>
      <c r="M296" cm="1">
        <f t="array" ref="M296">_xll.BDP(D296,"MTG_PL_PSA_1M ")</f>
        <v>0</v>
      </c>
      <c r="N296" cm="1">
        <f t="array" ref="N296">_xll.BDP(D296,"MTG_PL_PSA_3M ")</f>
        <v>1657.2</v>
      </c>
      <c r="O296" cm="1">
        <f t="array" ref="O296">_xll.BDP(D296,"MTG_PL_PSA_6M ")</f>
        <v>1658.7</v>
      </c>
    </row>
    <row r="297" spans="1:15" x14ac:dyDescent="0.25">
      <c r="A297" t="s">
        <v>903</v>
      </c>
      <c r="B297" t="s">
        <v>904</v>
      </c>
      <c r="C297" t="s">
        <v>100</v>
      </c>
      <c r="D297" t="s">
        <v>905</v>
      </c>
      <c r="E297" t="str" cm="1">
        <f t="array" ref="E297">_xll.BDH($D297,"MTG_GEN_CPR_3M","20090331","20090331","Dts=H")</f>
        <v>#N/A Invalid Field</v>
      </c>
      <c r="F297" t="str" cm="1">
        <f t="array" ref="F297">_xll.BDH($D297,"MTG_GEN_CPR_6M","20090331","20090331","Dts=H")</f>
        <v>#N/A Invalid Field</v>
      </c>
      <c r="G297" t="str" cm="1">
        <f t="array" ref="G297">_xll.BDH($D297,"MTG_GEN_CPR_12M","20090331","20090331","Dts=H")</f>
        <v>#N/A Invalid Field</v>
      </c>
      <c r="H297" t="str" cm="1">
        <f t="array" ref="H297">_xll.BDH($D297,"MTG_GEN_CPR_3M","20090610","20090610","Dts=H")</f>
        <v>#N/A Invalid Field</v>
      </c>
      <c r="I297" t="str" cm="1">
        <f t="array" ref="I297">_xll.BDH($D297,"MTG_GEN_CPR_6M","20090610","20090610","Dts=H")</f>
        <v>#N/A Invalid Field</v>
      </c>
      <c r="J297" t="str" cm="1">
        <f t="array" ref="J297">_xll.BDH($D297,"MTG_GEN_CPR_12M","20090610","20090610","Dts=H")</f>
        <v>#N/A Invalid Field</v>
      </c>
      <c r="K297" t="str" cm="1">
        <f t="array" ref="K297">_xll.BDP("31283H4W2 Mtge","MTG_PREPAY_TYP")</f>
        <v>PSA</v>
      </c>
      <c r="L297" cm="1">
        <f t="array" ref="L297">_xll.BDP(D297,"MTG_PREPAY_SPEED")</f>
        <v>161</v>
      </c>
      <c r="M297" cm="1">
        <f t="array" ref="M297">_xll.BDP(D297,"MTG_PL_PSA_1M ")</f>
        <v>102.2</v>
      </c>
      <c r="N297" cm="1">
        <f t="array" ref="N297">_xll.BDP(D297,"MTG_PL_PSA_3M ")</f>
        <v>230.5</v>
      </c>
      <c r="O297" cm="1">
        <f t="array" ref="O297">_xll.BDP(D297,"MTG_PL_PSA_6M ")</f>
        <v>168.2</v>
      </c>
    </row>
    <row r="298" spans="1:15" x14ac:dyDescent="0.25">
      <c r="A298" t="s">
        <v>906</v>
      </c>
      <c r="B298" t="s">
        <v>907</v>
      </c>
      <c r="C298" t="s">
        <v>100</v>
      </c>
      <c r="D298" t="s">
        <v>908</v>
      </c>
      <c r="E298" t="str" cm="1">
        <f t="array" ref="E298">_xll.BDH($D298,"MTG_GEN_CPR_3M","20090331","20090331","Dts=H")</f>
        <v>#N/A Invalid Field</v>
      </c>
      <c r="F298" t="str" cm="1">
        <f t="array" ref="F298">_xll.BDH($D298,"MTG_GEN_CPR_6M","20090331","20090331","Dts=H")</f>
        <v>#N/A Invalid Field</v>
      </c>
      <c r="G298" t="str" cm="1">
        <f t="array" ref="G298">_xll.BDH($D298,"MTG_GEN_CPR_12M","20090331","20090331","Dts=H")</f>
        <v>#N/A Invalid Field</v>
      </c>
      <c r="H298" t="str" cm="1">
        <f t="array" ref="H298">_xll.BDH($D298,"MTG_GEN_CPR_3M","20090610","20090610","Dts=H")</f>
        <v>#N/A Invalid Field</v>
      </c>
      <c r="I298" t="str" cm="1">
        <f t="array" ref="I298">_xll.BDH($D298,"MTG_GEN_CPR_6M","20090610","20090610","Dts=H")</f>
        <v>#N/A Invalid Field</v>
      </c>
      <c r="J298" t="str" cm="1">
        <f t="array" ref="J298">_xll.BDH($D298,"MTG_GEN_CPR_12M","20090610","20090610","Dts=H")</f>
        <v>#N/A Invalid Field</v>
      </c>
      <c r="K298" t="str" cm="1">
        <f t="array" ref="K298">_xll.BDP("31283H4W2 Mtge","MTG_PREPAY_TYP")</f>
        <v>PSA</v>
      </c>
      <c r="L298" cm="1">
        <f t="array" ref="L298">_xll.BDP(D298,"MTG_PREPAY_SPEED")</f>
        <v>3.23</v>
      </c>
      <c r="M298" cm="1">
        <f t="array" ref="M298">_xll.BDP(D298,"MTG_PL_PSA_1M ")</f>
        <v>55</v>
      </c>
      <c r="N298" cm="1">
        <f t="array" ref="N298">_xll.BDP(D298,"MTG_PL_PSA_3M ")</f>
        <v>54.8</v>
      </c>
      <c r="O298" cm="1">
        <f t="array" ref="O298">_xll.BDP(D298,"MTG_PL_PSA_6M ")</f>
        <v>53.8</v>
      </c>
    </row>
    <row r="299" spans="1:15" x14ac:dyDescent="0.25">
      <c r="A299" t="s">
        <v>909</v>
      </c>
      <c r="B299" t="s">
        <v>910</v>
      </c>
      <c r="C299" t="s">
        <v>100</v>
      </c>
      <c r="D299" t="s">
        <v>911</v>
      </c>
      <c r="E299" t="str" cm="1">
        <f t="array" ref="E299">_xll.BDH($D299,"MTG_GEN_CPR_3M","20090331","20090331","Dts=H")</f>
        <v>#N/A Invalid Field</v>
      </c>
      <c r="F299" t="str" cm="1">
        <f t="array" ref="F299">_xll.BDH($D299,"MTG_GEN_CPR_6M","20090331","20090331","Dts=H")</f>
        <v>#N/A Invalid Field</v>
      </c>
      <c r="G299" t="str" cm="1">
        <f t="array" ref="G299">_xll.BDH($D299,"MTG_GEN_CPR_12M","20090331","20090331","Dts=H")</f>
        <v>#N/A Invalid Field</v>
      </c>
      <c r="H299" t="str" cm="1">
        <f t="array" ref="H299">_xll.BDH($D299,"MTG_GEN_CPR_3M","20090610","20090610","Dts=H")</f>
        <v>#N/A Invalid Field</v>
      </c>
      <c r="I299" t="str" cm="1">
        <f t="array" ref="I299">_xll.BDH($D299,"MTG_GEN_CPR_6M","20090610","20090610","Dts=H")</f>
        <v>#N/A Invalid Field</v>
      </c>
      <c r="J299" t="str" cm="1">
        <f t="array" ref="J299">_xll.BDH($D299,"MTG_GEN_CPR_12M","20090610","20090610","Dts=H")</f>
        <v>#N/A Invalid Field</v>
      </c>
      <c r="K299" t="str" cm="1">
        <f t="array" ref="K299">_xll.BDP("31283H4W2 Mtge","MTG_PREPAY_TYP")</f>
        <v>PSA</v>
      </c>
      <c r="L299" t="str" cm="1">
        <f t="array" ref="L299">_xll.BDP(D299,"MTG_PREPAY_SPEED")</f>
        <v>#N/A N/A</v>
      </c>
      <c r="M299" cm="1">
        <f t="array" ref="M299">_xll.BDP(D299,"MTG_PL_PSA_1M ")</f>
        <v>1666.7</v>
      </c>
      <c r="N299" cm="1">
        <f t="array" ref="N299">_xll.BDP(D299,"MTG_PL_PSA_3M ")</f>
        <v>1666.7</v>
      </c>
      <c r="O299" cm="1">
        <f t="array" ref="O299">_xll.BDP(D299,"MTG_PL_PSA_6M ")</f>
        <v>1666.7</v>
      </c>
    </row>
    <row r="300" spans="1:15" x14ac:dyDescent="0.25">
      <c r="A300" t="s">
        <v>912</v>
      </c>
      <c r="B300" t="s">
        <v>913</v>
      </c>
      <c r="C300" t="s">
        <v>100</v>
      </c>
      <c r="D300" t="s">
        <v>914</v>
      </c>
      <c r="E300" t="str" cm="1">
        <f t="array" ref="E300">_xll.BDH($D300,"MTG_GEN_CPR_3M","20090331","20090331","Dts=H")</f>
        <v>#N/A Invalid Field</v>
      </c>
      <c r="F300" t="str" cm="1">
        <f t="array" ref="F300">_xll.BDH($D300,"MTG_GEN_CPR_6M","20090331","20090331","Dts=H")</f>
        <v>#N/A Invalid Field</v>
      </c>
      <c r="G300" t="str" cm="1">
        <f t="array" ref="G300">_xll.BDH($D300,"MTG_GEN_CPR_12M","20090331","20090331","Dts=H")</f>
        <v>#N/A Invalid Field</v>
      </c>
      <c r="H300" t="str" cm="1">
        <f t="array" ref="H300">_xll.BDH($D300,"MTG_GEN_CPR_3M","20090610","20090610","Dts=H")</f>
        <v>#N/A Invalid Field</v>
      </c>
      <c r="I300" t="str" cm="1">
        <f t="array" ref="I300">_xll.BDH($D300,"MTG_GEN_CPR_6M","20090610","20090610","Dts=H")</f>
        <v>#N/A Invalid Field</v>
      </c>
      <c r="J300" t="str" cm="1">
        <f t="array" ref="J300">_xll.BDH($D300,"MTG_GEN_CPR_12M","20090610","20090610","Dts=H")</f>
        <v>#N/A Invalid Field</v>
      </c>
      <c r="K300" t="str" cm="1">
        <f t="array" ref="K300">_xll.BDP("31283H4W2 Mtge","MTG_PREPAY_TYP")</f>
        <v>PSA</v>
      </c>
      <c r="L300" cm="1">
        <f t="array" ref="L300">_xll.BDP(D300,"MTG_PREPAY_SPEED")</f>
        <v>10.14</v>
      </c>
      <c r="M300" cm="1">
        <f t="array" ref="M300">_xll.BDP(D300,"MTG_PL_PSA_1M ")</f>
        <v>70.400000000000006</v>
      </c>
      <c r="N300" cm="1">
        <f t="array" ref="N300">_xll.BDP(D300,"MTG_PL_PSA_3M ")</f>
        <v>94</v>
      </c>
      <c r="O300" cm="1">
        <f t="array" ref="O300">_xll.BDP(D300,"MTG_PL_PSA_6M ")</f>
        <v>169</v>
      </c>
    </row>
    <row r="301" spans="1:15" x14ac:dyDescent="0.25">
      <c r="A301" t="s">
        <v>915</v>
      </c>
      <c r="B301" t="s">
        <v>916</v>
      </c>
      <c r="C301" t="s">
        <v>100</v>
      </c>
      <c r="D301" t="s">
        <v>917</v>
      </c>
      <c r="E301" t="str" cm="1">
        <f t="array" ref="E301">_xll.BDH($D301,"MTG_GEN_CPR_3M","20090331","20090331","Dts=H")</f>
        <v>#N/A Invalid Field</v>
      </c>
      <c r="F301" t="str" cm="1">
        <f t="array" ref="F301">_xll.BDH($D301,"MTG_GEN_CPR_6M","20090331","20090331","Dts=H")</f>
        <v>#N/A Invalid Field</v>
      </c>
      <c r="G301" t="str" cm="1">
        <f t="array" ref="G301">_xll.BDH($D301,"MTG_GEN_CPR_12M","20090331","20090331","Dts=H")</f>
        <v>#N/A Invalid Field</v>
      </c>
      <c r="H301" t="str" cm="1">
        <f t="array" ref="H301">_xll.BDH($D301,"MTG_GEN_CPR_3M","20090610","20090610","Dts=H")</f>
        <v>#N/A Invalid Field</v>
      </c>
      <c r="I301" t="str" cm="1">
        <f t="array" ref="I301">_xll.BDH($D301,"MTG_GEN_CPR_6M","20090610","20090610","Dts=H")</f>
        <v>#N/A Invalid Field</v>
      </c>
      <c r="J301" t="str" cm="1">
        <f t="array" ref="J301">_xll.BDH($D301,"MTG_GEN_CPR_12M","20090610","20090610","Dts=H")</f>
        <v>#N/A Invalid Field</v>
      </c>
      <c r="K301" t="str" cm="1">
        <f t="array" ref="K301">_xll.BDP("31283H4W2 Mtge","MTG_PREPAY_TYP")</f>
        <v>PSA</v>
      </c>
      <c r="L301" t="str" cm="1">
        <f t="array" ref="L301">_xll.BDP(D301,"MTG_PREPAY_SPEED")</f>
        <v>#N/A N/A</v>
      </c>
      <c r="M301" cm="1">
        <f t="array" ref="M301">_xll.BDP(D301,"MTG_PL_PSA_1M ")</f>
        <v>0</v>
      </c>
      <c r="N301" cm="1">
        <f t="array" ref="N301">_xll.BDP(D301,"MTG_PL_PSA_3M ")</f>
        <v>1658.7</v>
      </c>
      <c r="O301" cm="1">
        <f t="array" ref="O301">_xll.BDP(D301,"MTG_PL_PSA_6M ")</f>
        <v>1630.6</v>
      </c>
    </row>
    <row r="302" spans="1:15" x14ac:dyDescent="0.25">
      <c r="A302" t="s">
        <v>918</v>
      </c>
      <c r="B302" t="s">
        <v>919</v>
      </c>
      <c r="C302" t="s">
        <v>100</v>
      </c>
      <c r="D302" t="s">
        <v>920</v>
      </c>
      <c r="E302" t="str" cm="1">
        <f t="array" ref="E302">_xll.BDH($D302,"MTG_GEN_CPR_3M","20090331","20090331","Dts=H")</f>
        <v>#N/A Invalid Field</v>
      </c>
      <c r="F302" t="str" cm="1">
        <f t="array" ref="F302">_xll.BDH($D302,"MTG_GEN_CPR_6M","20090331","20090331","Dts=H")</f>
        <v>#N/A Invalid Field</v>
      </c>
      <c r="G302" t="str" cm="1">
        <f t="array" ref="G302">_xll.BDH($D302,"MTG_GEN_CPR_12M","20090331","20090331","Dts=H")</f>
        <v>#N/A Invalid Field</v>
      </c>
      <c r="H302" t="str" cm="1">
        <f t="array" ref="H302">_xll.BDH($D302,"MTG_GEN_CPR_3M","20090610","20090610","Dts=H")</f>
        <v>#N/A Invalid Field</v>
      </c>
      <c r="I302" t="str" cm="1">
        <f t="array" ref="I302">_xll.BDH($D302,"MTG_GEN_CPR_6M","20090610","20090610","Dts=H")</f>
        <v>#N/A Invalid Field</v>
      </c>
      <c r="J302" t="str" cm="1">
        <f t="array" ref="J302">_xll.BDH($D302,"MTG_GEN_CPR_12M","20090610","20090610","Dts=H")</f>
        <v>#N/A Invalid Field</v>
      </c>
      <c r="K302" t="str" cm="1">
        <f t="array" ref="K302">_xll.BDP("31283H4W2 Mtge","MTG_PREPAY_TYP")</f>
        <v>PSA</v>
      </c>
      <c r="L302" cm="1">
        <f t="array" ref="L302">_xll.BDP(D302,"MTG_PREPAY_SPEED")</f>
        <v>17.649999999999999</v>
      </c>
      <c r="M302" cm="1">
        <f t="array" ref="M302">_xll.BDP(D302,"MTG_PL_PSA_1M ")</f>
        <v>96.1</v>
      </c>
      <c r="N302" cm="1">
        <f t="array" ref="N302">_xll.BDP(D302,"MTG_PL_PSA_3M ")</f>
        <v>518.1</v>
      </c>
      <c r="O302" cm="1">
        <f t="array" ref="O302">_xll.BDP(D302,"MTG_PL_PSA_6M ")</f>
        <v>294.2</v>
      </c>
    </row>
    <row r="303" spans="1:15" x14ac:dyDescent="0.25">
      <c r="A303" t="s">
        <v>921</v>
      </c>
      <c r="B303" t="s">
        <v>922</v>
      </c>
      <c r="C303" t="s">
        <v>100</v>
      </c>
      <c r="D303" t="s">
        <v>923</v>
      </c>
      <c r="E303" t="str" cm="1">
        <f t="array" ref="E303">_xll.BDH($D303,"MTG_GEN_CPR_3M","20090331","20090331","Dts=H")</f>
        <v>#N/A Invalid Field</v>
      </c>
      <c r="F303" t="str" cm="1">
        <f t="array" ref="F303">_xll.BDH($D303,"MTG_GEN_CPR_6M","20090331","20090331","Dts=H")</f>
        <v>#N/A Invalid Field</v>
      </c>
      <c r="G303" t="str" cm="1">
        <f t="array" ref="G303">_xll.BDH($D303,"MTG_GEN_CPR_12M","20090331","20090331","Dts=H")</f>
        <v>#N/A Invalid Field</v>
      </c>
      <c r="H303" t="str" cm="1">
        <f t="array" ref="H303">_xll.BDH($D303,"MTG_GEN_CPR_3M","20090610","20090610","Dts=H")</f>
        <v>#N/A Invalid Field</v>
      </c>
      <c r="I303" t="str" cm="1">
        <f t="array" ref="I303">_xll.BDH($D303,"MTG_GEN_CPR_6M","20090610","20090610","Dts=H")</f>
        <v>#N/A Invalid Field</v>
      </c>
      <c r="J303" t="str" cm="1">
        <f t="array" ref="J303">_xll.BDH($D303,"MTG_GEN_CPR_12M","20090610","20090610","Dts=H")</f>
        <v>#N/A Invalid Field</v>
      </c>
      <c r="K303" t="str" cm="1">
        <f t="array" ref="K303">_xll.BDP("31283H4W2 Mtge","MTG_PREPAY_TYP")</f>
        <v>PSA</v>
      </c>
      <c r="L303" cm="1">
        <f t="array" ref="L303">_xll.BDP(D303,"MTG_PREPAY_SPEED")</f>
        <v>169</v>
      </c>
      <c r="M303" cm="1">
        <f t="array" ref="M303">_xll.BDP(D303,"MTG_PL_PSA_1M ")</f>
        <v>874.8</v>
      </c>
      <c r="N303" cm="1">
        <f t="array" ref="N303">_xll.BDP(D303,"MTG_PL_PSA_3M ")</f>
        <v>379.9</v>
      </c>
      <c r="O303" cm="1">
        <f t="array" ref="O303">_xll.BDP(D303,"MTG_PL_PSA_6M ")</f>
        <v>357.4</v>
      </c>
    </row>
    <row r="304" spans="1:15" x14ac:dyDescent="0.25">
      <c r="A304" t="s">
        <v>924</v>
      </c>
      <c r="B304" t="s">
        <v>925</v>
      </c>
      <c r="C304" t="s">
        <v>100</v>
      </c>
      <c r="D304" t="s">
        <v>926</v>
      </c>
      <c r="E304" t="str" cm="1">
        <f t="array" ref="E304">_xll.BDH($D304,"MTG_GEN_CPR_3M","20090331","20090331","Dts=H")</f>
        <v>#N/A Invalid Field</v>
      </c>
      <c r="F304" t="str" cm="1">
        <f t="array" ref="F304">_xll.BDH($D304,"MTG_GEN_CPR_6M","20090331","20090331","Dts=H")</f>
        <v>#N/A Invalid Field</v>
      </c>
      <c r="G304" t="str" cm="1">
        <f t="array" ref="G304">_xll.BDH($D304,"MTG_GEN_CPR_12M","20090331","20090331","Dts=H")</f>
        <v>#N/A Invalid Field</v>
      </c>
      <c r="H304" t="str" cm="1">
        <f t="array" ref="H304">_xll.BDH($D304,"MTG_GEN_CPR_3M","20090610","20090610","Dts=H")</f>
        <v>#N/A Invalid Field</v>
      </c>
      <c r="I304" t="str" cm="1">
        <f t="array" ref="I304">_xll.BDH($D304,"MTG_GEN_CPR_6M","20090610","20090610","Dts=H")</f>
        <v>#N/A Invalid Field</v>
      </c>
      <c r="J304" t="str" cm="1">
        <f t="array" ref="J304">_xll.BDH($D304,"MTG_GEN_CPR_12M","20090610","20090610","Dts=H")</f>
        <v>#N/A Invalid Field</v>
      </c>
      <c r="K304" t="str" cm="1">
        <f t="array" ref="K304">_xll.BDP("31283H4W2 Mtge","MTG_PREPAY_TYP")</f>
        <v>PSA</v>
      </c>
      <c r="L304" cm="1">
        <f t="array" ref="L304">_xll.BDP(D304,"MTG_PREPAY_SPEED")</f>
        <v>161</v>
      </c>
      <c r="M304" cm="1">
        <f t="array" ref="M304">_xll.BDP(D304,"MTG_PL_PSA_1M ")</f>
        <v>205.3</v>
      </c>
      <c r="N304" cm="1">
        <f t="array" ref="N304">_xll.BDP(D304,"MTG_PL_PSA_3M ")</f>
        <v>126.7</v>
      </c>
      <c r="O304" cm="1">
        <f t="array" ref="O304">_xll.BDP(D304,"MTG_PL_PSA_6M ")</f>
        <v>130.30000000000001</v>
      </c>
    </row>
    <row r="305" spans="1:16" x14ac:dyDescent="0.25">
      <c r="A305" t="s">
        <v>927</v>
      </c>
      <c r="B305" t="s">
        <v>928</v>
      </c>
      <c r="C305" t="s">
        <v>100</v>
      </c>
      <c r="D305" t="s">
        <v>929</v>
      </c>
      <c r="E305" t="str" cm="1">
        <f t="array" ref="E305">_xll.BDH($D305,"MTG_GEN_CPR_3M","20090331","20090331","Dts=H")</f>
        <v>#N/A Invalid Field</v>
      </c>
      <c r="F305" t="str" cm="1">
        <f t="array" ref="F305">_xll.BDH($D305,"MTG_GEN_CPR_6M","20090331","20090331","Dts=H")</f>
        <v>#N/A Invalid Field</v>
      </c>
      <c r="G305" t="str" cm="1">
        <f t="array" ref="G305">_xll.BDH($D305,"MTG_GEN_CPR_12M","20090331","20090331","Dts=H")</f>
        <v>#N/A Invalid Field</v>
      </c>
      <c r="H305" t="str" cm="1">
        <f t="array" ref="H305">_xll.BDH($D305,"MTG_GEN_CPR_3M","20090610","20090610","Dts=H")</f>
        <v>#N/A Invalid Field</v>
      </c>
      <c r="I305" t="str" cm="1">
        <f t="array" ref="I305">_xll.BDH($D305,"MTG_GEN_CPR_6M","20090610","20090610","Dts=H")</f>
        <v>#N/A Invalid Field</v>
      </c>
      <c r="J305" t="str" cm="1">
        <f t="array" ref="J305">_xll.BDH($D305,"MTG_GEN_CPR_12M","20090610","20090610","Dts=H")</f>
        <v>#N/A Invalid Field</v>
      </c>
      <c r="K305" t="str" cm="1">
        <f t="array" ref="K305">_xll.BDP("31283H4W2 Mtge","MTG_PREPAY_TYP")</f>
        <v>PSA</v>
      </c>
      <c r="L305" cm="1">
        <f t="array" ref="L305">_xll.BDP(D305,"MTG_PREPAY_SPEED")</f>
        <v>0.72</v>
      </c>
      <c r="M305" cm="1">
        <f t="array" ref="M305">_xll.BDP(D305,"MTG_PL_PSA_1M ")</f>
        <v>9.1</v>
      </c>
      <c r="N305" cm="1">
        <f t="array" ref="N305">_xll.BDP(D305,"MTG_PL_PSA_3M ")</f>
        <v>12.2</v>
      </c>
      <c r="O305" cm="1">
        <f t="array" ref="O305">_xll.BDP(D305,"MTG_PL_PSA_6M ")</f>
        <v>12.1</v>
      </c>
    </row>
    <row r="306" spans="1:16" x14ac:dyDescent="0.25">
      <c r="A306" t="s">
        <v>930</v>
      </c>
      <c r="B306" t="s">
        <v>931</v>
      </c>
      <c r="C306" t="s">
        <v>100</v>
      </c>
      <c r="D306" t="s">
        <v>932</v>
      </c>
      <c r="E306" t="str" cm="1">
        <f t="array" ref="E306">_xll.BDH($D306,"MTG_GEN_CPR_3M","20090331","20090331","Dts=H")</f>
        <v>#N/A Invalid Field</v>
      </c>
      <c r="F306" t="str" cm="1">
        <f t="array" ref="F306">_xll.BDH($D306,"MTG_GEN_CPR_6M","20090331","20090331","Dts=H")</f>
        <v>#N/A Invalid Field</v>
      </c>
      <c r="G306" t="str" cm="1">
        <f t="array" ref="G306">_xll.BDH($D306,"MTG_GEN_CPR_12M","20090331","20090331","Dts=H")</f>
        <v>#N/A Invalid Field</v>
      </c>
      <c r="H306" t="str" cm="1">
        <f t="array" ref="H306">_xll.BDH($D306,"MTG_GEN_CPR_3M","20090610","20090610","Dts=H")</f>
        <v>#N/A Invalid Field</v>
      </c>
      <c r="I306" t="str" cm="1">
        <f t="array" ref="I306">_xll.BDH($D306,"MTG_GEN_CPR_6M","20090610","20090610","Dts=H")</f>
        <v>#N/A Invalid Field</v>
      </c>
      <c r="J306" t="str" cm="1">
        <f t="array" ref="J306">_xll.BDH($D306,"MTG_GEN_CPR_12M","20090610","20090610","Dts=H")</f>
        <v>#N/A Invalid Field</v>
      </c>
      <c r="K306" t="str" cm="1">
        <f t="array" ref="K306">_xll.BDP("31283H4W2 Mtge","MTG_PREPAY_TYP")</f>
        <v>PSA</v>
      </c>
      <c r="L306" t="str" cm="1">
        <f t="array" ref="L306">_xll.BDP(D306,"MTG_PREPAY_SPEED")</f>
        <v>#N/A N/A</v>
      </c>
      <c r="M306" cm="1">
        <f t="array" ref="M306">_xll.BDP(D306,"MTG_PL_PSA_1M ")</f>
        <v>0</v>
      </c>
      <c r="N306" cm="1">
        <f t="array" ref="N306">_xll.BDP(D306,"MTG_PL_PSA_3M ")</f>
        <v>1665.8</v>
      </c>
      <c r="O306" cm="1">
        <f t="array" ref="O306">_xll.BDP(D306,"MTG_PL_PSA_6M ")</f>
        <v>1625.8</v>
      </c>
    </row>
    <row r="307" spans="1:16" x14ac:dyDescent="0.25">
      <c r="A307" t="s">
        <v>933</v>
      </c>
      <c r="B307" t="s">
        <v>934</v>
      </c>
      <c r="C307" t="s">
        <v>100</v>
      </c>
      <c r="D307" t="s">
        <v>935</v>
      </c>
      <c r="E307" t="str" cm="1">
        <f t="array" ref="E307">_xll.BDH($D307,"MTG_GEN_CPR_3M","20090331","20090331","Dts=H")</f>
        <v>#N/A Invalid Field</v>
      </c>
      <c r="F307" t="str" cm="1">
        <f t="array" ref="F307">_xll.BDH($D307,"MTG_GEN_CPR_6M","20090331","20090331","Dts=H")</f>
        <v>#N/A Invalid Field</v>
      </c>
      <c r="G307" t="str" cm="1">
        <f t="array" ref="G307">_xll.BDH($D307,"MTG_GEN_CPR_12M","20090331","20090331","Dts=H")</f>
        <v>#N/A Invalid Field</v>
      </c>
      <c r="H307" t="str" cm="1">
        <f t="array" ref="H307">_xll.BDH($D307,"MTG_GEN_CPR_3M","20090610","20090610","Dts=H")</f>
        <v>#N/A Invalid Field</v>
      </c>
      <c r="I307" t="str" cm="1">
        <f t="array" ref="I307">_xll.BDH($D307,"MTG_GEN_CPR_6M","20090610","20090610","Dts=H")</f>
        <v>#N/A Invalid Field</v>
      </c>
      <c r="J307" t="str" cm="1">
        <f t="array" ref="J307">_xll.BDH($D307,"MTG_GEN_CPR_12M","20090610","20090610","Dts=H")</f>
        <v>#N/A Invalid Field</v>
      </c>
      <c r="K307" t="str" cm="1">
        <f t="array" ref="K307">_xll.BDP("31283H4W2 Mtge","MTG_PREPAY_TYP")</f>
        <v>PSA</v>
      </c>
      <c r="L307" cm="1">
        <f t="array" ref="L307">_xll.BDP(D307,"MTG_PREPAY_SPEED")</f>
        <v>0</v>
      </c>
      <c r="M307" cm="1">
        <f t="array" ref="M307">_xll.BDP(D307,"MTG_PL_PSA_1M ")</f>
        <v>0</v>
      </c>
      <c r="N307" cm="1">
        <f t="array" ref="N307">_xll.BDP(D307,"MTG_PL_PSA_3M ")</f>
        <v>0</v>
      </c>
      <c r="O307" cm="1">
        <f t="array" ref="O307">_xll.BDP(D307,"MTG_PL_PSA_6M ")</f>
        <v>0</v>
      </c>
    </row>
    <row r="308" spans="1:16" x14ac:dyDescent="0.25">
      <c r="A308" t="s">
        <v>936</v>
      </c>
      <c r="B308" t="s">
        <v>937</v>
      </c>
      <c r="C308" t="s">
        <v>100</v>
      </c>
      <c r="D308" t="s">
        <v>938</v>
      </c>
      <c r="E308" t="str" cm="1">
        <f t="array" ref="E308">_xll.BDH($D308,"MTG_GEN_CPR_3M","20090331","20090331","Dts=H")</f>
        <v>#N/A Invalid Field</v>
      </c>
      <c r="F308" t="str" cm="1">
        <f t="array" ref="F308">_xll.BDH($D308,"MTG_GEN_CPR_6M","20090331","20090331","Dts=H")</f>
        <v>#N/A Invalid Field</v>
      </c>
      <c r="G308" t="str" cm="1">
        <f t="array" ref="G308">_xll.BDH($D308,"MTG_GEN_CPR_12M","20090331","20090331","Dts=H")</f>
        <v>#N/A Invalid Field</v>
      </c>
      <c r="H308" t="str" cm="1">
        <f t="array" ref="H308">_xll.BDH($D308,"MTG_GEN_CPR_3M","20090610","20090610","Dts=H")</f>
        <v>#N/A Invalid Field</v>
      </c>
      <c r="I308" t="str" cm="1">
        <f t="array" ref="I308">_xll.BDH($D308,"MTG_GEN_CPR_6M","20090610","20090610","Dts=H")</f>
        <v>#N/A Invalid Field</v>
      </c>
      <c r="J308" t="str" cm="1">
        <f t="array" ref="J308">_xll.BDH($D308,"MTG_GEN_CPR_12M","20090610","20090610","Dts=H")</f>
        <v>#N/A Invalid Field</v>
      </c>
      <c r="K308" t="str" cm="1">
        <f t="array" ref="K308">_xll.BDP(D308,"MTG_PREPAY_TYP")</f>
        <v>PSA</v>
      </c>
      <c r="L308" cm="1">
        <f t="array" ref="L308">_xll.BDP(D308,"MTG_PREPAY_SPEED")</f>
        <v>161</v>
      </c>
      <c r="M308" cm="1">
        <f t="array" ref="M308">_xll.BDP(D308,"MTG_PL_PSA_1M ")</f>
        <v>54.8</v>
      </c>
      <c r="N308" cm="1">
        <f t="array" ref="N308">_xll.BDP(D308,"MTG_PL_PSA_3M ")</f>
        <v>32.799999999999997</v>
      </c>
      <c r="O308" cm="1">
        <f t="array" ref="O308">_xll.BDP(D308,"MTG_PL_PSA_6M ")</f>
        <v>190.5</v>
      </c>
      <c r="P308" t="str" cm="1">
        <f t="array" ref="P308">_xll.BDP(D308,"MTG_PL_PSA_1M","03/31/2009")</f>
        <v>#N/A Invalid Override</v>
      </c>
    </row>
    <row r="309" spans="1:16" x14ac:dyDescent="0.25">
      <c r="A309" t="s">
        <v>939</v>
      </c>
      <c r="B309" t="s">
        <v>940</v>
      </c>
      <c r="C309" t="s">
        <v>100</v>
      </c>
      <c r="D309" t="s">
        <v>941</v>
      </c>
      <c r="E309" t="str" cm="1">
        <f t="array" ref="E309">_xll.BDH($D309,"MTG_GEN_CPR_3M","20090331","20090331","Dts=H")</f>
        <v>#N/A Invalid Field</v>
      </c>
      <c r="F309" t="str" cm="1">
        <f t="array" ref="F309">_xll.BDH($D309,"MTG_GEN_CPR_6M","20090331","20090331","Dts=H")</f>
        <v>#N/A Invalid Field</v>
      </c>
      <c r="G309" t="str" cm="1">
        <f t="array" ref="G309">_xll.BDH($D309,"MTG_GEN_CPR_12M","20090331","20090331","Dts=H")</f>
        <v>#N/A Invalid Field</v>
      </c>
      <c r="H309" t="str" cm="1">
        <f t="array" ref="H309">_xll.BDH($D309,"MTG_GEN_CPR_3M","20090610","20090610","Dts=H")</f>
        <v>#N/A Invalid Field</v>
      </c>
      <c r="I309" t="str" cm="1">
        <f t="array" ref="I309">_xll.BDH($D309,"MTG_GEN_CPR_6M","20090610","20090610","Dts=H")</f>
        <v>#N/A Invalid Field</v>
      </c>
      <c r="J309" t="str" cm="1">
        <f t="array" ref="J309">_xll.BDH($D309,"MTG_GEN_CPR_12M","20090610","20090610","Dts=H")</f>
        <v>#N/A Invalid Field</v>
      </c>
      <c r="K309" t="str" cm="1">
        <f t="array" ref="K309">_xll.BDP(D309,"MTG_PREPAY_TYP")</f>
        <v>PSA</v>
      </c>
      <c r="L309" cm="1">
        <f t="array" ref="L309">_xll.BDP(D309,"MTG_PREPAY_SPEED")</f>
        <v>227</v>
      </c>
      <c r="M309" cm="1">
        <f t="array" ref="M309">_xll.BDP(D309,"MTG_PL_PSA_1M ")</f>
        <v>132.19999999999999</v>
      </c>
      <c r="N309" cm="1">
        <f t="array" ref="N309">_xll.BDP(D309,"MTG_PL_PSA_3M ")</f>
        <v>130</v>
      </c>
      <c r="O309" cm="1">
        <f t="array" ref="O309">_xll.BDP(D309,"MTG_PL_PSA_6M ")</f>
        <v>139.30000000000001</v>
      </c>
    </row>
    <row r="310" spans="1:16" x14ac:dyDescent="0.25">
      <c r="A310" t="s">
        <v>942</v>
      </c>
      <c r="B310" t="s">
        <v>943</v>
      </c>
      <c r="C310" t="s">
        <v>100</v>
      </c>
      <c r="D310" t="s">
        <v>944</v>
      </c>
      <c r="E310" t="str" cm="1">
        <f t="array" ref="E310">_xll.BDH($D310,"MTG_GEN_CPR_3M","20090331","20090331","Dts=H")</f>
        <v>#N/A Invalid Field</v>
      </c>
      <c r="F310" t="str" cm="1">
        <f t="array" ref="F310">_xll.BDH($D310,"MTG_GEN_CPR_6M","20090331","20090331","Dts=H")</f>
        <v>#N/A Invalid Field</v>
      </c>
      <c r="G310" t="str" cm="1">
        <f t="array" ref="G310">_xll.BDH($D310,"MTG_GEN_CPR_12M","20090331","20090331","Dts=H")</f>
        <v>#N/A Invalid Field</v>
      </c>
      <c r="H310" t="str" cm="1">
        <f t="array" ref="H310">_xll.BDH($D310,"MTG_GEN_CPR_3M","20090610","20090610","Dts=H")</f>
        <v>#N/A Invalid Field</v>
      </c>
      <c r="I310" t="str" cm="1">
        <f t="array" ref="I310">_xll.BDH($D310,"MTG_GEN_CPR_6M","20090610","20090610","Dts=H")</f>
        <v>#N/A Invalid Field</v>
      </c>
      <c r="J310" t="str" cm="1">
        <f t="array" ref="J310">_xll.BDH($D310,"MTG_GEN_CPR_12M","20090610","20090610","Dts=H")</f>
        <v>#N/A Invalid Field</v>
      </c>
      <c r="K310" t="str" cm="1">
        <f t="array" ref="K310">_xll.BDP(D310,"MTG_PREPAY_TYP")</f>
        <v>#N/A N/A</v>
      </c>
      <c r="L310" t="str" cm="1">
        <f t="array" ref="L310">_xll.BDP(D310,"MTG_PREPAY_SPEED")</f>
        <v>#N/A N/A</v>
      </c>
      <c r="M310" cm="1">
        <f t="array" ref="M310">_xll.BDP(D310,"MTG_PL_PSA_1M ")</f>
        <v>1666.7</v>
      </c>
      <c r="N310" cm="1">
        <f t="array" ref="N310">_xll.BDP(D310,"MTG_PL_PSA_3M ")</f>
        <v>1666.7</v>
      </c>
      <c r="O310" cm="1">
        <f t="array" ref="O310">_xll.BDP(D310,"MTG_PL_PSA_6M ")</f>
        <v>1666.7</v>
      </c>
    </row>
    <row r="311" spans="1:16" x14ac:dyDescent="0.25">
      <c r="A311" t="s">
        <v>945</v>
      </c>
      <c r="B311" t="s">
        <v>946</v>
      </c>
      <c r="C311" t="s">
        <v>100</v>
      </c>
      <c r="D311" t="s">
        <v>947</v>
      </c>
      <c r="E311" t="str" cm="1">
        <f t="array" ref="E311">_xll.BDH($D311,"MTG_GEN_CPR_3M","20090331","20090331","Dts=H")</f>
        <v>#N/A Invalid Field</v>
      </c>
      <c r="F311" t="str" cm="1">
        <f t="array" ref="F311">_xll.BDH($D311,"MTG_GEN_CPR_6M","20090331","20090331","Dts=H")</f>
        <v>#N/A Invalid Field</v>
      </c>
      <c r="G311" t="str" cm="1">
        <f t="array" ref="G311">_xll.BDH($D311,"MTG_GEN_CPR_12M","20090331","20090331","Dts=H")</f>
        <v>#N/A Invalid Field</v>
      </c>
      <c r="H311" t="str" cm="1">
        <f t="array" ref="H311">_xll.BDH($D311,"MTG_GEN_CPR_3M","20090610","20090610","Dts=H")</f>
        <v>#N/A Invalid Field</v>
      </c>
      <c r="I311" t="str" cm="1">
        <f t="array" ref="I311">_xll.BDH($D311,"MTG_GEN_CPR_6M","20090610","20090610","Dts=H")</f>
        <v>#N/A Invalid Field</v>
      </c>
      <c r="J311" t="str" cm="1">
        <f t="array" ref="J311">_xll.BDH($D311,"MTG_GEN_CPR_12M","20090610","20090610","Dts=H")</f>
        <v>#N/A Invalid Field</v>
      </c>
      <c r="K311" t="str" cm="1">
        <f t="array" ref="K311">_xll.BDP(D311,"MTG_PREPAY_TYP")</f>
        <v>#N/A N/A</v>
      </c>
      <c r="L311" t="str" cm="1">
        <f t="array" ref="L311">_xll.BDP(D311,"MTG_PREPAY_SPEED")</f>
        <v>#N/A N/A</v>
      </c>
      <c r="M311" cm="1">
        <f t="array" ref="M311">_xll.BDP(D311,"MTG_PL_PSA_1M ")</f>
        <v>1666.7</v>
      </c>
      <c r="N311" cm="1">
        <f t="array" ref="N311">_xll.BDP(D311,"MTG_PL_PSA_3M ")</f>
        <v>1666.7</v>
      </c>
      <c r="O311" cm="1">
        <f t="array" ref="O311">_xll.BDP(D311,"MTG_PL_PSA_6M ")</f>
        <v>1666.7</v>
      </c>
    </row>
    <row r="312" spans="1:16" x14ac:dyDescent="0.25">
      <c r="A312" t="s">
        <v>948</v>
      </c>
      <c r="B312" t="s">
        <v>949</v>
      </c>
      <c r="C312" t="s">
        <v>100</v>
      </c>
      <c r="D312" t="s">
        <v>950</v>
      </c>
      <c r="E312" t="str" cm="1">
        <f t="array" ref="E312">_xll.BDH($D312,"MTG_GEN_CPR_3M","20090331","20090331","Dts=H")</f>
        <v>#N/A Invalid Field</v>
      </c>
      <c r="F312" t="str" cm="1">
        <f t="array" ref="F312">_xll.BDH($D312,"MTG_GEN_CPR_6M","20090331","20090331","Dts=H")</f>
        <v>#N/A Invalid Field</v>
      </c>
      <c r="G312" t="str" cm="1">
        <f t="array" ref="G312">_xll.BDH($D312,"MTG_GEN_CPR_12M","20090331","20090331","Dts=H")</f>
        <v>#N/A Invalid Field</v>
      </c>
      <c r="H312" t="str" cm="1">
        <f t="array" ref="H312">_xll.BDH($D312,"MTG_GEN_CPR_3M","20090610","20090610","Dts=H")</f>
        <v>#N/A Invalid Field</v>
      </c>
      <c r="I312" t="str" cm="1">
        <f t="array" ref="I312">_xll.BDH($D312,"MTG_GEN_CPR_6M","20090610","20090610","Dts=H")</f>
        <v>#N/A Invalid Field</v>
      </c>
      <c r="J312" t="str" cm="1">
        <f t="array" ref="J312">_xll.BDH($D312,"MTG_GEN_CPR_12M","20090610","20090610","Dts=H")</f>
        <v>#N/A Invalid Field</v>
      </c>
      <c r="K312" t="str" cm="1">
        <f t="array" ref="K312">_xll.BDP(D312,"MTG_PREPAY_TYP")</f>
        <v>CPR</v>
      </c>
      <c r="L312" cm="1">
        <f t="array" ref="L312">_xll.BDP(D312,"MTG_PREPAY_SPEED")</f>
        <v>65.040000000000006</v>
      </c>
      <c r="M312" cm="1">
        <f t="array" ref="M312">_xll.BDP(D312,"MTG_PL_PSA_1M ")</f>
        <v>0</v>
      </c>
      <c r="N312" cm="1">
        <f t="array" ref="N312">_xll.BDP(D312,"MTG_PL_PSA_3M ")</f>
        <v>0</v>
      </c>
      <c r="O312" cm="1">
        <f t="array" ref="O312">_xll.BDP(D312,"MTG_PL_PSA_6M ")</f>
        <v>1084</v>
      </c>
    </row>
    <row r="313" spans="1:16" x14ac:dyDescent="0.25">
      <c r="A313" t="s">
        <v>951</v>
      </c>
      <c r="B313" t="s">
        <v>952</v>
      </c>
      <c r="C313" t="s">
        <v>100</v>
      </c>
      <c r="D313" t="s">
        <v>953</v>
      </c>
      <c r="E313" t="str" cm="1">
        <f t="array" ref="E313">_xll.BDH($D313,"MTG_GEN_CPR_3M","20090331","20090331","Dts=H")</f>
        <v>#N/A Invalid Field</v>
      </c>
      <c r="F313" t="str" cm="1">
        <f t="array" ref="F313">_xll.BDH($D313,"MTG_GEN_CPR_6M","20090331","20090331","Dts=H")</f>
        <v>#N/A Invalid Field</v>
      </c>
      <c r="G313" t="str" cm="1">
        <f t="array" ref="G313">_xll.BDH($D313,"MTG_GEN_CPR_12M","20090331","20090331","Dts=H")</f>
        <v>#N/A Invalid Field</v>
      </c>
      <c r="H313" t="str" cm="1">
        <f t="array" ref="H313">_xll.BDH($D313,"MTG_GEN_CPR_3M","20090610","20090610","Dts=H")</f>
        <v>#N/A Invalid Field</v>
      </c>
      <c r="I313" t="str" cm="1">
        <f t="array" ref="I313">_xll.BDH($D313,"MTG_GEN_CPR_6M","20090610","20090610","Dts=H")</f>
        <v>#N/A Invalid Field</v>
      </c>
      <c r="J313" t="str" cm="1">
        <f t="array" ref="J313">_xll.BDH($D313,"MTG_GEN_CPR_12M","20090610","20090610","Dts=H")</f>
        <v>#N/A Invalid Field</v>
      </c>
      <c r="K313" t="str" cm="1">
        <f t="array" ref="K313">_xll.BDP(D313,"MTG_PREPAY_TYP")</f>
        <v>#N/A N/A</v>
      </c>
      <c r="L313" t="str" cm="1">
        <f t="array" ref="L313">_xll.BDP(D313,"MTG_PREPAY_SPEED")</f>
        <v>#N/A N/A</v>
      </c>
      <c r="M313" cm="1">
        <f t="array" ref="M313">_xll.BDP(D313,"MTG_PL_PSA_1M ")</f>
        <v>0</v>
      </c>
      <c r="N313" cm="1">
        <f t="array" ref="N313">_xll.BDP(D313,"MTG_PL_PSA_3M ")</f>
        <v>743.9</v>
      </c>
      <c r="O313" cm="1">
        <f t="array" ref="O313">_xll.BDP(D313,"MTG_PL_PSA_6M ")</f>
        <v>1064.7</v>
      </c>
    </row>
    <row r="314" spans="1:16" x14ac:dyDescent="0.25">
      <c r="A314" t="s">
        <v>954</v>
      </c>
      <c r="B314" t="s">
        <v>955</v>
      </c>
      <c r="C314" t="s">
        <v>100</v>
      </c>
      <c r="D314" t="s">
        <v>956</v>
      </c>
      <c r="E314" t="str" cm="1">
        <f t="array" ref="E314">_xll.BDH($D314,"MTG_GEN_CPR_3M","20090331","20090331","Dts=H")</f>
        <v>#N/A Invalid Field</v>
      </c>
      <c r="F314" t="str" cm="1">
        <f t="array" ref="F314">_xll.BDH($D314,"MTG_GEN_CPR_6M","20090331","20090331","Dts=H")</f>
        <v>#N/A Invalid Field</v>
      </c>
      <c r="G314" t="str" cm="1">
        <f t="array" ref="G314">_xll.BDH($D314,"MTG_GEN_CPR_12M","20090331","20090331","Dts=H")</f>
        <v>#N/A Invalid Field</v>
      </c>
      <c r="H314" t="str" cm="1">
        <f t="array" ref="H314">_xll.BDH($D314,"MTG_GEN_CPR_3M","20090610","20090610","Dts=H")</f>
        <v>#N/A Invalid Field</v>
      </c>
      <c r="I314" t="str" cm="1">
        <f t="array" ref="I314">_xll.BDH($D314,"MTG_GEN_CPR_6M","20090610","20090610","Dts=H")</f>
        <v>#N/A Invalid Field</v>
      </c>
      <c r="J314" t="str" cm="1">
        <f t="array" ref="J314">_xll.BDH($D314,"MTG_GEN_CPR_12M","20090610","20090610","Dts=H")</f>
        <v>#N/A Invalid Field</v>
      </c>
      <c r="K314" t="str" cm="1">
        <f t="array" ref="K314">_xll.BDP(D314,"MTG_PREPAY_TYP")</f>
        <v>CPR</v>
      </c>
      <c r="L314" cm="1">
        <f t="array" ref="L314">_xll.BDP(D314,"MTG_PREPAY_SPEED")</f>
        <v>0.01</v>
      </c>
      <c r="M314" cm="1">
        <f t="array" ref="M314">_xll.BDP(D314,"MTG_PL_PSA_1M ")</f>
        <v>0.6</v>
      </c>
      <c r="N314" cm="1">
        <f t="array" ref="N314">_xll.BDP(D314,"MTG_PL_PSA_3M ")</f>
        <v>0.3</v>
      </c>
      <c r="O314" cm="1">
        <f t="array" ref="O314">_xll.BDP(D314,"MTG_PL_PSA_6M ")</f>
        <v>0.2</v>
      </c>
    </row>
    <row r="315" spans="1:16" x14ac:dyDescent="0.25">
      <c r="A315" t="s">
        <v>957</v>
      </c>
      <c r="B315" t="s">
        <v>958</v>
      </c>
      <c r="C315" t="s">
        <v>100</v>
      </c>
      <c r="D315" t="s">
        <v>959</v>
      </c>
      <c r="E315" t="str" cm="1">
        <f t="array" ref="E315">_xll.BDH($D315,"MTG_GEN_CPR_3M","20090331","20090331","Dts=H")</f>
        <v>#N/A Invalid Field</v>
      </c>
      <c r="F315" t="str" cm="1">
        <f t="array" ref="F315">_xll.BDH($D315,"MTG_GEN_CPR_6M","20090331","20090331","Dts=H")</f>
        <v>#N/A Invalid Field</v>
      </c>
      <c r="G315" t="str" cm="1">
        <f t="array" ref="G315">_xll.BDH($D315,"MTG_GEN_CPR_12M","20090331","20090331","Dts=H")</f>
        <v>#N/A Invalid Field</v>
      </c>
      <c r="H315" t="str" cm="1">
        <f t="array" ref="H315">_xll.BDH($D315,"MTG_GEN_CPR_3M","20090610","20090610","Dts=H")</f>
        <v>#N/A Invalid Field</v>
      </c>
      <c r="I315" t="str" cm="1">
        <f t="array" ref="I315">_xll.BDH($D315,"MTG_GEN_CPR_6M","20090610","20090610","Dts=H")</f>
        <v>#N/A Invalid Field</v>
      </c>
      <c r="J315" t="str" cm="1">
        <f t="array" ref="J315">_xll.BDH($D315,"MTG_GEN_CPR_12M","20090610","20090610","Dts=H")</f>
        <v>#N/A Invalid Field</v>
      </c>
      <c r="K315" t="str" cm="1">
        <f t="array" ref="K315">_xll.BDP(D315,"MTG_PREPAY_TYP")</f>
        <v>#N/A N/A</v>
      </c>
      <c r="L315" t="str" cm="1">
        <f t="array" ref="L315">_xll.BDP(D315,"MTG_PREPAY_SPEED")</f>
        <v>#N/A N/A</v>
      </c>
      <c r="M315" cm="1">
        <f t="array" ref="M315">_xll.BDP(D315,"MTG_PL_PSA_1M ")</f>
        <v>0</v>
      </c>
      <c r="N315" cm="1">
        <f t="array" ref="N315">_xll.BDP(D315,"MTG_PL_PSA_3M ")</f>
        <v>1112.5999999999999</v>
      </c>
      <c r="O315" cm="1">
        <f t="array" ref="O315">_xll.BDP(D315,"MTG_PL_PSA_6M ")</f>
        <v>1353.2</v>
      </c>
    </row>
    <row r="316" spans="1:16" x14ac:dyDescent="0.25">
      <c r="A316" t="s">
        <v>960</v>
      </c>
      <c r="B316" t="s">
        <v>961</v>
      </c>
      <c r="C316" t="s">
        <v>100</v>
      </c>
      <c r="D316" t="s">
        <v>962</v>
      </c>
      <c r="E316" t="str" cm="1">
        <f t="array" ref="E316">_xll.BDH($D316,"MTG_GEN_CPR_3M","20090331","20090331","Dts=H")</f>
        <v>#N/A Invalid Field</v>
      </c>
      <c r="F316" t="str" cm="1">
        <f t="array" ref="F316">_xll.BDH($D316,"MTG_GEN_CPR_6M","20090331","20090331","Dts=H")</f>
        <v>#N/A Invalid Field</v>
      </c>
      <c r="G316" t="str" cm="1">
        <f t="array" ref="G316">_xll.BDH($D316,"MTG_GEN_CPR_12M","20090331","20090331","Dts=H")</f>
        <v>#N/A Invalid Field</v>
      </c>
      <c r="H316" t="str" cm="1">
        <f t="array" ref="H316">_xll.BDH($D316,"MTG_GEN_CPR_3M","20090610","20090610","Dts=H")</f>
        <v>#N/A Invalid Field</v>
      </c>
      <c r="I316" t="str" cm="1">
        <f t="array" ref="I316">_xll.BDH($D316,"MTG_GEN_CPR_6M","20090610","20090610","Dts=H")</f>
        <v>#N/A Invalid Field</v>
      </c>
      <c r="J316" t="str" cm="1">
        <f t="array" ref="J316">_xll.BDH($D316,"MTG_GEN_CPR_12M","20090610","20090610","Dts=H")</f>
        <v>#N/A Invalid Field</v>
      </c>
      <c r="K316" t="str" cm="1">
        <f t="array" ref="K316">_xll.BDP(D316,"MTG_PREPAY_TYP")</f>
        <v>#N/A N/A</v>
      </c>
      <c r="L316" t="str" cm="1">
        <f t="array" ref="L316">_xll.BDP(D316,"MTG_PREPAY_SPEED")</f>
        <v>#N/A N/A</v>
      </c>
      <c r="M316" cm="1">
        <f t="array" ref="M316">_xll.BDP(D316,"MTG_PL_PSA_1M ")</f>
        <v>0</v>
      </c>
      <c r="N316" cm="1">
        <f t="array" ref="N316">_xll.BDP(D316,"MTG_PL_PSA_3M ")</f>
        <v>1654.3</v>
      </c>
      <c r="O316" cm="1">
        <f t="array" ref="O316">_xll.BDP(D316,"MTG_PL_PSA_6M ")</f>
        <v>1542.3</v>
      </c>
    </row>
    <row r="317" spans="1:16" x14ac:dyDescent="0.25">
      <c r="A317" t="s">
        <v>963</v>
      </c>
      <c r="B317" t="s">
        <v>964</v>
      </c>
      <c r="C317" t="s">
        <v>100</v>
      </c>
      <c r="D317" t="s">
        <v>965</v>
      </c>
      <c r="E317" t="str" cm="1">
        <f t="array" ref="E317">_xll.BDH($D317,"MTG_GEN_CPR_3M","20090331","20090331","Dts=H")</f>
        <v>#N/A Invalid Field</v>
      </c>
      <c r="F317" t="str" cm="1">
        <f t="array" ref="F317">_xll.BDH($D317,"MTG_GEN_CPR_6M","20090331","20090331","Dts=H")</f>
        <v>#N/A Invalid Field</v>
      </c>
      <c r="G317" t="str" cm="1">
        <f t="array" ref="G317">_xll.BDH($D317,"MTG_GEN_CPR_12M","20090331","20090331","Dts=H")</f>
        <v>#N/A Invalid Field</v>
      </c>
      <c r="H317" t="str" cm="1">
        <f t="array" ref="H317">_xll.BDH($D317,"MTG_GEN_CPR_3M","20090610","20090610","Dts=H")</f>
        <v>#N/A Invalid Field</v>
      </c>
      <c r="I317" t="str" cm="1">
        <f t="array" ref="I317">_xll.BDH($D317,"MTG_GEN_CPR_6M","20090610","20090610","Dts=H")</f>
        <v>#N/A Invalid Field</v>
      </c>
      <c r="J317" t="str" cm="1">
        <f t="array" ref="J317">_xll.BDH($D317,"MTG_GEN_CPR_12M","20090610","20090610","Dts=H")</f>
        <v>#N/A Invalid Field</v>
      </c>
      <c r="K317" t="str" cm="1">
        <f t="array" ref="K317">_xll.BDP(D317,"MTG_PREPAY_TYP")</f>
        <v>PSA</v>
      </c>
      <c r="L317" cm="1">
        <f t="array" ref="L317">_xll.BDP(D317,"MTG_PREPAY_SPEED")</f>
        <v>161</v>
      </c>
      <c r="M317" cm="1">
        <f t="array" ref="M317">_xll.BDP(D317,"MTG_PL_PSA_1M ")</f>
        <v>62.9</v>
      </c>
      <c r="N317" cm="1">
        <f t="array" ref="N317">_xll.BDP(D317,"MTG_PL_PSA_3M ")</f>
        <v>251.8</v>
      </c>
      <c r="O317" cm="1">
        <f t="array" ref="O317">_xll.BDP(D317,"MTG_PL_PSA_6M ")</f>
        <v>238.4</v>
      </c>
    </row>
    <row r="318" spans="1:16" x14ac:dyDescent="0.25">
      <c r="A318" t="s">
        <v>966</v>
      </c>
      <c r="B318" t="s">
        <v>967</v>
      </c>
      <c r="C318" t="s">
        <v>100</v>
      </c>
      <c r="D318" t="s">
        <v>968</v>
      </c>
      <c r="E318" t="str" cm="1">
        <f t="array" ref="E318">_xll.BDH($D318,"MTG_GEN_CPR_3M","20090331","20090331","Dts=H")</f>
        <v>#N/A Invalid Field</v>
      </c>
      <c r="F318" t="str" cm="1">
        <f t="array" ref="F318">_xll.BDH($D318,"MTG_GEN_CPR_6M","20090331","20090331","Dts=H")</f>
        <v>#N/A Invalid Field</v>
      </c>
      <c r="G318" t="str" cm="1">
        <f t="array" ref="G318">_xll.BDH($D318,"MTG_GEN_CPR_12M","20090331","20090331","Dts=H")</f>
        <v>#N/A Invalid Field</v>
      </c>
      <c r="H318" t="str" cm="1">
        <f t="array" ref="H318">_xll.BDH($D318,"MTG_GEN_CPR_3M","20090610","20090610","Dts=H")</f>
        <v>#N/A Invalid Field</v>
      </c>
      <c r="I318" t="str" cm="1">
        <f t="array" ref="I318">_xll.BDH($D318,"MTG_GEN_CPR_6M","20090610","20090610","Dts=H")</f>
        <v>#N/A Invalid Field</v>
      </c>
      <c r="J318" t="str" cm="1">
        <f t="array" ref="J318">_xll.BDH($D318,"MTG_GEN_CPR_12M","20090610","20090610","Dts=H")</f>
        <v>#N/A Invalid Field</v>
      </c>
      <c r="K318" t="str" cm="1">
        <f t="array" ref="K318">_xll.BDP(D318,"MTG_PREPAY_TYP")</f>
        <v>CPR</v>
      </c>
      <c r="L318" cm="1">
        <f t="array" ref="L318">_xll.BDP(D318,"MTG_PREPAY_SPEED")</f>
        <v>2.6</v>
      </c>
      <c r="M318" cm="1">
        <f t="array" ref="M318">_xll.BDP(D318,"MTG_PL_PSA_1M ")</f>
        <v>2.9</v>
      </c>
      <c r="N318" cm="1">
        <f t="array" ref="N318">_xll.BDP(D318,"MTG_PL_PSA_3M ")</f>
        <v>12.1</v>
      </c>
      <c r="O318" cm="1">
        <f t="array" ref="O318">_xll.BDP(D318,"MTG_PL_PSA_6M ")</f>
        <v>43.3</v>
      </c>
    </row>
    <row r="319" spans="1:16" x14ac:dyDescent="0.25">
      <c r="A319" t="s">
        <v>969</v>
      </c>
      <c r="B319" t="s">
        <v>970</v>
      </c>
      <c r="C319" t="s">
        <v>100</v>
      </c>
      <c r="D319" t="s">
        <v>971</v>
      </c>
      <c r="E319" t="str" cm="1">
        <f t="array" ref="E319">_xll.BDH($D319,"MTG_GEN_CPR_3M","20090331","20090331","Dts=H")</f>
        <v>#N/A Invalid Field</v>
      </c>
      <c r="F319" t="str" cm="1">
        <f t="array" ref="F319">_xll.BDH($D319,"MTG_GEN_CPR_6M","20090331","20090331","Dts=H")</f>
        <v>#N/A Invalid Field</v>
      </c>
      <c r="G319" t="str" cm="1">
        <f t="array" ref="G319">_xll.BDH($D319,"MTG_GEN_CPR_12M","20090331","20090331","Dts=H")</f>
        <v>#N/A Invalid Field</v>
      </c>
      <c r="H319" t="str" cm="1">
        <f t="array" ref="H319">_xll.BDH($D319,"MTG_GEN_CPR_3M","20090610","20090610","Dts=H")</f>
        <v>#N/A Invalid Field</v>
      </c>
      <c r="I319" t="str" cm="1">
        <f t="array" ref="I319">_xll.BDH($D319,"MTG_GEN_CPR_6M","20090610","20090610","Dts=H")</f>
        <v>#N/A Invalid Field</v>
      </c>
      <c r="J319" t="str" cm="1">
        <f t="array" ref="J319">_xll.BDH($D319,"MTG_GEN_CPR_12M","20090610","20090610","Dts=H")</f>
        <v>#N/A Invalid Field</v>
      </c>
      <c r="K319" t="str" cm="1">
        <f t="array" ref="K319">_xll.BDP(D319,"MTG_PREPAY_TYP")</f>
        <v>#N/A N/A</v>
      </c>
      <c r="L319" t="str" cm="1">
        <f t="array" ref="L319">_xll.BDP(D319,"MTG_PREPAY_SPEED")</f>
        <v>#N/A N/A</v>
      </c>
      <c r="M319" cm="1">
        <f t="array" ref="M319">_xll.BDP(D319,"MTG_PL_PSA_1M ")</f>
        <v>1666.7</v>
      </c>
      <c r="N319" cm="1">
        <f t="array" ref="N319">_xll.BDP(D319,"MTG_PL_PSA_3M ")</f>
        <v>1666.7</v>
      </c>
      <c r="O319" cm="1">
        <f t="array" ref="O319">_xll.BDP(D319,"MTG_PL_PSA_6M ")</f>
        <v>1666.7</v>
      </c>
    </row>
    <row r="320" spans="1:16" x14ac:dyDescent="0.25">
      <c r="A320" t="s">
        <v>972</v>
      </c>
      <c r="B320" t="s">
        <v>973</v>
      </c>
      <c r="C320" t="s">
        <v>100</v>
      </c>
      <c r="D320" t="s">
        <v>974</v>
      </c>
      <c r="E320" t="str" cm="1">
        <f t="array" ref="E320">_xll.BDH($D320,"MTG_GEN_CPR_3M","20090331","20090331","Dts=H")</f>
        <v>#N/A Invalid Field</v>
      </c>
      <c r="F320" t="str" cm="1">
        <f t="array" ref="F320">_xll.BDH($D320,"MTG_GEN_CPR_6M","20090331","20090331","Dts=H")</f>
        <v>#N/A Invalid Field</v>
      </c>
      <c r="G320" t="str" cm="1">
        <f t="array" ref="G320">_xll.BDH($D320,"MTG_GEN_CPR_12M","20090331","20090331","Dts=H")</f>
        <v>#N/A Invalid Field</v>
      </c>
      <c r="H320" t="str" cm="1">
        <f t="array" ref="H320">_xll.BDH($D320,"MTG_GEN_CPR_3M","20090610","20090610","Dts=H")</f>
        <v>#N/A Invalid Field</v>
      </c>
      <c r="I320" t="str" cm="1">
        <f t="array" ref="I320">_xll.BDH($D320,"MTG_GEN_CPR_6M","20090610","20090610","Dts=H")</f>
        <v>#N/A Invalid Field</v>
      </c>
      <c r="J320" t="str" cm="1">
        <f t="array" ref="J320">_xll.BDH($D320,"MTG_GEN_CPR_12M","20090610","20090610","Dts=H")</f>
        <v>#N/A Invalid Field</v>
      </c>
      <c r="K320" t="str" cm="1">
        <f t="array" ref="K320">_xll.BDP(D320,"MTG_PREPAY_TYP")</f>
        <v>#N/A N/A</v>
      </c>
      <c r="L320" t="str" cm="1">
        <f t="array" ref="L320">_xll.BDP(D320,"MTG_PREPAY_SPEED")</f>
        <v>#N/A N/A</v>
      </c>
      <c r="M320" cm="1">
        <f t="array" ref="M320">_xll.BDP(D320,"MTG_PL_PSA_1M ")</f>
        <v>0</v>
      </c>
      <c r="N320" cm="1">
        <f t="array" ref="N320">_xll.BDP(D320,"MTG_PL_PSA_3M ")</f>
        <v>899.3</v>
      </c>
      <c r="O320" cm="1">
        <f t="array" ref="O320">_xll.BDP(D320,"MTG_PL_PSA_6M ")</f>
        <v>869.3</v>
      </c>
    </row>
    <row r="321" spans="1:15" x14ac:dyDescent="0.25">
      <c r="A321" t="s">
        <v>975</v>
      </c>
      <c r="B321" t="s">
        <v>976</v>
      </c>
      <c r="C321" t="s">
        <v>100</v>
      </c>
      <c r="D321" t="s">
        <v>977</v>
      </c>
      <c r="E321" t="str" cm="1">
        <f t="array" ref="E321">_xll.BDH($D321,"MTG_GEN_CPR_3M","20090331","20090331","Dts=H")</f>
        <v>#N/A Invalid Field</v>
      </c>
      <c r="F321" t="str" cm="1">
        <f t="array" ref="F321">_xll.BDH($D321,"MTG_GEN_CPR_6M","20090331","20090331","Dts=H")</f>
        <v>#N/A Invalid Field</v>
      </c>
      <c r="G321" t="str" cm="1">
        <f t="array" ref="G321">_xll.BDH($D321,"MTG_GEN_CPR_12M","20090331","20090331","Dts=H")</f>
        <v>#N/A Invalid Field</v>
      </c>
      <c r="H321" t="str" cm="1">
        <f t="array" ref="H321">_xll.BDH($D321,"MTG_GEN_CPR_3M","20090610","20090610","Dts=H")</f>
        <v>#N/A Invalid Field</v>
      </c>
      <c r="I321" t="str" cm="1">
        <f t="array" ref="I321">_xll.BDH($D321,"MTG_GEN_CPR_6M","20090610","20090610","Dts=H")</f>
        <v>#N/A Invalid Field</v>
      </c>
      <c r="J321" t="str" cm="1">
        <f t="array" ref="J321">_xll.BDH($D321,"MTG_GEN_CPR_12M","20090610","20090610","Dts=H")</f>
        <v>#N/A Invalid Field</v>
      </c>
      <c r="K321" t="str" cm="1">
        <f t="array" ref="K321">_xll.BDP(D321,"MTG_PREPAY_TYP")</f>
        <v>#N/A N/A</v>
      </c>
      <c r="L321" t="str" cm="1">
        <f t="array" ref="L321">_xll.BDP(D321,"MTG_PREPAY_SPEED")</f>
        <v>#N/A N/A</v>
      </c>
      <c r="M321" cm="1">
        <f t="array" ref="M321">_xll.BDP(D321,"MTG_PL_PSA_1M ")</f>
        <v>1666.7</v>
      </c>
      <c r="N321" cm="1">
        <f t="array" ref="N321">_xll.BDP(D321,"MTG_PL_PSA_3M ")</f>
        <v>1666.7</v>
      </c>
      <c r="O321" cm="1">
        <f t="array" ref="O321">_xll.BDP(D321,"MTG_PL_PSA_6M ")</f>
        <v>1666.7</v>
      </c>
    </row>
    <row r="322" spans="1:15" x14ac:dyDescent="0.25">
      <c r="A322" t="s">
        <v>978</v>
      </c>
      <c r="B322" t="s">
        <v>979</v>
      </c>
      <c r="C322" t="s">
        <v>100</v>
      </c>
      <c r="D322" t="s">
        <v>980</v>
      </c>
      <c r="E322" t="str" cm="1">
        <f t="array" ref="E322">_xll.BDH($D322,"MTG_GEN_CPR_3M","20090331","20090331","Dts=H")</f>
        <v>#N/A Invalid Field</v>
      </c>
      <c r="F322" t="str" cm="1">
        <f t="array" ref="F322">_xll.BDH($D322,"MTG_GEN_CPR_6M","20090331","20090331","Dts=H")</f>
        <v>#N/A Invalid Field</v>
      </c>
      <c r="G322" t="str" cm="1">
        <f t="array" ref="G322">_xll.BDH($D322,"MTG_GEN_CPR_12M","20090331","20090331","Dts=H")</f>
        <v>#N/A Invalid Field</v>
      </c>
      <c r="H322" t="str" cm="1">
        <f t="array" ref="H322">_xll.BDH($D322,"MTG_GEN_CPR_3M","20090610","20090610","Dts=H")</f>
        <v>#N/A Invalid Field</v>
      </c>
      <c r="I322" t="str" cm="1">
        <f t="array" ref="I322">_xll.BDH($D322,"MTG_GEN_CPR_6M","20090610","20090610","Dts=H")</f>
        <v>#N/A Invalid Field</v>
      </c>
      <c r="J322" t="str" cm="1">
        <f t="array" ref="J322">_xll.BDH($D322,"MTG_GEN_CPR_12M","20090610","20090610","Dts=H")</f>
        <v>#N/A Invalid Field</v>
      </c>
      <c r="K322" t="str" cm="1">
        <f t="array" ref="K322">_xll.BDP(D322,"MTG_PREPAY_TYP")</f>
        <v>CPR</v>
      </c>
      <c r="L322" cm="1">
        <f t="array" ref="L322">_xll.BDP(D322,"MTG_PREPAY_SPEED")</f>
        <v>0</v>
      </c>
      <c r="M322" cm="1">
        <f t="array" ref="M322">_xll.BDP(D322,"MTG_PL_PSA_1M ")</f>
        <v>0.1</v>
      </c>
      <c r="N322" cm="1">
        <f t="array" ref="N322">_xll.BDP(D322,"MTG_PL_PSA_3M ")</f>
        <v>0</v>
      </c>
      <c r="O322" cm="1">
        <f t="array" ref="O322">_xll.BDP(D322,"MTG_PL_PSA_6M ")</f>
        <v>0</v>
      </c>
    </row>
    <row r="323" spans="1:15" x14ac:dyDescent="0.25">
      <c r="A323" t="s">
        <v>981</v>
      </c>
      <c r="B323" t="s">
        <v>982</v>
      </c>
      <c r="C323" t="s">
        <v>100</v>
      </c>
      <c r="D323" t="s">
        <v>983</v>
      </c>
      <c r="E323" t="str" cm="1">
        <f t="array" ref="E323">_xll.BDH($D323,"MTG_GEN_CPR_3M","20090331","20090331","Dts=H")</f>
        <v>#N/A Invalid Field</v>
      </c>
      <c r="F323" t="str" cm="1">
        <f t="array" ref="F323">_xll.BDH($D323,"MTG_GEN_CPR_6M","20090331","20090331","Dts=H")</f>
        <v>#N/A Invalid Field</v>
      </c>
      <c r="G323" t="str" cm="1">
        <f t="array" ref="G323">_xll.BDH($D323,"MTG_GEN_CPR_12M","20090331","20090331","Dts=H")</f>
        <v>#N/A Invalid Field</v>
      </c>
      <c r="H323" t="str" cm="1">
        <f t="array" ref="H323">_xll.BDH($D323,"MTG_GEN_CPR_3M","20090610","20090610","Dts=H")</f>
        <v>#N/A Invalid Field</v>
      </c>
      <c r="I323" t="str" cm="1">
        <f t="array" ref="I323">_xll.BDH($D323,"MTG_GEN_CPR_6M","20090610","20090610","Dts=H")</f>
        <v>#N/A Invalid Field</v>
      </c>
      <c r="J323" t="str" cm="1">
        <f t="array" ref="J323">_xll.BDH($D323,"MTG_GEN_CPR_12M","20090610","20090610","Dts=H")</f>
        <v>#N/A Invalid Field</v>
      </c>
      <c r="K323" t="str" cm="1">
        <f t="array" ref="K323">_xll.BDP(D323,"MTG_PREPAY_TYP")</f>
        <v>PSA</v>
      </c>
      <c r="L323" cm="1">
        <f t="array" ref="L323">_xll.BDP(D323,"MTG_PREPAY_SPEED")</f>
        <v>161</v>
      </c>
      <c r="M323" cm="1">
        <f t="array" ref="M323">_xll.BDP(D323,"MTG_PL_PSA_1M ")</f>
        <v>5</v>
      </c>
      <c r="N323" cm="1">
        <f t="array" ref="N323">_xll.BDP(D323,"MTG_PL_PSA_3M ")</f>
        <v>7</v>
      </c>
      <c r="O323" cm="1">
        <f t="array" ref="O323">_xll.BDP(D323,"MTG_PL_PSA_6M ")</f>
        <v>12.4</v>
      </c>
    </row>
    <row r="324" spans="1:15" x14ac:dyDescent="0.25">
      <c r="A324" t="s">
        <v>984</v>
      </c>
      <c r="B324" t="s">
        <v>985</v>
      </c>
      <c r="C324" t="s">
        <v>100</v>
      </c>
      <c r="D324" t="s">
        <v>986</v>
      </c>
      <c r="E324" t="str" cm="1">
        <f t="array" ref="E324">_xll.BDH($D324,"MTG_GEN_CPR_3M","20090331","20090331","Dts=H")</f>
        <v>#N/A Invalid Field</v>
      </c>
      <c r="F324" t="str" cm="1">
        <f t="array" ref="F324">_xll.BDH($D324,"MTG_GEN_CPR_6M","20090331","20090331","Dts=H")</f>
        <v>#N/A Invalid Field</v>
      </c>
      <c r="G324" t="str" cm="1">
        <f t="array" ref="G324">_xll.BDH($D324,"MTG_GEN_CPR_12M","20090331","20090331","Dts=H")</f>
        <v>#N/A Invalid Field</v>
      </c>
      <c r="H324" t="str" cm="1">
        <f t="array" ref="H324">_xll.BDH($D324,"MTG_GEN_CPR_3M","20090610","20090610","Dts=H")</f>
        <v>#N/A Invalid Field</v>
      </c>
      <c r="I324" t="str" cm="1">
        <f t="array" ref="I324">_xll.BDH($D324,"MTG_GEN_CPR_6M","20090610","20090610","Dts=H")</f>
        <v>#N/A Invalid Field</v>
      </c>
      <c r="J324" t="str" cm="1">
        <f t="array" ref="J324">_xll.BDH($D324,"MTG_GEN_CPR_12M","20090610","20090610","Dts=H")</f>
        <v>#N/A Invalid Field</v>
      </c>
      <c r="K324" t="str" cm="1">
        <f t="array" ref="K324">_xll.BDP(D324,"MTG_PREPAY_TYP")</f>
        <v>#N/A N/A</v>
      </c>
      <c r="L324" t="str" cm="1">
        <f t="array" ref="L324">_xll.BDP(D324,"MTG_PREPAY_SPEED")</f>
        <v>#N/A N/A</v>
      </c>
      <c r="M324" cm="1">
        <f t="array" ref="M324">_xll.BDP(D324,"MTG_PL_PSA_1M ")</f>
        <v>0</v>
      </c>
      <c r="N324" cm="1">
        <f t="array" ref="N324">_xll.BDP(D324,"MTG_PL_PSA_3M ")</f>
        <v>-1.3</v>
      </c>
      <c r="O324" cm="1">
        <f t="array" ref="O324">_xll.BDP(D324,"MTG_PL_PSA_6M ")</f>
        <v>-0.8</v>
      </c>
    </row>
    <row r="325" spans="1:15" x14ac:dyDescent="0.25">
      <c r="A325" t="s">
        <v>987</v>
      </c>
      <c r="B325" t="s">
        <v>988</v>
      </c>
      <c r="C325" t="s">
        <v>100</v>
      </c>
      <c r="D325" t="s">
        <v>989</v>
      </c>
      <c r="E325" t="str" cm="1">
        <f t="array" ref="E325">_xll.BDH($D325,"MTG_GEN_CPR_3M","20090331","20090331","Dts=H")</f>
        <v>#N/A Invalid Field</v>
      </c>
      <c r="F325" t="str" cm="1">
        <f t="array" ref="F325">_xll.BDH($D325,"MTG_GEN_CPR_6M","20090331","20090331","Dts=H")</f>
        <v>#N/A Invalid Field</v>
      </c>
      <c r="G325" t="str" cm="1">
        <f t="array" ref="G325">_xll.BDH($D325,"MTG_GEN_CPR_12M","20090331","20090331","Dts=H")</f>
        <v>#N/A Invalid Field</v>
      </c>
      <c r="H325" t="str" cm="1">
        <f t="array" ref="H325">_xll.BDH($D325,"MTG_GEN_CPR_3M","20090610","20090610","Dts=H")</f>
        <v>#N/A Invalid Field</v>
      </c>
      <c r="I325" t="str" cm="1">
        <f t="array" ref="I325">_xll.BDH($D325,"MTG_GEN_CPR_6M","20090610","20090610","Dts=H")</f>
        <v>#N/A Invalid Field</v>
      </c>
      <c r="J325" t="str" cm="1">
        <f t="array" ref="J325">_xll.BDH($D325,"MTG_GEN_CPR_12M","20090610","20090610","Dts=H")</f>
        <v>#N/A Invalid Field</v>
      </c>
      <c r="K325" t="str" cm="1">
        <f t="array" ref="K325">_xll.BDP(D325,"MTG_PREPAY_TYP")</f>
        <v>CPR</v>
      </c>
      <c r="L325" cm="1">
        <f t="array" ref="L325">_xll.BDP(D325,"MTG_PREPAY_SPEED")</f>
        <v>2.0499999999999998</v>
      </c>
      <c r="M325" cm="1">
        <f t="array" ref="M325">_xll.BDP(D325,"MTG_PL_PSA_1M ")</f>
        <v>31.7</v>
      </c>
      <c r="N325" cm="1">
        <f t="array" ref="N325">_xll.BDP(D325,"MTG_PL_PSA_3M ")</f>
        <v>34.4</v>
      </c>
      <c r="O325" cm="1">
        <f t="array" ref="O325">_xll.BDP(D325,"MTG_PL_PSA_6M ")</f>
        <v>34.1</v>
      </c>
    </row>
    <row r="326" spans="1:15" x14ac:dyDescent="0.25">
      <c r="A326" t="s">
        <v>990</v>
      </c>
      <c r="B326" t="s">
        <v>991</v>
      </c>
      <c r="C326" t="s">
        <v>100</v>
      </c>
      <c r="D326" t="s">
        <v>992</v>
      </c>
      <c r="E326" t="str" cm="1">
        <f t="array" ref="E326">_xll.BDH($D326,"MTG_GEN_CPR_3M","20090331","20090331","Dts=H")</f>
        <v>#N/A Invalid Field</v>
      </c>
      <c r="F326" t="str" cm="1">
        <f t="array" ref="F326">_xll.BDH($D326,"MTG_GEN_CPR_6M","20090331","20090331","Dts=H")</f>
        <v>#N/A Invalid Field</v>
      </c>
      <c r="G326" t="str" cm="1">
        <f t="array" ref="G326">_xll.BDH($D326,"MTG_GEN_CPR_12M","20090331","20090331","Dts=H")</f>
        <v>#N/A Invalid Field</v>
      </c>
      <c r="H326" t="str" cm="1">
        <f t="array" ref="H326">_xll.BDH($D326,"MTG_GEN_CPR_3M","20090610","20090610","Dts=H")</f>
        <v>#N/A Invalid Field</v>
      </c>
      <c r="I326" t="str" cm="1">
        <f t="array" ref="I326">_xll.BDH($D326,"MTG_GEN_CPR_6M","20090610","20090610","Dts=H")</f>
        <v>#N/A Invalid Field</v>
      </c>
      <c r="J326" t="str" cm="1">
        <f t="array" ref="J326">_xll.BDH($D326,"MTG_GEN_CPR_12M","20090610","20090610","Dts=H")</f>
        <v>#N/A Invalid Field</v>
      </c>
      <c r="K326" t="str" cm="1">
        <f t="array" ref="K326">_xll.BDP(D326,"MTG_PREPAY_TYP")</f>
        <v>CPR</v>
      </c>
      <c r="L326" cm="1">
        <f t="array" ref="L326">_xll.BDP(D326,"MTG_PREPAY_SPEED")</f>
        <v>0</v>
      </c>
      <c r="M326" cm="1">
        <f t="array" ref="M326">_xll.BDP(D326,"MTG_PL_PSA_1M ")</f>
        <v>0</v>
      </c>
      <c r="N326" cm="1">
        <f t="array" ref="N326">_xll.BDP(D326,"MTG_PL_PSA_3M ")</f>
        <v>0</v>
      </c>
      <c r="O326" cm="1">
        <f t="array" ref="O326">_xll.BDP(D326,"MTG_PL_PSA_6M ")</f>
        <v>0</v>
      </c>
    </row>
    <row r="327" spans="1:15" x14ac:dyDescent="0.25">
      <c r="A327" t="s">
        <v>993</v>
      </c>
      <c r="B327" t="s">
        <v>994</v>
      </c>
      <c r="C327" t="s">
        <v>100</v>
      </c>
      <c r="D327" t="s">
        <v>995</v>
      </c>
      <c r="E327" t="str" cm="1">
        <f t="array" ref="E327">_xll.BDH($D327,"MTG_GEN_CPR_3M","20090331","20090331","Dts=H")</f>
        <v>#N/A Invalid Field</v>
      </c>
      <c r="F327" t="str" cm="1">
        <f t="array" ref="F327">_xll.BDH($D327,"MTG_GEN_CPR_6M","20090331","20090331","Dts=H")</f>
        <v>#N/A Invalid Field</v>
      </c>
      <c r="G327" t="str" cm="1">
        <f t="array" ref="G327">_xll.BDH($D327,"MTG_GEN_CPR_12M","20090331","20090331","Dts=H")</f>
        <v>#N/A Invalid Field</v>
      </c>
      <c r="H327" t="str" cm="1">
        <f t="array" ref="H327">_xll.BDH($D327,"MTG_GEN_CPR_3M","20090610","20090610","Dts=H")</f>
        <v>#N/A Invalid Field</v>
      </c>
      <c r="I327" t="str" cm="1">
        <f t="array" ref="I327">_xll.BDH($D327,"MTG_GEN_CPR_6M","20090610","20090610","Dts=H")</f>
        <v>#N/A Invalid Field</v>
      </c>
      <c r="J327" t="str" cm="1">
        <f t="array" ref="J327">_xll.BDH($D327,"MTG_GEN_CPR_12M","20090610","20090610","Dts=H")</f>
        <v>#N/A Invalid Field</v>
      </c>
      <c r="K327" t="str" cm="1">
        <f t="array" ref="K327">_xll.BDP(D327,"MTG_PREPAY_TYP")</f>
        <v>CPR</v>
      </c>
      <c r="L327" cm="1">
        <f t="array" ref="L327">_xll.BDP(D327,"MTG_PREPAY_SPEED")</f>
        <v>0</v>
      </c>
      <c r="M327" cm="1">
        <f t="array" ref="M327">_xll.BDP(D327,"MTG_PL_PSA_1M ")</f>
        <v>0</v>
      </c>
      <c r="N327" cm="1">
        <f t="array" ref="N327">_xll.BDP(D327,"MTG_PL_PSA_3M ")</f>
        <v>0</v>
      </c>
      <c r="O327" cm="1">
        <f t="array" ref="O327">_xll.BDP(D327,"MTG_PL_PSA_6M ")</f>
        <v>0</v>
      </c>
    </row>
    <row r="328" spans="1:15" x14ac:dyDescent="0.25">
      <c r="A328" t="s">
        <v>996</v>
      </c>
      <c r="B328" t="s">
        <v>997</v>
      </c>
      <c r="C328" t="s">
        <v>100</v>
      </c>
      <c r="D328" t="s">
        <v>998</v>
      </c>
      <c r="E328" t="str" cm="1">
        <f t="array" ref="E328">_xll.BDH($D328,"MTG_GEN_CPR_3M","20090331","20090331","Dts=H")</f>
        <v>#N/A Invalid Field</v>
      </c>
      <c r="F328" t="str" cm="1">
        <f t="array" ref="F328">_xll.BDH($D328,"MTG_GEN_CPR_6M","20090331","20090331","Dts=H")</f>
        <v>#N/A Invalid Field</v>
      </c>
      <c r="G328" t="str" cm="1">
        <f t="array" ref="G328">_xll.BDH($D328,"MTG_GEN_CPR_12M","20090331","20090331","Dts=H")</f>
        <v>#N/A Invalid Field</v>
      </c>
      <c r="H328" t="str" cm="1">
        <f t="array" ref="H328">_xll.BDH($D328,"MTG_GEN_CPR_3M","20090610","20090610","Dts=H")</f>
        <v>#N/A Invalid Field</v>
      </c>
      <c r="I328" t="str" cm="1">
        <f t="array" ref="I328">_xll.BDH($D328,"MTG_GEN_CPR_6M","20090610","20090610","Dts=H")</f>
        <v>#N/A Invalid Field</v>
      </c>
      <c r="J328" t="str" cm="1">
        <f t="array" ref="J328">_xll.BDH($D328,"MTG_GEN_CPR_12M","20090610","20090610","Dts=H")</f>
        <v>#N/A Invalid Field</v>
      </c>
      <c r="K328" t="str" cm="1">
        <f t="array" ref="K328">_xll.BDP(D328,"MTG_PREPAY_TYP")</f>
        <v>#N/A N/A</v>
      </c>
      <c r="L328" t="str" cm="1">
        <f t="array" ref="L328">_xll.BDP(D328,"MTG_PREPAY_SPEED")</f>
        <v>#N/A N/A</v>
      </c>
      <c r="M328" cm="1">
        <f t="array" ref="M328">_xll.BDP(D328,"MTG_PL_PSA_1M ")</f>
        <v>1666.7</v>
      </c>
      <c r="N328" cm="1">
        <f t="array" ref="N328">_xll.BDP(D328,"MTG_PL_PSA_3M ")</f>
        <v>1666.7</v>
      </c>
      <c r="O328" cm="1">
        <f t="array" ref="O328">_xll.BDP(D328,"MTG_PL_PSA_6M ")</f>
        <v>1666.7</v>
      </c>
    </row>
    <row r="329" spans="1:15" x14ac:dyDescent="0.25">
      <c r="A329" t="s">
        <v>999</v>
      </c>
      <c r="B329" t="s">
        <v>1000</v>
      </c>
      <c r="C329" t="s">
        <v>100</v>
      </c>
      <c r="D329" t="s">
        <v>1001</v>
      </c>
      <c r="E329" t="str" cm="1">
        <f t="array" ref="E329">_xll.BDH($D329,"MTG_GEN_CPR_3M","20090331","20090331","Dts=H")</f>
        <v>#N/A Invalid Field</v>
      </c>
      <c r="F329" t="str" cm="1">
        <f t="array" ref="F329">_xll.BDH($D329,"MTG_GEN_CPR_6M","20090331","20090331","Dts=H")</f>
        <v>#N/A Invalid Field</v>
      </c>
      <c r="G329" t="str" cm="1">
        <f t="array" ref="G329">_xll.BDH($D329,"MTG_GEN_CPR_12M","20090331","20090331","Dts=H")</f>
        <v>#N/A Invalid Field</v>
      </c>
      <c r="H329" t="str" cm="1">
        <f t="array" ref="H329">_xll.BDH($D329,"MTG_GEN_CPR_3M","20090610","20090610","Dts=H")</f>
        <v>#N/A Invalid Field</v>
      </c>
      <c r="I329" t="str" cm="1">
        <f t="array" ref="I329">_xll.BDH($D329,"MTG_GEN_CPR_6M","20090610","20090610","Dts=H")</f>
        <v>#N/A Invalid Field</v>
      </c>
      <c r="J329" t="str" cm="1">
        <f t="array" ref="J329">_xll.BDH($D329,"MTG_GEN_CPR_12M","20090610","20090610","Dts=H")</f>
        <v>#N/A Invalid Field</v>
      </c>
      <c r="K329" t="str" cm="1">
        <f t="array" ref="K329">_xll.BDP(D329,"MTG_PREPAY_TYP")</f>
        <v>CPR</v>
      </c>
      <c r="L329" cm="1">
        <f t="array" ref="L329">_xll.BDP(D329,"MTG_PREPAY_SPEED")</f>
        <v>0.25</v>
      </c>
      <c r="M329" cm="1">
        <f t="array" ref="M329">_xll.BDP(D329,"MTG_PL_PSA_1M ")</f>
        <v>4.5</v>
      </c>
      <c r="N329" cm="1">
        <f t="array" ref="N329">_xll.BDP(D329,"MTG_PL_PSA_3M ")</f>
        <v>4.3</v>
      </c>
      <c r="O329" cm="1">
        <f t="array" ref="O329">_xll.BDP(D329,"MTG_PL_PSA_6M ")</f>
        <v>4.2</v>
      </c>
    </row>
    <row r="330" spans="1:15" x14ac:dyDescent="0.25">
      <c r="A330" t="s">
        <v>1002</v>
      </c>
      <c r="B330" t="s">
        <v>1003</v>
      </c>
      <c r="C330" t="s">
        <v>100</v>
      </c>
      <c r="D330" t="s">
        <v>1004</v>
      </c>
      <c r="E330" t="str" cm="1">
        <f t="array" ref="E330">_xll.BDH($D330,"MTG_GEN_CPR_3M","20090331","20090331","Dts=H")</f>
        <v>#N/A Invalid Field</v>
      </c>
      <c r="F330" t="str" cm="1">
        <f t="array" ref="F330">_xll.BDH($D330,"MTG_GEN_CPR_6M","20090331","20090331","Dts=H")</f>
        <v>#N/A Invalid Field</v>
      </c>
      <c r="G330" t="str" cm="1">
        <f t="array" ref="G330">_xll.BDH($D330,"MTG_GEN_CPR_12M","20090331","20090331","Dts=H")</f>
        <v>#N/A Invalid Field</v>
      </c>
      <c r="H330" t="str" cm="1">
        <f t="array" ref="H330">_xll.BDH($D330,"MTG_GEN_CPR_3M","20090610","20090610","Dts=H")</f>
        <v>#N/A Invalid Field</v>
      </c>
      <c r="I330" t="str" cm="1">
        <f t="array" ref="I330">_xll.BDH($D330,"MTG_GEN_CPR_6M","20090610","20090610","Dts=H")</f>
        <v>#N/A Invalid Field</v>
      </c>
      <c r="J330" t="str" cm="1">
        <f t="array" ref="J330">_xll.BDH($D330,"MTG_GEN_CPR_12M","20090610","20090610","Dts=H")</f>
        <v>#N/A Invalid Field</v>
      </c>
      <c r="K330" t="str" cm="1">
        <f t="array" ref="K330">_xll.BDP(D330,"MTG_PREPAY_TYP")</f>
        <v>CPR</v>
      </c>
      <c r="L330" cm="1">
        <f t="array" ref="L330">_xll.BDP(D330,"MTG_PREPAY_SPEED")</f>
        <v>0.01</v>
      </c>
      <c r="M330" cm="1">
        <f t="array" ref="M330">_xll.BDP(D330,"MTG_PL_PSA_1M ")</f>
        <v>0</v>
      </c>
      <c r="N330" cm="1">
        <f t="array" ref="N330">_xll.BDP(D330,"MTG_PL_PSA_3M ")</f>
        <v>0</v>
      </c>
      <c r="O330" cm="1">
        <f t="array" ref="O330">_xll.BDP(D330,"MTG_PL_PSA_6M ")</f>
        <v>0.1</v>
      </c>
    </row>
    <row r="331" spans="1:15" x14ac:dyDescent="0.25">
      <c r="A331" t="s">
        <v>1005</v>
      </c>
      <c r="B331" t="s">
        <v>1006</v>
      </c>
      <c r="C331" t="s">
        <v>100</v>
      </c>
      <c r="D331" t="s">
        <v>1007</v>
      </c>
      <c r="E331" t="str" cm="1">
        <f t="array" ref="E331">_xll.BDH($D331,"MTG_GEN_CPR_3M","20090331","20090331","Dts=H")</f>
        <v>#N/A Invalid Field</v>
      </c>
      <c r="F331" t="str" cm="1">
        <f t="array" ref="F331">_xll.BDH($D331,"MTG_GEN_CPR_6M","20090331","20090331","Dts=H")</f>
        <v>#N/A Invalid Field</v>
      </c>
      <c r="G331" t="str" cm="1">
        <f t="array" ref="G331">_xll.BDH($D331,"MTG_GEN_CPR_12M","20090331","20090331","Dts=H")</f>
        <v>#N/A Invalid Field</v>
      </c>
      <c r="H331" t="str" cm="1">
        <f t="array" ref="H331">_xll.BDH($D331,"MTG_GEN_CPR_3M","20090610","20090610","Dts=H")</f>
        <v>#N/A Invalid Field</v>
      </c>
      <c r="I331" t="str" cm="1">
        <f t="array" ref="I331">_xll.BDH($D331,"MTG_GEN_CPR_6M","20090610","20090610","Dts=H")</f>
        <v>#N/A Invalid Field</v>
      </c>
      <c r="J331" t="str" cm="1">
        <f t="array" ref="J331">_xll.BDH($D331,"MTG_GEN_CPR_12M","20090610","20090610","Dts=H")</f>
        <v>#N/A Invalid Field</v>
      </c>
      <c r="K331" t="str" cm="1">
        <f t="array" ref="K331">_xll.BDP(D331,"MTG_PREPAY_TYP")</f>
        <v>CPR</v>
      </c>
      <c r="L331" cm="1">
        <f t="array" ref="L331">_xll.BDP(D331,"MTG_PREPAY_SPEED")</f>
        <v>3.55</v>
      </c>
      <c r="M331" cm="1">
        <f t="array" ref="M331">_xll.BDP(D331,"MTG_PL_PSA_1M ")</f>
        <v>16.600000000000001</v>
      </c>
      <c r="N331" cm="1">
        <f t="array" ref="N331">_xll.BDP(D331,"MTG_PL_PSA_3M ")</f>
        <v>46.8</v>
      </c>
      <c r="O331" cm="1">
        <f t="array" ref="O331">_xll.BDP(D331,"MTG_PL_PSA_6M ")</f>
        <v>59.1</v>
      </c>
    </row>
    <row r="332" spans="1:15" x14ac:dyDescent="0.25">
      <c r="A332" t="s">
        <v>1008</v>
      </c>
      <c r="B332" t="s">
        <v>1009</v>
      </c>
      <c r="C332" t="s">
        <v>100</v>
      </c>
      <c r="D332" t="s">
        <v>1010</v>
      </c>
      <c r="E332" t="str" cm="1">
        <f t="array" ref="E332">_xll.BDH($D332,"MTG_GEN_CPR_3M","20090331","20090331","Dts=H")</f>
        <v>#N/A Invalid Field</v>
      </c>
      <c r="F332" t="str" cm="1">
        <f t="array" ref="F332">_xll.BDH($D332,"MTG_GEN_CPR_6M","20090331","20090331","Dts=H")</f>
        <v>#N/A Invalid Field</v>
      </c>
      <c r="G332" t="str" cm="1">
        <f t="array" ref="G332">_xll.BDH($D332,"MTG_GEN_CPR_12M","20090331","20090331","Dts=H")</f>
        <v>#N/A Invalid Field</v>
      </c>
      <c r="H332" t="str" cm="1">
        <f t="array" ref="H332">_xll.BDH($D332,"MTG_GEN_CPR_3M","20090610","20090610","Dts=H")</f>
        <v>#N/A Invalid Field</v>
      </c>
      <c r="I332" t="str" cm="1">
        <f t="array" ref="I332">_xll.BDH($D332,"MTG_GEN_CPR_6M","20090610","20090610","Dts=H")</f>
        <v>#N/A Invalid Field</v>
      </c>
      <c r="J332" t="str" cm="1">
        <f t="array" ref="J332">_xll.BDH($D332,"MTG_GEN_CPR_12M","20090610","20090610","Dts=H")</f>
        <v>#N/A Invalid Field</v>
      </c>
      <c r="K332" t="str" cm="1">
        <f t="array" ref="K332">_xll.BDP(D332,"MTG_PREPAY_TYP")</f>
        <v>CPR</v>
      </c>
      <c r="L332" cm="1">
        <f t="array" ref="L332">_xll.BDP(D332,"MTG_PREPAY_SPEED")</f>
        <v>0.09</v>
      </c>
      <c r="M332" cm="1">
        <f t="array" ref="M332">_xll.BDP(D332,"MTG_PL_PSA_1M ")</f>
        <v>1.7</v>
      </c>
      <c r="N332" cm="1">
        <f t="array" ref="N332">_xll.BDP(D332,"MTG_PL_PSA_3M ")</f>
        <v>1.6</v>
      </c>
      <c r="O332" cm="1">
        <f t="array" ref="O332">_xll.BDP(D332,"MTG_PL_PSA_6M ")</f>
        <v>1.5</v>
      </c>
    </row>
    <row r="333" spans="1:15" x14ac:dyDescent="0.25">
      <c r="A333" t="s">
        <v>1011</v>
      </c>
      <c r="B333" t="s">
        <v>1012</v>
      </c>
      <c r="C333" t="s">
        <v>100</v>
      </c>
      <c r="D333" t="s">
        <v>1013</v>
      </c>
      <c r="E333" t="str" cm="1">
        <f t="array" ref="E333">_xll.BDH($D333,"MTG_GEN_CPR_3M","20090331","20090331","Dts=H")</f>
        <v>#N/A Invalid Field</v>
      </c>
      <c r="F333" t="str" cm="1">
        <f t="array" ref="F333">_xll.BDH($D333,"MTG_GEN_CPR_6M","20090331","20090331","Dts=H")</f>
        <v>#N/A Invalid Field</v>
      </c>
      <c r="G333" t="str" cm="1">
        <f t="array" ref="G333">_xll.BDH($D333,"MTG_GEN_CPR_12M","20090331","20090331","Dts=H")</f>
        <v>#N/A Invalid Field</v>
      </c>
      <c r="H333" t="str" cm="1">
        <f t="array" ref="H333">_xll.BDH($D333,"MTG_GEN_CPR_3M","20090610","20090610","Dts=H")</f>
        <v>#N/A Invalid Field</v>
      </c>
      <c r="I333" t="str" cm="1">
        <f t="array" ref="I333">_xll.BDH($D333,"MTG_GEN_CPR_6M","20090610","20090610","Dts=H")</f>
        <v>#N/A Invalid Field</v>
      </c>
      <c r="J333" t="str" cm="1">
        <f t="array" ref="J333">_xll.BDH($D333,"MTG_GEN_CPR_12M","20090610","20090610","Dts=H")</f>
        <v>#N/A Invalid Field</v>
      </c>
      <c r="K333" t="str" cm="1">
        <f t="array" ref="K333">_xll.BDP(D333,"MTG_PREPAY_TYP")</f>
        <v>PSA</v>
      </c>
      <c r="L333" cm="1">
        <f t="array" ref="L333">_xll.BDP(D333,"MTG_PREPAY_SPEED")</f>
        <v>161</v>
      </c>
      <c r="M333" cm="1">
        <f t="array" ref="M333">_xll.BDP(D333,"MTG_PL_PSA_1M ")</f>
        <v>25</v>
      </c>
      <c r="N333" cm="1">
        <f t="array" ref="N333">_xll.BDP(D333,"MTG_PL_PSA_3M ")</f>
        <v>32.1</v>
      </c>
      <c r="O333" cm="1">
        <f t="array" ref="O333">_xll.BDP(D333,"MTG_PL_PSA_6M ")</f>
        <v>28.7</v>
      </c>
    </row>
    <row r="334" spans="1:15" x14ac:dyDescent="0.25">
      <c r="A334" t="s">
        <v>1014</v>
      </c>
      <c r="B334" t="s">
        <v>1015</v>
      </c>
      <c r="C334" t="s">
        <v>100</v>
      </c>
      <c r="D334" t="s">
        <v>1016</v>
      </c>
      <c r="E334" t="str" cm="1">
        <f t="array" ref="E334">_xll.BDH($D334,"MTG_GEN_CPR_3M","20090331","20090331","Dts=H")</f>
        <v>#N/A Invalid Field</v>
      </c>
      <c r="F334" t="str" cm="1">
        <f t="array" ref="F334">_xll.BDH($D334,"MTG_GEN_CPR_6M","20090331","20090331","Dts=H")</f>
        <v>#N/A Invalid Field</v>
      </c>
      <c r="G334" t="str" cm="1">
        <f t="array" ref="G334">_xll.BDH($D334,"MTG_GEN_CPR_12M","20090331","20090331","Dts=H")</f>
        <v>#N/A Invalid Field</v>
      </c>
      <c r="H334" t="str" cm="1">
        <f t="array" ref="H334">_xll.BDH($D334,"MTG_GEN_CPR_3M","20090610","20090610","Dts=H")</f>
        <v>#N/A Invalid Field</v>
      </c>
      <c r="I334" t="str" cm="1">
        <f t="array" ref="I334">_xll.BDH($D334,"MTG_GEN_CPR_6M","20090610","20090610","Dts=H")</f>
        <v>#N/A Invalid Field</v>
      </c>
      <c r="J334" t="str" cm="1">
        <f t="array" ref="J334">_xll.BDH($D334,"MTG_GEN_CPR_12M","20090610","20090610","Dts=H")</f>
        <v>#N/A Invalid Field</v>
      </c>
      <c r="K334" t="str" cm="1">
        <f t="array" ref="K334">_xll.BDP(D334,"MTG_PREPAY_TYP")</f>
        <v>CPR</v>
      </c>
      <c r="L334" cm="1">
        <f t="array" ref="L334">_xll.BDP(D334,"MTG_PREPAY_SPEED")</f>
        <v>0.53</v>
      </c>
      <c r="M334" cm="1">
        <f t="array" ref="M334">_xll.BDP(D334,"MTG_PL_PSA_1M ")</f>
        <v>1.2</v>
      </c>
      <c r="N334" cm="1">
        <f t="array" ref="N334">_xll.BDP(D334,"MTG_PL_PSA_3M ")</f>
        <v>10.6</v>
      </c>
      <c r="O334" cm="1">
        <f t="array" ref="O334">_xll.BDP(D334,"MTG_PL_PSA_6M ")</f>
        <v>8.8000000000000007</v>
      </c>
    </row>
    <row r="335" spans="1:15" x14ac:dyDescent="0.25">
      <c r="A335" t="s">
        <v>1017</v>
      </c>
      <c r="B335" t="s">
        <v>1018</v>
      </c>
      <c r="C335" t="s">
        <v>100</v>
      </c>
      <c r="D335" t="s">
        <v>1019</v>
      </c>
      <c r="E335" t="str" cm="1">
        <f t="array" ref="E335">_xll.BDH($D335,"MTG_GEN_CPR_3M","20090331","20090331","Dts=H")</f>
        <v>#N/A Invalid Field</v>
      </c>
      <c r="F335" t="str" cm="1">
        <f t="array" ref="F335">_xll.BDH($D335,"MTG_GEN_CPR_6M","20090331","20090331","Dts=H")</f>
        <v>#N/A Invalid Field</v>
      </c>
      <c r="G335" t="str" cm="1">
        <f t="array" ref="G335">_xll.BDH($D335,"MTG_GEN_CPR_12M","20090331","20090331","Dts=H")</f>
        <v>#N/A Invalid Field</v>
      </c>
      <c r="H335" t="str" cm="1">
        <f t="array" ref="H335">_xll.BDH($D335,"MTG_GEN_CPR_3M","20090610","20090610","Dts=H")</f>
        <v>#N/A Invalid Field</v>
      </c>
      <c r="I335" t="str" cm="1">
        <f t="array" ref="I335">_xll.BDH($D335,"MTG_GEN_CPR_6M","20090610","20090610","Dts=H")</f>
        <v>#N/A Invalid Field</v>
      </c>
      <c r="J335" t="str" cm="1">
        <f t="array" ref="J335">_xll.BDH($D335,"MTG_GEN_CPR_12M","20090610","20090610","Dts=H")</f>
        <v>#N/A Invalid Field</v>
      </c>
      <c r="K335" t="str" cm="1">
        <f t="array" ref="K335">_xll.BDP(D335,"MTG_PREPAY_TYP")</f>
        <v>CPR</v>
      </c>
      <c r="L335" cm="1">
        <f t="array" ref="L335">_xll.BDP(D335,"MTG_PREPAY_SPEED")</f>
        <v>3.02</v>
      </c>
      <c r="M335" cm="1">
        <f t="array" ref="M335">_xll.BDP(D335,"MTG_PL_PSA_1M ")</f>
        <v>54.8</v>
      </c>
      <c r="N335" cm="1">
        <f t="array" ref="N335">_xll.BDP(D335,"MTG_PL_PSA_3M ")</f>
        <v>77.3</v>
      </c>
      <c r="O335" cm="1">
        <f t="array" ref="O335">_xll.BDP(D335,"MTG_PL_PSA_6M ")</f>
        <v>50.3</v>
      </c>
    </row>
    <row r="336" spans="1:15" x14ac:dyDescent="0.25">
      <c r="A336" t="s">
        <v>1020</v>
      </c>
      <c r="B336" t="s">
        <v>1021</v>
      </c>
      <c r="C336" t="s">
        <v>100</v>
      </c>
      <c r="D336" t="s">
        <v>1022</v>
      </c>
      <c r="E336" t="str" cm="1">
        <f t="array" ref="E336">_xll.BDH($D336,"MTG_GEN_CPR_3M","20090331","20090331","Dts=H")</f>
        <v>#N/A Invalid Field</v>
      </c>
      <c r="F336" t="str" cm="1">
        <f t="array" ref="F336">_xll.BDH($D336,"MTG_GEN_CPR_6M","20090331","20090331","Dts=H")</f>
        <v>#N/A Invalid Field</v>
      </c>
      <c r="G336" t="str" cm="1">
        <f t="array" ref="G336">_xll.BDH($D336,"MTG_GEN_CPR_12M","20090331","20090331","Dts=H")</f>
        <v>#N/A Invalid Field</v>
      </c>
      <c r="H336" t="str" cm="1">
        <f t="array" ref="H336">_xll.BDH($D336,"MTG_GEN_CPR_3M","20090610","20090610","Dts=H")</f>
        <v>#N/A Invalid Field</v>
      </c>
      <c r="I336" t="str" cm="1">
        <f t="array" ref="I336">_xll.BDH($D336,"MTG_GEN_CPR_6M","20090610","20090610","Dts=H")</f>
        <v>#N/A Invalid Field</v>
      </c>
      <c r="J336" t="str" cm="1">
        <f t="array" ref="J336">_xll.BDH($D336,"MTG_GEN_CPR_12M","20090610","20090610","Dts=H")</f>
        <v>#N/A Invalid Field</v>
      </c>
      <c r="K336" t="str" cm="1">
        <f t="array" ref="K336">_xll.BDP(D336,"MTG_PREPAY_TYP")</f>
        <v>CPR</v>
      </c>
      <c r="L336" cm="1">
        <f t="array" ref="L336">_xll.BDP(D336,"MTG_PREPAY_SPEED")</f>
        <v>8.1300000000000008</v>
      </c>
      <c r="M336" cm="1">
        <f t="array" ref="M336">_xll.BDP(D336,"MTG_PL_PSA_1M ")</f>
        <v>144.4</v>
      </c>
      <c r="N336" cm="1">
        <f t="array" ref="N336">_xll.BDP(D336,"MTG_PL_PSA_3M ")</f>
        <v>140.69999999999999</v>
      </c>
      <c r="O336" cm="1">
        <f t="array" ref="O336">_xll.BDP(D336,"MTG_PL_PSA_6M ")</f>
        <v>135.4</v>
      </c>
    </row>
    <row r="337" spans="1:15" x14ac:dyDescent="0.25">
      <c r="A337" t="s">
        <v>1023</v>
      </c>
      <c r="B337" t="s">
        <v>1024</v>
      </c>
      <c r="C337" t="s">
        <v>100</v>
      </c>
      <c r="D337" t="s">
        <v>1025</v>
      </c>
      <c r="E337" t="str" cm="1">
        <f t="array" ref="E337">_xll.BDH($D337,"MTG_GEN_CPR_3M","20090331","20090331","Dts=H")</f>
        <v>#N/A Invalid Field</v>
      </c>
      <c r="F337" t="str" cm="1">
        <f t="array" ref="F337">_xll.BDH($D337,"MTG_GEN_CPR_6M","20090331","20090331","Dts=H")</f>
        <v>#N/A Invalid Field</v>
      </c>
      <c r="G337" t="str" cm="1">
        <f t="array" ref="G337">_xll.BDH($D337,"MTG_GEN_CPR_12M","20090331","20090331","Dts=H")</f>
        <v>#N/A Invalid Field</v>
      </c>
      <c r="H337" t="str" cm="1">
        <f t="array" ref="H337">_xll.BDH($D337,"MTG_GEN_CPR_3M","20090610","20090610","Dts=H")</f>
        <v>#N/A Invalid Field</v>
      </c>
      <c r="I337" t="str" cm="1">
        <f t="array" ref="I337">_xll.BDH($D337,"MTG_GEN_CPR_6M","20090610","20090610","Dts=H")</f>
        <v>#N/A Invalid Field</v>
      </c>
      <c r="J337" t="str" cm="1">
        <f t="array" ref="J337">_xll.BDH($D337,"MTG_GEN_CPR_12M","20090610","20090610","Dts=H")</f>
        <v>#N/A Invalid Field</v>
      </c>
      <c r="K337" t="str" cm="1">
        <f t="array" ref="K337">_xll.BDP(D337,"MTG_PREPAY_TYP")</f>
        <v>CPR</v>
      </c>
      <c r="L337" cm="1">
        <f t="array" ref="L337">_xll.BDP(D337,"MTG_PREPAY_SPEED")</f>
        <v>6.88</v>
      </c>
      <c r="M337" cm="1">
        <f t="array" ref="M337">_xll.BDP(D337,"MTG_PL_PSA_1M ")</f>
        <v>507</v>
      </c>
      <c r="N337" cm="1">
        <f t="array" ref="N337">_xll.BDP(D337,"MTG_PL_PSA_3M ")</f>
        <v>204.8</v>
      </c>
      <c r="O337" cm="1">
        <f t="array" ref="O337">_xll.BDP(D337,"MTG_PL_PSA_6M ")</f>
        <v>114.7</v>
      </c>
    </row>
    <row r="338" spans="1:15" x14ac:dyDescent="0.25">
      <c r="A338" t="s">
        <v>1026</v>
      </c>
      <c r="B338" t="s">
        <v>1027</v>
      </c>
      <c r="C338" t="s">
        <v>100</v>
      </c>
      <c r="D338" t="s">
        <v>1028</v>
      </c>
      <c r="E338" t="str" cm="1">
        <f t="array" ref="E338">_xll.BDH($D338,"MTG_GEN_CPR_3M","20090331","20090331","Dts=H")</f>
        <v>#N/A Invalid Field</v>
      </c>
      <c r="F338" t="str" cm="1">
        <f t="array" ref="F338">_xll.BDH($D338,"MTG_GEN_CPR_6M","20090331","20090331","Dts=H")</f>
        <v>#N/A Invalid Field</v>
      </c>
      <c r="G338" t="str" cm="1">
        <f t="array" ref="G338">_xll.BDH($D338,"MTG_GEN_CPR_12M","20090331","20090331","Dts=H")</f>
        <v>#N/A Invalid Field</v>
      </c>
      <c r="H338" t="str" cm="1">
        <f t="array" ref="H338">_xll.BDH($D338,"MTG_GEN_CPR_3M","20090610","20090610","Dts=H")</f>
        <v>#N/A Invalid Field</v>
      </c>
      <c r="I338" t="str" cm="1">
        <f t="array" ref="I338">_xll.BDH($D338,"MTG_GEN_CPR_6M","20090610","20090610","Dts=H")</f>
        <v>#N/A Invalid Field</v>
      </c>
      <c r="J338" t="str" cm="1">
        <f t="array" ref="J338">_xll.BDH($D338,"MTG_GEN_CPR_12M","20090610","20090610","Dts=H")</f>
        <v>#N/A Invalid Field</v>
      </c>
      <c r="K338" t="str" cm="1">
        <f t="array" ref="K338">_xll.BDP(D338,"MTG_PREPAY_TYP")</f>
        <v>CPR</v>
      </c>
      <c r="L338" cm="1">
        <f t="array" ref="L338">_xll.BDP(D338,"MTG_PREPAY_SPEED")</f>
        <v>8.98</v>
      </c>
      <c r="M338" cm="1">
        <f t="array" ref="M338">_xll.BDP(D338,"MTG_PL_PSA_1M ")</f>
        <v>159.69999999999999</v>
      </c>
      <c r="N338" cm="1">
        <f t="array" ref="N338">_xll.BDP(D338,"MTG_PL_PSA_3M ")</f>
        <v>155.5</v>
      </c>
      <c r="O338" cm="1">
        <f t="array" ref="O338">_xll.BDP(D338,"MTG_PL_PSA_6M ")</f>
        <v>149.69999999999999</v>
      </c>
    </row>
    <row r="339" spans="1:15" x14ac:dyDescent="0.25">
      <c r="A339" t="s">
        <v>1029</v>
      </c>
      <c r="B339" t="s">
        <v>1030</v>
      </c>
      <c r="C339" t="s">
        <v>100</v>
      </c>
      <c r="D339" t="s">
        <v>1031</v>
      </c>
      <c r="E339" t="str" cm="1">
        <f t="array" ref="E339">_xll.BDH($D339,"MTG_GEN_CPR_3M","20090331","20090331","Dts=H")</f>
        <v>#N/A Invalid Field</v>
      </c>
      <c r="F339" t="str" cm="1">
        <f t="array" ref="F339">_xll.BDH($D339,"MTG_GEN_CPR_6M","20090331","20090331","Dts=H")</f>
        <v>#N/A Invalid Field</v>
      </c>
      <c r="G339" t="str" cm="1">
        <f t="array" ref="G339">_xll.BDH($D339,"MTG_GEN_CPR_12M","20090331","20090331","Dts=H")</f>
        <v>#N/A Invalid Field</v>
      </c>
      <c r="H339" t="str" cm="1">
        <f t="array" ref="H339">_xll.BDH($D339,"MTG_GEN_CPR_3M","20090610","20090610","Dts=H")</f>
        <v>#N/A Invalid Field</v>
      </c>
      <c r="I339" t="str" cm="1">
        <f t="array" ref="I339">_xll.BDH($D339,"MTG_GEN_CPR_6M","20090610","20090610","Dts=H")</f>
        <v>#N/A Invalid Field</v>
      </c>
      <c r="J339" t="str" cm="1">
        <f t="array" ref="J339">_xll.BDH($D339,"MTG_GEN_CPR_12M","20090610","20090610","Dts=H")</f>
        <v>#N/A Invalid Field</v>
      </c>
      <c r="K339" t="str" cm="1">
        <f t="array" ref="K339">_xll.BDP(D339,"MTG_PREPAY_TYP")</f>
        <v>PSA</v>
      </c>
      <c r="L339" cm="1">
        <f t="array" ref="L339">_xll.BDP(D339,"MTG_PREPAY_SPEED")</f>
        <v>125</v>
      </c>
      <c r="M339" cm="1">
        <f t="array" ref="M339">_xll.BDP(D339,"MTG_PL_PSA_1M ")</f>
        <v>34.299999999999997</v>
      </c>
      <c r="N339" cm="1">
        <f t="array" ref="N339">_xll.BDP(D339,"MTG_PL_PSA_3M ")</f>
        <v>69.400000000000006</v>
      </c>
      <c r="O339" cm="1">
        <f t="array" ref="O339">_xll.BDP(D339,"MTG_PL_PSA_6M ")</f>
        <v>50.7</v>
      </c>
    </row>
    <row r="340" spans="1:15" x14ac:dyDescent="0.25">
      <c r="A340" t="s">
        <v>1032</v>
      </c>
      <c r="B340" t="s">
        <v>1033</v>
      </c>
      <c r="C340" t="s">
        <v>100</v>
      </c>
      <c r="D340" t="s">
        <v>1034</v>
      </c>
      <c r="E340" t="str" cm="1">
        <f t="array" ref="E340">_xll.BDH($D340,"MTG_GEN_CPR_3M","20090331","20090331","Dts=H")</f>
        <v>#N/A Invalid Field</v>
      </c>
      <c r="F340" t="str" cm="1">
        <f t="array" ref="F340">_xll.BDH($D340,"MTG_GEN_CPR_6M","20090331","20090331","Dts=H")</f>
        <v>#N/A Invalid Field</v>
      </c>
      <c r="G340" t="str" cm="1">
        <f t="array" ref="G340">_xll.BDH($D340,"MTG_GEN_CPR_12M","20090331","20090331","Dts=H")</f>
        <v>#N/A Invalid Field</v>
      </c>
      <c r="H340" t="str" cm="1">
        <f t="array" ref="H340">_xll.BDH($D340,"MTG_GEN_CPR_3M","20090610","20090610","Dts=H")</f>
        <v>#N/A Invalid Field</v>
      </c>
      <c r="I340" t="str" cm="1">
        <f t="array" ref="I340">_xll.BDH($D340,"MTG_GEN_CPR_6M","20090610","20090610","Dts=H")</f>
        <v>#N/A Invalid Field</v>
      </c>
      <c r="J340" t="str" cm="1">
        <f t="array" ref="J340">_xll.BDH($D340,"MTG_GEN_CPR_12M","20090610","20090610","Dts=H")</f>
        <v>#N/A Invalid Field</v>
      </c>
      <c r="K340" t="str" cm="1">
        <f t="array" ref="K340">_xll.BDP(D340,"MTG_PREPAY_TYP")</f>
        <v>CPR</v>
      </c>
      <c r="L340" cm="1">
        <f t="array" ref="L340">_xll.BDP(D340,"MTG_PREPAY_SPEED")</f>
        <v>69.77</v>
      </c>
      <c r="M340" cm="1">
        <f t="array" ref="M340">_xll.BDP(D340,"MTG_PL_PSA_1M ")</f>
        <v>1665.3</v>
      </c>
      <c r="N340" cm="1">
        <f t="array" ref="N340">_xll.BDP(D340,"MTG_PL_PSA_3M ")</f>
        <v>1513.2</v>
      </c>
      <c r="O340" cm="1">
        <f t="array" ref="O340">_xll.BDP(D340,"MTG_PL_PSA_6M ")</f>
        <v>1162.9000000000001</v>
      </c>
    </row>
    <row r="341" spans="1:15" x14ac:dyDescent="0.25">
      <c r="A341" t="s">
        <v>1035</v>
      </c>
      <c r="B341" t="s">
        <v>1036</v>
      </c>
      <c r="C341" t="s">
        <v>100</v>
      </c>
      <c r="D341" t="s">
        <v>1037</v>
      </c>
      <c r="E341" t="str" cm="1">
        <f t="array" ref="E341">_xll.BDH($D341,"MTG_GEN_CPR_3M","20090331","20090331","Dts=H")</f>
        <v>#N/A Invalid Field</v>
      </c>
      <c r="F341" t="str" cm="1">
        <f t="array" ref="F341">_xll.BDH($D341,"MTG_GEN_CPR_6M","20090331","20090331","Dts=H")</f>
        <v>#N/A Invalid Field</v>
      </c>
      <c r="G341" t="str" cm="1">
        <f t="array" ref="G341">_xll.BDH($D341,"MTG_GEN_CPR_12M","20090331","20090331","Dts=H")</f>
        <v>#N/A Invalid Field</v>
      </c>
      <c r="H341" t="str" cm="1">
        <f t="array" ref="H341">_xll.BDH($D341,"MTG_GEN_CPR_3M","20090610","20090610","Dts=H")</f>
        <v>#N/A Invalid Field</v>
      </c>
      <c r="I341" t="str" cm="1">
        <f t="array" ref="I341">_xll.BDH($D341,"MTG_GEN_CPR_6M","20090610","20090610","Dts=H")</f>
        <v>#N/A Invalid Field</v>
      </c>
      <c r="J341" t="str" cm="1">
        <f t="array" ref="J341">_xll.BDH($D341,"MTG_GEN_CPR_12M","20090610","20090610","Dts=H")</f>
        <v>#N/A Invalid Field</v>
      </c>
      <c r="K341" t="str" cm="1">
        <f t="array" ref="K341">_xll.BDP(D341,"MTG_PREPAY_TYP")</f>
        <v>CPR</v>
      </c>
      <c r="L341" cm="1">
        <f t="array" ref="L341">_xll.BDP(D341,"MTG_PREPAY_SPEED")</f>
        <v>59.51</v>
      </c>
      <c r="M341" cm="1">
        <f t="array" ref="M341">_xll.BDP(D341,"MTG_PL_PSA_1M ")</f>
        <v>23.6</v>
      </c>
      <c r="N341" cm="1">
        <f t="array" ref="N341">_xll.BDP(D341,"MTG_PL_PSA_3M ")</f>
        <v>26.7</v>
      </c>
      <c r="O341" cm="1">
        <f t="array" ref="O341">_xll.BDP(D341,"MTG_PL_PSA_6M ")</f>
        <v>991.8</v>
      </c>
    </row>
    <row r="342" spans="1:15" x14ac:dyDescent="0.25">
      <c r="A342" t="s">
        <v>1038</v>
      </c>
      <c r="B342" t="s">
        <v>1039</v>
      </c>
      <c r="C342" t="s">
        <v>100</v>
      </c>
      <c r="D342" t="s">
        <v>1040</v>
      </c>
      <c r="E342" t="str" cm="1">
        <f t="array" ref="E342">_xll.BDH($D342,"MTG_GEN_CPR_3M","20090331","20090331","Dts=H")</f>
        <v>#N/A Invalid Field</v>
      </c>
      <c r="F342" t="str" cm="1">
        <f t="array" ref="F342">_xll.BDH($D342,"MTG_GEN_CPR_6M","20090331","20090331","Dts=H")</f>
        <v>#N/A Invalid Field</v>
      </c>
      <c r="G342" t="str" cm="1">
        <f t="array" ref="G342">_xll.BDH($D342,"MTG_GEN_CPR_12M","20090331","20090331","Dts=H")</f>
        <v>#N/A Invalid Field</v>
      </c>
      <c r="H342" t="str" cm="1">
        <f t="array" ref="H342">_xll.BDH($D342,"MTG_GEN_CPR_3M","20090610","20090610","Dts=H")</f>
        <v>#N/A Invalid Field</v>
      </c>
      <c r="I342" t="str" cm="1">
        <f t="array" ref="I342">_xll.BDH($D342,"MTG_GEN_CPR_6M","20090610","20090610","Dts=H")</f>
        <v>#N/A Invalid Field</v>
      </c>
      <c r="J342" t="str" cm="1">
        <f t="array" ref="J342">_xll.BDH($D342,"MTG_GEN_CPR_12M","20090610","20090610","Dts=H")</f>
        <v>#N/A Invalid Field</v>
      </c>
      <c r="K342" t="str" cm="1">
        <f t="array" ref="K342">_xll.BDP(D342,"MTG_PREPAY_TYP")</f>
        <v>PSA</v>
      </c>
      <c r="L342" cm="1">
        <f t="array" ref="L342">_xll.BDP(D342,"MTG_PREPAY_SPEED")</f>
        <v>182</v>
      </c>
      <c r="M342" cm="1">
        <f t="array" ref="M342">_xll.BDP(D342,"MTG_PL_PSA_1M ")</f>
        <v>4.9000000000000004</v>
      </c>
      <c r="N342" cm="1">
        <f t="array" ref="N342">_xll.BDP(D342,"MTG_PL_PSA_3M ")</f>
        <v>4.8</v>
      </c>
      <c r="O342" cm="1">
        <f t="array" ref="O342">_xll.BDP(D342,"MTG_PL_PSA_6M ")</f>
        <v>4.7</v>
      </c>
    </row>
    <row r="343" spans="1:15" x14ac:dyDescent="0.25">
      <c r="A343" t="s">
        <v>1041</v>
      </c>
      <c r="B343" t="s">
        <v>1042</v>
      </c>
      <c r="C343" t="s">
        <v>100</v>
      </c>
      <c r="D343" t="s">
        <v>1043</v>
      </c>
      <c r="E343" t="str" cm="1">
        <f t="array" ref="E343">_xll.BDH($D343,"MTG_GEN_CPR_3M","20090331","20090331","Dts=H")</f>
        <v>#N/A Invalid Field</v>
      </c>
      <c r="F343" t="str" cm="1">
        <f t="array" ref="F343">_xll.BDH($D343,"MTG_GEN_CPR_6M","20090331","20090331","Dts=H")</f>
        <v>#N/A Invalid Field</v>
      </c>
      <c r="G343" t="str" cm="1">
        <f t="array" ref="G343">_xll.BDH($D343,"MTG_GEN_CPR_12M","20090331","20090331","Dts=H")</f>
        <v>#N/A Invalid Field</v>
      </c>
      <c r="H343" t="str" cm="1">
        <f t="array" ref="H343">_xll.BDH($D343,"MTG_GEN_CPR_3M","20090610","20090610","Dts=H")</f>
        <v>#N/A Invalid Field</v>
      </c>
      <c r="I343" t="str" cm="1">
        <f t="array" ref="I343">_xll.BDH($D343,"MTG_GEN_CPR_6M","20090610","20090610","Dts=H")</f>
        <v>#N/A Invalid Field</v>
      </c>
      <c r="J343" t="str" cm="1">
        <f t="array" ref="J343">_xll.BDH($D343,"MTG_GEN_CPR_12M","20090610","20090610","Dts=H")</f>
        <v>#N/A Invalid Field</v>
      </c>
      <c r="K343" t="str" cm="1">
        <f t="array" ref="K343">_xll.BDP(D343,"MTG_PREPAY_TYP")</f>
        <v>CPR</v>
      </c>
      <c r="L343" cm="1">
        <f t="array" ref="L343">_xll.BDP(D343,"MTG_PREPAY_SPEED")</f>
        <v>27.53</v>
      </c>
      <c r="M343" cm="1">
        <f t="array" ref="M343">_xll.BDP(D343,"MTG_PL_PSA_1M ")</f>
        <v>102.1</v>
      </c>
      <c r="N343" cm="1">
        <f t="array" ref="N343">_xll.BDP(D343,"MTG_PL_PSA_3M ")</f>
        <v>99.7</v>
      </c>
      <c r="O343" cm="1">
        <f t="array" ref="O343">_xll.BDP(D343,"MTG_PL_PSA_6M ")</f>
        <v>458.8</v>
      </c>
    </row>
    <row r="344" spans="1:15" x14ac:dyDescent="0.25">
      <c r="A344" t="s">
        <v>1044</v>
      </c>
      <c r="B344" t="s">
        <v>1045</v>
      </c>
      <c r="C344" t="s">
        <v>100</v>
      </c>
      <c r="D344" t="s">
        <v>1046</v>
      </c>
      <c r="E344" t="str" cm="1">
        <f t="array" ref="E344">_xll.BDH($D344,"MTG_GEN_CPR_3M","20090331","20090331","Dts=H")</f>
        <v>#N/A Invalid Field</v>
      </c>
      <c r="F344" t="str" cm="1">
        <f t="array" ref="F344">_xll.BDH($D344,"MTG_GEN_CPR_6M","20090331","20090331","Dts=H")</f>
        <v>#N/A Invalid Field</v>
      </c>
      <c r="G344" t="str" cm="1">
        <f t="array" ref="G344">_xll.BDH($D344,"MTG_GEN_CPR_12M","20090331","20090331","Dts=H")</f>
        <v>#N/A Invalid Field</v>
      </c>
      <c r="H344" t="str" cm="1">
        <f t="array" ref="H344">_xll.BDH($D344,"MTG_GEN_CPR_3M","20090610","20090610","Dts=H")</f>
        <v>#N/A Invalid Field</v>
      </c>
      <c r="I344" t="str" cm="1">
        <f t="array" ref="I344">_xll.BDH($D344,"MTG_GEN_CPR_6M","20090610","20090610","Dts=H")</f>
        <v>#N/A Invalid Field</v>
      </c>
      <c r="J344" t="str" cm="1">
        <f t="array" ref="J344">_xll.BDH($D344,"MTG_GEN_CPR_12M","20090610","20090610","Dts=H")</f>
        <v>#N/A Invalid Field</v>
      </c>
      <c r="K344" t="str" cm="1">
        <f t="array" ref="K344">_xll.BDP(D344,"MTG_PREPAY_TYP")</f>
        <v>PSA</v>
      </c>
      <c r="L344" cm="1">
        <f t="array" ref="L344">_xll.BDP(D344,"MTG_PREPAY_SPEED")</f>
        <v>207</v>
      </c>
      <c r="M344" cm="1">
        <f t="array" ref="M344">_xll.BDP(D344,"MTG_PL_PSA_1M ")</f>
        <v>21.6</v>
      </c>
      <c r="N344" cm="1">
        <f t="array" ref="N344">_xll.BDP(D344,"MTG_PL_PSA_3M ")</f>
        <v>22.9</v>
      </c>
      <c r="O344" cm="1">
        <f t="array" ref="O344">_xll.BDP(D344,"MTG_PL_PSA_6M ")</f>
        <v>22.5</v>
      </c>
    </row>
    <row r="345" spans="1:15" x14ac:dyDescent="0.25">
      <c r="A345" t="s">
        <v>1047</v>
      </c>
      <c r="B345" t="s">
        <v>1048</v>
      </c>
      <c r="C345" t="s">
        <v>100</v>
      </c>
      <c r="D345" t="s">
        <v>1049</v>
      </c>
      <c r="E345" t="str" cm="1">
        <f t="array" ref="E345">_xll.BDH($D345,"MTG_GEN_CPR_3M","20090331","20090331","Dts=H")</f>
        <v>#N/A Invalid Field</v>
      </c>
      <c r="F345" t="str" cm="1">
        <f t="array" ref="F345">_xll.BDH($D345,"MTG_GEN_CPR_6M","20090331","20090331","Dts=H")</f>
        <v>#N/A Invalid Field</v>
      </c>
      <c r="G345" t="str" cm="1">
        <f t="array" ref="G345">_xll.BDH($D345,"MTG_GEN_CPR_12M","20090331","20090331","Dts=H")</f>
        <v>#N/A Invalid Field</v>
      </c>
      <c r="H345" t="str" cm="1">
        <f t="array" ref="H345">_xll.BDH($D345,"MTG_GEN_CPR_3M","20090610","20090610","Dts=H")</f>
        <v>#N/A Invalid Field</v>
      </c>
      <c r="I345" t="str" cm="1">
        <f t="array" ref="I345">_xll.BDH($D345,"MTG_GEN_CPR_6M","20090610","20090610","Dts=H")</f>
        <v>#N/A Invalid Field</v>
      </c>
      <c r="J345" t="str" cm="1">
        <f t="array" ref="J345">_xll.BDH($D345,"MTG_GEN_CPR_12M","20090610","20090610","Dts=H")</f>
        <v>#N/A Invalid Field</v>
      </c>
      <c r="K345" t="str" cm="1">
        <f t="array" ref="K345">_xll.BDP(D345,"MTG_PREPAY_TYP")</f>
        <v>PSA</v>
      </c>
      <c r="L345" cm="1">
        <f t="array" ref="L345">_xll.BDP(D345,"MTG_PREPAY_SPEED")</f>
        <v>171</v>
      </c>
      <c r="M345" cm="1">
        <f t="array" ref="M345">_xll.BDP(D345,"MTG_PL_PSA_1M ")</f>
        <v>1.4</v>
      </c>
      <c r="N345" cm="1">
        <f t="array" ref="N345">_xll.BDP(D345,"MTG_PL_PSA_3M ")</f>
        <v>1.4</v>
      </c>
      <c r="O345" cm="1">
        <f t="array" ref="O345">_xll.BDP(D345,"MTG_PL_PSA_6M ")</f>
        <v>1.4</v>
      </c>
    </row>
    <row r="346" spans="1:15" x14ac:dyDescent="0.25">
      <c r="A346" t="s">
        <v>1050</v>
      </c>
      <c r="B346" t="s">
        <v>1051</v>
      </c>
      <c r="C346" t="s">
        <v>100</v>
      </c>
      <c r="D346" t="s">
        <v>1052</v>
      </c>
      <c r="E346" t="str" cm="1">
        <f t="array" ref="E346">_xll.BDH($D346,"MTG_GEN_CPR_3M","20090331","20090331","Dts=H")</f>
        <v>#N/A Invalid Field</v>
      </c>
      <c r="F346" t="str" cm="1">
        <f t="array" ref="F346">_xll.BDH($D346,"MTG_GEN_CPR_6M","20090331","20090331","Dts=H")</f>
        <v>#N/A Invalid Field</v>
      </c>
      <c r="G346" t="str" cm="1">
        <f t="array" ref="G346">_xll.BDH($D346,"MTG_GEN_CPR_12M","20090331","20090331","Dts=H")</f>
        <v>#N/A Invalid Field</v>
      </c>
      <c r="H346" t="str" cm="1">
        <f t="array" ref="H346">_xll.BDH($D346,"MTG_GEN_CPR_3M","20090610","20090610","Dts=H")</f>
        <v>#N/A Invalid Field</v>
      </c>
      <c r="I346" t="str" cm="1">
        <f t="array" ref="I346">_xll.BDH($D346,"MTG_GEN_CPR_6M","20090610","20090610","Dts=H")</f>
        <v>#N/A Invalid Field</v>
      </c>
      <c r="J346" t="str" cm="1">
        <f t="array" ref="J346">_xll.BDH($D346,"MTG_GEN_CPR_12M","20090610","20090610","Dts=H")</f>
        <v>#N/A Invalid Field</v>
      </c>
      <c r="K346" t="str" cm="1">
        <f t="array" ref="K346">_xll.BDP(D346,"MTG_PREPAY_TYP")</f>
        <v>PSA</v>
      </c>
      <c r="L346" cm="1">
        <f t="array" ref="L346">_xll.BDP(D346,"MTG_PREPAY_SPEED")</f>
        <v>115</v>
      </c>
      <c r="M346" cm="1">
        <f t="array" ref="M346">_xll.BDP(D346,"MTG_PL_PSA_1M ")</f>
        <v>57.8</v>
      </c>
      <c r="N346" cm="1">
        <f t="array" ref="N346">_xll.BDP(D346,"MTG_PL_PSA_3M ")</f>
        <v>72.400000000000006</v>
      </c>
      <c r="O346" cm="1">
        <f t="array" ref="O346">_xll.BDP(D346,"MTG_PL_PSA_6M ")</f>
        <v>58.9</v>
      </c>
    </row>
    <row r="347" spans="1:15" x14ac:dyDescent="0.25">
      <c r="A347" t="s">
        <v>1053</v>
      </c>
      <c r="B347" t="s">
        <v>1054</v>
      </c>
      <c r="C347" t="s">
        <v>100</v>
      </c>
      <c r="D347" t="s">
        <v>1055</v>
      </c>
      <c r="E347" t="str" cm="1">
        <f t="array" ref="E347">_xll.BDH($D347,"MTG_GEN_CPR_3M","20090331","20090331","Dts=H")</f>
        <v>#N/A Invalid Field</v>
      </c>
      <c r="F347" t="str" cm="1">
        <f t="array" ref="F347">_xll.BDH($D347,"MTG_GEN_CPR_6M","20090331","20090331","Dts=H")</f>
        <v>#N/A Invalid Field</v>
      </c>
      <c r="G347" t="str" cm="1">
        <f t="array" ref="G347">_xll.BDH($D347,"MTG_GEN_CPR_12M","20090331","20090331","Dts=H")</f>
        <v>#N/A Invalid Field</v>
      </c>
      <c r="H347" t="str" cm="1">
        <f t="array" ref="H347">_xll.BDH($D347,"MTG_GEN_CPR_3M","20090610","20090610","Dts=H")</f>
        <v>#N/A Invalid Field</v>
      </c>
      <c r="I347" t="str" cm="1">
        <f t="array" ref="I347">_xll.BDH($D347,"MTG_GEN_CPR_6M","20090610","20090610","Dts=H")</f>
        <v>#N/A Invalid Field</v>
      </c>
      <c r="J347" t="str" cm="1">
        <f t="array" ref="J347">_xll.BDH($D347,"MTG_GEN_CPR_12M","20090610","20090610","Dts=H")</f>
        <v>#N/A Invalid Field</v>
      </c>
      <c r="K347" t="str" cm="1">
        <f t="array" ref="K347">_xll.BDP(D347,"MTG_PREPAY_TYP")</f>
        <v>CPR</v>
      </c>
      <c r="L347" cm="1">
        <f t="array" ref="L347">_xll.BDP(D347,"MTG_PREPAY_SPEED")</f>
        <v>40.44</v>
      </c>
      <c r="M347" cm="1">
        <f t="array" ref="M347">_xll.BDP(D347,"MTG_PL_PSA_1M ")</f>
        <v>34.299999999999997</v>
      </c>
      <c r="N347" cm="1">
        <f t="array" ref="N347">_xll.BDP(D347,"MTG_PL_PSA_3M ")</f>
        <v>34.9</v>
      </c>
      <c r="O347" cm="1">
        <f t="array" ref="O347">_xll.BDP(D347,"MTG_PL_PSA_6M ")</f>
        <v>674</v>
      </c>
    </row>
    <row r="348" spans="1:15" x14ac:dyDescent="0.25">
      <c r="A348" t="s">
        <v>1056</v>
      </c>
      <c r="B348" t="s">
        <v>1057</v>
      </c>
      <c r="C348" t="s">
        <v>100</v>
      </c>
      <c r="D348" t="s">
        <v>1058</v>
      </c>
      <c r="E348" t="str" cm="1">
        <f t="array" ref="E348">_xll.BDH($D348,"MTG_GEN_CPR_3M","20090331","20090331","Dts=H")</f>
        <v>#N/A Invalid Field</v>
      </c>
      <c r="F348" t="str" cm="1">
        <f t="array" ref="F348">_xll.BDH($D348,"MTG_GEN_CPR_6M","20090331","20090331","Dts=H")</f>
        <v>#N/A Invalid Field</v>
      </c>
      <c r="G348" t="str" cm="1">
        <f t="array" ref="G348">_xll.BDH($D348,"MTG_GEN_CPR_12M","20090331","20090331","Dts=H")</f>
        <v>#N/A Invalid Field</v>
      </c>
      <c r="H348" t="str" cm="1">
        <f t="array" ref="H348">_xll.BDH($D348,"MTG_GEN_CPR_3M","20090610","20090610","Dts=H")</f>
        <v>#N/A Invalid Field</v>
      </c>
      <c r="I348" t="str" cm="1">
        <f t="array" ref="I348">_xll.BDH($D348,"MTG_GEN_CPR_6M","20090610","20090610","Dts=H")</f>
        <v>#N/A Invalid Field</v>
      </c>
      <c r="J348" t="str" cm="1">
        <f t="array" ref="J348">_xll.BDH($D348,"MTG_GEN_CPR_12M","20090610","20090610","Dts=H")</f>
        <v>#N/A Invalid Field</v>
      </c>
      <c r="K348" t="str" cm="1">
        <f t="array" ref="K348">_xll.BDP(D348,"MTG_PREPAY_TYP")</f>
        <v>PSA</v>
      </c>
      <c r="L348" cm="1">
        <f t="array" ref="L348">_xll.BDP(D348,"MTG_PREPAY_SPEED")</f>
        <v>169</v>
      </c>
      <c r="M348" cm="1">
        <f t="array" ref="M348">_xll.BDP(D348,"MTG_PL_PSA_1M ")</f>
        <v>82.7</v>
      </c>
      <c r="N348" cm="1">
        <f t="array" ref="N348">_xll.BDP(D348,"MTG_PL_PSA_3M ")</f>
        <v>82</v>
      </c>
      <c r="O348" cm="1">
        <f t="array" ref="O348">_xll.BDP(D348,"MTG_PL_PSA_6M ")</f>
        <v>83.3</v>
      </c>
    </row>
    <row r="349" spans="1:15" x14ac:dyDescent="0.25">
      <c r="A349" t="s">
        <v>1059</v>
      </c>
      <c r="B349" t="s">
        <v>1060</v>
      </c>
      <c r="C349" t="s">
        <v>100</v>
      </c>
      <c r="D349" t="s">
        <v>1061</v>
      </c>
      <c r="E349" t="str" cm="1">
        <f t="array" ref="E349">_xll.BDH($D349,"MTG_GEN_CPR_3M","20090331","20090331","Dts=H")</f>
        <v>#N/A Invalid Field</v>
      </c>
      <c r="F349" t="str" cm="1">
        <f t="array" ref="F349">_xll.BDH($D349,"MTG_GEN_CPR_6M","20090331","20090331","Dts=H")</f>
        <v>#N/A Invalid Field</v>
      </c>
      <c r="G349" t="str" cm="1">
        <f t="array" ref="G349">_xll.BDH($D349,"MTG_GEN_CPR_12M","20090331","20090331","Dts=H")</f>
        <v>#N/A Invalid Field</v>
      </c>
      <c r="H349" t="str" cm="1">
        <f t="array" ref="H349">_xll.BDH($D349,"MTG_GEN_CPR_3M","20090610","20090610","Dts=H")</f>
        <v>#N/A Invalid Field</v>
      </c>
      <c r="I349" t="str" cm="1">
        <f t="array" ref="I349">_xll.BDH($D349,"MTG_GEN_CPR_6M","20090610","20090610","Dts=H")</f>
        <v>#N/A Invalid Field</v>
      </c>
      <c r="J349" t="str" cm="1">
        <f t="array" ref="J349">_xll.BDH($D349,"MTG_GEN_CPR_12M","20090610","20090610","Dts=H")</f>
        <v>#N/A Invalid Field</v>
      </c>
      <c r="K349" t="str" cm="1">
        <f t="array" ref="K349">_xll.BDP(D349,"MTG_PREPAY_TYP")</f>
        <v>PSA</v>
      </c>
      <c r="L349" cm="1">
        <f t="array" ref="L349">_xll.BDP(D349,"MTG_PREPAY_SPEED")</f>
        <v>203</v>
      </c>
      <c r="M349" cm="1">
        <f t="array" ref="M349">_xll.BDP(D349,"MTG_PL_PSA_1M ")</f>
        <v>0</v>
      </c>
      <c r="N349" cm="1">
        <f t="array" ref="N349">_xll.BDP(D349,"MTG_PL_PSA_3M ")</f>
        <v>0</v>
      </c>
      <c r="O349" cm="1">
        <f t="array" ref="O349">_xll.BDP(D349,"MTG_PL_PSA_6M ")</f>
        <v>0</v>
      </c>
    </row>
    <row r="350" spans="1:15" x14ac:dyDescent="0.25">
      <c r="A350" t="s">
        <v>1062</v>
      </c>
      <c r="B350" t="s">
        <v>1063</v>
      </c>
      <c r="C350" t="s">
        <v>100</v>
      </c>
      <c r="D350" t="s">
        <v>1064</v>
      </c>
      <c r="E350" t="str" cm="1">
        <f t="array" ref="E350">_xll.BDH($D350,"MTG_GEN_CPR_3M","20090331","20090331","Dts=H")</f>
        <v>#N/A Invalid Field</v>
      </c>
      <c r="F350" t="str" cm="1">
        <f t="array" ref="F350">_xll.BDH($D350,"MTG_GEN_CPR_6M","20090331","20090331","Dts=H")</f>
        <v>#N/A Invalid Field</v>
      </c>
      <c r="G350" t="str" cm="1">
        <f t="array" ref="G350">_xll.BDH($D350,"MTG_GEN_CPR_12M","20090331","20090331","Dts=H")</f>
        <v>#N/A Invalid Field</v>
      </c>
      <c r="H350" t="str" cm="1">
        <f t="array" ref="H350">_xll.BDH($D350,"MTG_GEN_CPR_3M","20090610","20090610","Dts=H")</f>
        <v>#N/A Invalid Field</v>
      </c>
      <c r="I350" t="str" cm="1">
        <f t="array" ref="I350">_xll.BDH($D350,"MTG_GEN_CPR_6M","20090610","20090610","Dts=H")</f>
        <v>#N/A Invalid Field</v>
      </c>
      <c r="J350" t="str" cm="1">
        <f t="array" ref="J350">_xll.BDH($D350,"MTG_GEN_CPR_12M","20090610","20090610","Dts=H")</f>
        <v>#N/A Invalid Field</v>
      </c>
      <c r="K350" t="str" cm="1">
        <f t="array" ref="K350">_xll.BDP(D350,"MTG_PREPAY_TYP")</f>
        <v>PSA</v>
      </c>
      <c r="L350" cm="1">
        <f t="array" ref="L350">_xll.BDP(D350,"MTG_PREPAY_SPEED")</f>
        <v>169</v>
      </c>
      <c r="M350" cm="1">
        <f t="array" ref="M350">_xll.BDP(D350,"MTG_PL_PSA_1M ")</f>
        <v>3.1</v>
      </c>
      <c r="N350" cm="1">
        <f t="array" ref="N350">_xll.BDP(D350,"MTG_PL_PSA_3M ")</f>
        <v>3</v>
      </c>
      <c r="O350" cm="1">
        <f t="array" ref="O350">_xll.BDP(D350,"MTG_PL_PSA_6M ")</f>
        <v>2.8</v>
      </c>
    </row>
    <row r="351" spans="1:15" x14ac:dyDescent="0.25">
      <c r="A351" t="s">
        <v>1065</v>
      </c>
      <c r="B351" t="s">
        <v>1066</v>
      </c>
      <c r="C351" t="s">
        <v>100</v>
      </c>
      <c r="D351" t="s">
        <v>1067</v>
      </c>
      <c r="E351" t="str" cm="1">
        <f t="array" ref="E351">_xll.BDH($D351,"MTG_GEN_CPR_3M","20090331","20090331","Dts=H")</f>
        <v>#N/A Invalid Field</v>
      </c>
      <c r="F351" t="str" cm="1">
        <f t="array" ref="F351">_xll.BDH($D351,"MTG_GEN_CPR_6M","20090331","20090331","Dts=H")</f>
        <v>#N/A Invalid Field</v>
      </c>
      <c r="G351" t="str" cm="1">
        <f t="array" ref="G351">_xll.BDH($D351,"MTG_GEN_CPR_12M","20090331","20090331","Dts=H")</f>
        <v>#N/A Invalid Field</v>
      </c>
      <c r="H351" t="str" cm="1">
        <f t="array" ref="H351">_xll.BDH($D351,"MTG_GEN_CPR_3M","20090610","20090610","Dts=H")</f>
        <v>#N/A Invalid Field</v>
      </c>
      <c r="I351" t="str" cm="1">
        <f t="array" ref="I351">_xll.BDH($D351,"MTG_GEN_CPR_6M","20090610","20090610","Dts=H")</f>
        <v>#N/A Invalid Field</v>
      </c>
      <c r="J351" t="str" cm="1">
        <f t="array" ref="J351">_xll.BDH($D351,"MTG_GEN_CPR_12M","20090610","20090610","Dts=H")</f>
        <v>#N/A Invalid Field</v>
      </c>
      <c r="K351" t="str" cm="1">
        <f t="array" ref="K351">_xll.BDP(D351,"MTG_PREPAY_TYP")</f>
        <v>PSA</v>
      </c>
      <c r="L351" cm="1">
        <f t="array" ref="L351">_xll.BDP(D351,"MTG_PREPAY_SPEED")</f>
        <v>169</v>
      </c>
      <c r="M351" cm="1">
        <f t="array" ref="M351">_xll.BDP(D351,"MTG_PL_PSA_1M ")</f>
        <v>1</v>
      </c>
      <c r="N351" cm="1">
        <f t="array" ref="N351">_xll.BDP(D351,"MTG_PL_PSA_3M ")</f>
        <v>1</v>
      </c>
      <c r="O351" cm="1">
        <f t="array" ref="O351">_xll.BDP(D351,"MTG_PL_PSA_6M ")</f>
        <v>0.9</v>
      </c>
    </row>
    <row r="352" spans="1:15" x14ac:dyDescent="0.25">
      <c r="A352" t="s">
        <v>1068</v>
      </c>
      <c r="B352" t="s">
        <v>1069</v>
      </c>
      <c r="C352" t="s">
        <v>100</v>
      </c>
      <c r="D352" t="s">
        <v>1070</v>
      </c>
      <c r="E352" t="str" cm="1">
        <f t="array" ref="E352">_xll.BDH($D352,"MTG_GEN_CPR_3M","20090331","20090331","Dts=H")</f>
        <v>#N/A Invalid Field</v>
      </c>
      <c r="F352" t="str" cm="1">
        <f t="array" ref="F352">_xll.BDH($D352,"MTG_GEN_CPR_6M","20090331","20090331","Dts=H")</f>
        <v>#N/A Invalid Field</v>
      </c>
      <c r="G352" t="str" cm="1">
        <f t="array" ref="G352">_xll.BDH($D352,"MTG_GEN_CPR_12M","20090331","20090331","Dts=H")</f>
        <v>#N/A Invalid Field</v>
      </c>
      <c r="H352" t="str" cm="1">
        <f t="array" ref="H352">_xll.BDH($D352,"MTG_GEN_CPR_3M","20090610","20090610","Dts=H")</f>
        <v>#N/A Invalid Field</v>
      </c>
      <c r="I352" t="str" cm="1">
        <f t="array" ref="I352">_xll.BDH($D352,"MTG_GEN_CPR_6M","20090610","20090610","Dts=H")</f>
        <v>#N/A Invalid Field</v>
      </c>
      <c r="J352" t="str" cm="1">
        <f t="array" ref="J352">_xll.BDH($D352,"MTG_GEN_CPR_12M","20090610","20090610","Dts=H")</f>
        <v>#N/A Invalid Field</v>
      </c>
      <c r="K352" t="str" cm="1">
        <f t="array" ref="K352">_xll.BDP(D352,"MTG_PREPAY_TYP")</f>
        <v>#N/A N/A</v>
      </c>
      <c r="L352" t="str" cm="1">
        <f t="array" ref="L352">_xll.BDP(D352,"MTG_PREPAY_SPEED")</f>
        <v>#N/A N/A</v>
      </c>
      <c r="M352" cm="1">
        <f t="array" ref="M352">_xll.BDP(D352,"MTG_PL_PSA_1M ")</f>
        <v>1666.7</v>
      </c>
      <c r="N352" cm="1">
        <f t="array" ref="N352">_xll.BDP(D352,"MTG_PL_PSA_3M ")</f>
        <v>1666.7</v>
      </c>
      <c r="O352" cm="1">
        <f t="array" ref="O352">_xll.BDP(D352,"MTG_PL_PSA_6M ")</f>
        <v>1666.7</v>
      </c>
    </row>
    <row r="353" spans="1:15" x14ac:dyDescent="0.25">
      <c r="A353" t="s">
        <v>1071</v>
      </c>
      <c r="B353" t="s">
        <v>1072</v>
      </c>
      <c r="C353" t="s">
        <v>100</v>
      </c>
      <c r="D353" t="s">
        <v>1073</v>
      </c>
      <c r="E353" t="str" cm="1">
        <f t="array" ref="E353">_xll.BDH($D353,"MTG_GEN_CPR_3M","20090331","20090331","Dts=H")</f>
        <v>#N/A Invalid Field</v>
      </c>
      <c r="F353" t="str" cm="1">
        <f t="array" ref="F353">_xll.BDH($D353,"MTG_GEN_CPR_6M","20090331","20090331","Dts=H")</f>
        <v>#N/A Invalid Field</v>
      </c>
      <c r="G353" t="str" cm="1">
        <f t="array" ref="G353">_xll.BDH($D353,"MTG_GEN_CPR_12M","20090331","20090331","Dts=H")</f>
        <v>#N/A Invalid Field</v>
      </c>
      <c r="H353" t="str" cm="1">
        <f t="array" ref="H353">_xll.BDH($D353,"MTG_GEN_CPR_3M","20090610","20090610","Dts=H")</f>
        <v>#N/A Invalid Field</v>
      </c>
      <c r="I353" t="str" cm="1">
        <f t="array" ref="I353">_xll.BDH($D353,"MTG_GEN_CPR_6M","20090610","20090610","Dts=H")</f>
        <v>#N/A Invalid Field</v>
      </c>
      <c r="J353" t="str" cm="1">
        <f t="array" ref="J353">_xll.BDH($D353,"MTG_GEN_CPR_12M","20090610","20090610","Dts=H")</f>
        <v>#N/A Invalid Field</v>
      </c>
      <c r="K353" t="str" cm="1">
        <f t="array" ref="K353">_xll.BDP(D353,"MTG_PREPAY_TYP")</f>
        <v>PSA</v>
      </c>
      <c r="L353" cm="1">
        <f t="array" ref="L353">_xll.BDP(D353,"MTG_PREPAY_SPEED")</f>
        <v>182</v>
      </c>
      <c r="M353" cm="1">
        <f t="array" ref="M353">_xll.BDP(D353,"MTG_PL_PSA_1M ")</f>
        <v>0</v>
      </c>
      <c r="N353" cm="1">
        <f t="array" ref="N353">_xll.BDP(D353,"MTG_PL_PSA_3M ")</f>
        <v>0</v>
      </c>
      <c r="O353" cm="1">
        <f t="array" ref="O353">_xll.BDP(D353,"MTG_PL_PSA_6M ")</f>
        <v>0</v>
      </c>
    </row>
    <row r="354" spans="1:15" x14ac:dyDescent="0.25">
      <c r="A354" t="s">
        <v>1074</v>
      </c>
      <c r="B354" t="s">
        <v>1075</v>
      </c>
      <c r="C354" t="s">
        <v>100</v>
      </c>
      <c r="D354" t="s">
        <v>1076</v>
      </c>
      <c r="E354" t="str" cm="1">
        <f t="array" ref="E354">_xll.BDH($D354,"MTG_GEN_CPR_3M","20090331","20090331","Dts=H")</f>
        <v>#N/A Invalid Field</v>
      </c>
      <c r="F354" t="str" cm="1">
        <f t="array" ref="F354">_xll.BDH($D354,"MTG_GEN_CPR_6M","20090331","20090331","Dts=H")</f>
        <v>#N/A Invalid Field</v>
      </c>
      <c r="G354" t="str" cm="1">
        <f t="array" ref="G354">_xll.BDH($D354,"MTG_GEN_CPR_12M","20090331","20090331","Dts=H")</f>
        <v>#N/A Invalid Field</v>
      </c>
      <c r="H354" t="str" cm="1">
        <f t="array" ref="H354">_xll.BDH($D354,"MTG_GEN_CPR_3M","20090610","20090610","Dts=H")</f>
        <v>#N/A Invalid Field</v>
      </c>
      <c r="I354" t="str" cm="1">
        <f t="array" ref="I354">_xll.BDH($D354,"MTG_GEN_CPR_6M","20090610","20090610","Dts=H")</f>
        <v>#N/A Invalid Field</v>
      </c>
      <c r="J354" t="str" cm="1">
        <f t="array" ref="J354">_xll.BDH($D354,"MTG_GEN_CPR_12M","20090610","20090610","Dts=H")</f>
        <v>#N/A Invalid Field</v>
      </c>
      <c r="K354" t="str" cm="1">
        <f t="array" ref="K354">_xll.BDP(D354,"MTG_PREPAY_TYP")</f>
        <v>PSA</v>
      </c>
      <c r="L354" cm="1">
        <f t="array" ref="L354">_xll.BDP(D354,"MTG_PREPAY_SPEED")</f>
        <v>169</v>
      </c>
      <c r="M354" cm="1">
        <f t="array" ref="M354">_xll.BDP(D354,"MTG_PL_PSA_1M ")</f>
        <v>50.5</v>
      </c>
      <c r="N354" cm="1">
        <f t="array" ref="N354">_xll.BDP(D354,"MTG_PL_PSA_3M ")</f>
        <v>50.8</v>
      </c>
      <c r="O354" cm="1">
        <f t="array" ref="O354">_xll.BDP(D354,"MTG_PL_PSA_6M ")</f>
        <v>49.8</v>
      </c>
    </row>
    <row r="355" spans="1:15" x14ac:dyDescent="0.25">
      <c r="A355" t="s">
        <v>1077</v>
      </c>
      <c r="B355" t="s">
        <v>1078</v>
      </c>
      <c r="C355" t="s">
        <v>100</v>
      </c>
      <c r="D355" t="s">
        <v>1079</v>
      </c>
      <c r="E355" t="str" cm="1">
        <f t="array" ref="E355">_xll.BDH($D355,"MTG_GEN_CPR_3M","20090331","20090331","Dts=H")</f>
        <v>#N/A Invalid Field</v>
      </c>
      <c r="F355" t="str" cm="1">
        <f t="array" ref="F355">_xll.BDH($D355,"MTG_GEN_CPR_6M","20090331","20090331","Dts=H")</f>
        <v>#N/A Invalid Field</v>
      </c>
      <c r="G355" t="str" cm="1">
        <f t="array" ref="G355">_xll.BDH($D355,"MTG_GEN_CPR_12M","20090331","20090331","Dts=H")</f>
        <v>#N/A Invalid Field</v>
      </c>
      <c r="H355" t="str" cm="1">
        <f t="array" ref="H355">_xll.BDH($D355,"MTG_GEN_CPR_3M","20090610","20090610","Dts=H")</f>
        <v>#N/A Invalid Field</v>
      </c>
      <c r="I355" t="str" cm="1">
        <f t="array" ref="I355">_xll.BDH($D355,"MTG_GEN_CPR_6M","20090610","20090610","Dts=H")</f>
        <v>#N/A Invalid Field</v>
      </c>
      <c r="J355" t="str" cm="1">
        <f t="array" ref="J355">_xll.BDH($D355,"MTG_GEN_CPR_12M","20090610","20090610","Dts=H")</f>
        <v>#N/A Invalid Field</v>
      </c>
      <c r="K355" t="str" cm="1">
        <f t="array" ref="K355">_xll.BDP(D355,"MTG_PREPAY_TYP")</f>
        <v>#N/A N/A</v>
      </c>
      <c r="L355" t="str" cm="1">
        <f t="array" ref="L355">_xll.BDP(D355,"MTG_PREPAY_SPEED")</f>
        <v>#N/A N/A</v>
      </c>
      <c r="M355" cm="1">
        <f t="array" ref="M355">_xll.BDP(D355,"MTG_PL_PSA_1M ")</f>
        <v>1666.7</v>
      </c>
      <c r="N355" cm="1">
        <f t="array" ref="N355">_xll.BDP(D355,"MTG_PL_PSA_3M ")</f>
        <v>1666.7</v>
      </c>
      <c r="O355" cm="1">
        <f t="array" ref="O355">_xll.BDP(D355,"MTG_PL_PSA_6M ")</f>
        <v>1666.7</v>
      </c>
    </row>
    <row r="356" spans="1:15" x14ac:dyDescent="0.25">
      <c r="A356" t="s">
        <v>1080</v>
      </c>
      <c r="B356" t="s">
        <v>1081</v>
      </c>
      <c r="C356" t="s">
        <v>100</v>
      </c>
      <c r="D356" t="s">
        <v>1082</v>
      </c>
      <c r="E356" t="str" cm="1">
        <f t="array" ref="E356">_xll.BDH($D356,"MTG_GEN_CPR_3M","20090331","20090331","Dts=H")</f>
        <v>#N/A Invalid Field</v>
      </c>
      <c r="F356" t="str" cm="1">
        <f t="array" ref="F356">_xll.BDH($D356,"MTG_GEN_CPR_6M","20090331","20090331","Dts=H")</f>
        <v>#N/A Invalid Field</v>
      </c>
      <c r="G356" t="str" cm="1">
        <f t="array" ref="G356">_xll.BDH($D356,"MTG_GEN_CPR_12M","20090331","20090331","Dts=H")</f>
        <v>#N/A Invalid Field</v>
      </c>
      <c r="H356" t="str" cm="1">
        <f t="array" ref="H356">_xll.BDH($D356,"MTG_GEN_CPR_3M","20090610","20090610","Dts=H")</f>
        <v>#N/A Invalid Field</v>
      </c>
      <c r="I356" t="str" cm="1">
        <f t="array" ref="I356">_xll.BDH($D356,"MTG_GEN_CPR_6M","20090610","20090610","Dts=H")</f>
        <v>#N/A Invalid Field</v>
      </c>
      <c r="J356" t="str" cm="1">
        <f t="array" ref="J356">_xll.BDH($D356,"MTG_GEN_CPR_12M","20090610","20090610","Dts=H")</f>
        <v>#N/A Invalid Field</v>
      </c>
      <c r="K356" t="str" cm="1">
        <f t="array" ref="K356">_xll.BDP(D356,"MTG_PREPAY_TYP")</f>
        <v>PSA</v>
      </c>
      <c r="L356" cm="1">
        <f t="array" ref="L356">_xll.BDP(D356,"MTG_PREPAY_SPEED")</f>
        <v>169</v>
      </c>
      <c r="M356" cm="1">
        <f t="array" ref="M356">_xll.BDP(D356,"MTG_PL_PSA_1M ")</f>
        <v>42.2</v>
      </c>
      <c r="N356" cm="1">
        <f t="array" ref="N356">_xll.BDP(D356,"MTG_PL_PSA_3M ")</f>
        <v>80.900000000000006</v>
      </c>
      <c r="O356" cm="1">
        <f t="array" ref="O356">_xll.BDP(D356,"MTG_PL_PSA_6M ")</f>
        <v>180.2</v>
      </c>
    </row>
    <row r="357" spans="1:15" x14ac:dyDescent="0.25">
      <c r="A357" t="s">
        <v>1083</v>
      </c>
      <c r="B357" t="s">
        <v>1084</v>
      </c>
      <c r="C357" t="s">
        <v>100</v>
      </c>
      <c r="D357" t="s">
        <v>1085</v>
      </c>
      <c r="E357" t="str" cm="1">
        <f t="array" ref="E357">_xll.BDH($D357,"MTG_GEN_CPR_3M","20090331","20090331","Dts=H")</f>
        <v>#N/A Invalid Field</v>
      </c>
      <c r="F357" t="str" cm="1">
        <f t="array" ref="F357">_xll.BDH($D357,"MTG_GEN_CPR_6M","20090331","20090331","Dts=H")</f>
        <v>#N/A Invalid Field</v>
      </c>
      <c r="G357" t="str" cm="1">
        <f t="array" ref="G357">_xll.BDH($D357,"MTG_GEN_CPR_12M","20090331","20090331","Dts=H")</f>
        <v>#N/A Invalid Field</v>
      </c>
      <c r="H357" t="str" cm="1">
        <f t="array" ref="H357">_xll.BDH($D357,"MTG_GEN_CPR_3M","20090610","20090610","Dts=H")</f>
        <v>#N/A Invalid Field</v>
      </c>
      <c r="I357" t="str" cm="1">
        <f t="array" ref="I357">_xll.BDH($D357,"MTG_GEN_CPR_6M","20090610","20090610","Dts=H")</f>
        <v>#N/A Invalid Field</v>
      </c>
      <c r="J357" t="str" cm="1">
        <f t="array" ref="J357">_xll.BDH($D357,"MTG_GEN_CPR_12M","20090610","20090610","Dts=H")</f>
        <v>#N/A Invalid Field</v>
      </c>
      <c r="K357" t="str" cm="1">
        <f t="array" ref="K357">_xll.BDP(D357,"MTG_PREPAY_TYP")</f>
        <v>PSA</v>
      </c>
      <c r="L357" cm="1">
        <f t="array" ref="L357">_xll.BDP(D357,"MTG_PREPAY_SPEED")</f>
        <v>169</v>
      </c>
      <c r="M357" cm="1">
        <f t="array" ref="M357">_xll.BDP(D357,"MTG_PL_PSA_1M ")</f>
        <v>35.299999999999997</v>
      </c>
      <c r="N357" cm="1">
        <f t="array" ref="N357">_xll.BDP(D357,"MTG_PL_PSA_3M ")</f>
        <v>34.700000000000003</v>
      </c>
      <c r="O357" cm="1">
        <f t="array" ref="O357">_xll.BDP(D357,"MTG_PL_PSA_6M ")</f>
        <v>39.4</v>
      </c>
    </row>
    <row r="358" spans="1:15" x14ac:dyDescent="0.25">
      <c r="A358" t="s">
        <v>1086</v>
      </c>
      <c r="B358" t="s">
        <v>1087</v>
      </c>
      <c r="C358" t="s">
        <v>100</v>
      </c>
      <c r="D358" t="s">
        <v>1088</v>
      </c>
      <c r="E358" t="str" cm="1">
        <f t="array" ref="E358">_xll.BDH($D358,"MTG_GEN_CPR_3M","20090331","20090331","Dts=H")</f>
        <v>#N/A Invalid Field</v>
      </c>
      <c r="F358" t="str" cm="1">
        <f t="array" ref="F358">_xll.BDH($D358,"MTG_GEN_CPR_6M","20090331","20090331","Dts=H")</f>
        <v>#N/A Invalid Field</v>
      </c>
      <c r="G358" t="str" cm="1">
        <f t="array" ref="G358">_xll.BDH($D358,"MTG_GEN_CPR_12M","20090331","20090331","Dts=H")</f>
        <v>#N/A Invalid Field</v>
      </c>
      <c r="H358" t="str" cm="1">
        <f t="array" ref="H358">_xll.BDH($D358,"MTG_GEN_CPR_3M","20090610","20090610","Dts=H")</f>
        <v>#N/A Invalid Field</v>
      </c>
      <c r="I358" t="str" cm="1">
        <f t="array" ref="I358">_xll.BDH($D358,"MTG_GEN_CPR_6M","20090610","20090610","Dts=H")</f>
        <v>#N/A Invalid Field</v>
      </c>
      <c r="J358" t="str" cm="1">
        <f t="array" ref="J358">_xll.BDH($D358,"MTG_GEN_CPR_12M","20090610","20090610","Dts=H")</f>
        <v>#N/A Invalid Field</v>
      </c>
      <c r="K358" t="str" cm="1">
        <f t="array" ref="K358">_xll.BDP(D358,"MTG_PREPAY_TYP")</f>
        <v>PSA</v>
      </c>
      <c r="L358" cm="1">
        <f t="array" ref="L358">_xll.BDP(D358,"MTG_PREPAY_SPEED")</f>
        <v>182</v>
      </c>
      <c r="M358" cm="1">
        <f t="array" ref="M358">_xll.BDP(D358,"MTG_PL_PSA_1M ")</f>
        <v>72.2</v>
      </c>
      <c r="N358" cm="1">
        <f t="array" ref="N358">_xll.BDP(D358,"MTG_PL_PSA_3M ")</f>
        <v>71.8</v>
      </c>
      <c r="O358" cm="1">
        <f t="array" ref="O358">_xll.BDP(D358,"MTG_PL_PSA_6M ")</f>
        <v>67</v>
      </c>
    </row>
    <row r="359" spans="1:15" x14ac:dyDescent="0.25">
      <c r="A359" t="s">
        <v>1089</v>
      </c>
      <c r="B359" t="s">
        <v>1090</v>
      </c>
      <c r="C359" t="s">
        <v>100</v>
      </c>
      <c r="D359" t="s">
        <v>1091</v>
      </c>
      <c r="E359" t="str" cm="1">
        <f t="array" ref="E359">_xll.BDH($D359,"MTG_GEN_CPR_3M","20090331","20090331","Dts=H")</f>
        <v>#N/A Invalid Field</v>
      </c>
      <c r="F359" t="str" cm="1">
        <f t="array" ref="F359">_xll.BDH($D359,"MTG_GEN_CPR_6M","20090331","20090331","Dts=H")</f>
        <v>#N/A Invalid Field</v>
      </c>
      <c r="G359" t="str" cm="1">
        <f t="array" ref="G359">_xll.BDH($D359,"MTG_GEN_CPR_12M","20090331","20090331","Dts=H")</f>
        <v>#N/A Invalid Field</v>
      </c>
      <c r="H359" t="str" cm="1">
        <f t="array" ref="H359">_xll.BDH($D359,"MTG_GEN_CPR_3M","20090610","20090610","Dts=H")</f>
        <v>#N/A Invalid Field</v>
      </c>
      <c r="I359" t="str" cm="1">
        <f t="array" ref="I359">_xll.BDH($D359,"MTG_GEN_CPR_6M","20090610","20090610","Dts=H")</f>
        <v>#N/A Invalid Field</v>
      </c>
      <c r="J359" t="str" cm="1">
        <f t="array" ref="J359">_xll.BDH($D359,"MTG_GEN_CPR_12M","20090610","20090610","Dts=H")</f>
        <v>#N/A Invalid Field</v>
      </c>
      <c r="K359" t="str" cm="1">
        <f t="array" ref="K359">_xll.BDP(D359,"MTG_PREPAY_TYP")</f>
        <v>PSA</v>
      </c>
      <c r="L359" cm="1">
        <f t="array" ref="L359">_xll.BDP(D359,"MTG_PREPAY_SPEED")</f>
        <v>203</v>
      </c>
      <c r="M359" cm="1">
        <f t="array" ref="M359">_xll.BDP(D359,"MTG_PL_PSA_1M ")</f>
        <v>0</v>
      </c>
      <c r="N359" cm="1">
        <f t="array" ref="N359">_xll.BDP(D359,"MTG_PL_PSA_3M ")</f>
        <v>0</v>
      </c>
      <c r="O359" cm="1">
        <f t="array" ref="O359">_xll.BDP(D359,"MTG_PL_PSA_6M ")</f>
        <v>0</v>
      </c>
    </row>
    <row r="360" spans="1:15" x14ac:dyDescent="0.25">
      <c r="A360" t="s">
        <v>1092</v>
      </c>
      <c r="B360" t="s">
        <v>1093</v>
      </c>
      <c r="C360" t="s">
        <v>100</v>
      </c>
      <c r="D360" t="s">
        <v>1094</v>
      </c>
      <c r="E360" t="str" cm="1">
        <f t="array" ref="E360">_xll.BDH($D360,"MTG_GEN_CPR_3M","20090331","20090331","Dts=H")</f>
        <v>#N/A Invalid Field</v>
      </c>
      <c r="F360" t="str" cm="1">
        <f t="array" ref="F360">_xll.BDH($D360,"MTG_GEN_CPR_6M","20090331","20090331","Dts=H")</f>
        <v>#N/A Invalid Field</v>
      </c>
      <c r="G360" t="str" cm="1">
        <f t="array" ref="G360">_xll.BDH($D360,"MTG_GEN_CPR_12M","20090331","20090331","Dts=H")</f>
        <v>#N/A Invalid Field</v>
      </c>
      <c r="H360" t="str" cm="1">
        <f t="array" ref="H360">_xll.BDH($D360,"MTG_GEN_CPR_3M","20090610","20090610","Dts=H")</f>
        <v>#N/A Invalid Field</v>
      </c>
      <c r="I360" t="str" cm="1">
        <f t="array" ref="I360">_xll.BDH($D360,"MTG_GEN_CPR_6M","20090610","20090610","Dts=H")</f>
        <v>#N/A Invalid Field</v>
      </c>
      <c r="J360" t="str" cm="1">
        <f t="array" ref="J360">_xll.BDH($D360,"MTG_GEN_CPR_12M","20090610","20090610","Dts=H")</f>
        <v>#N/A Invalid Field</v>
      </c>
      <c r="K360" t="str" cm="1">
        <f t="array" ref="K360">_xll.BDP(D360,"MTG_PREPAY_TYP")</f>
        <v>#N/A N/A</v>
      </c>
      <c r="L360" t="str" cm="1">
        <f t="array" ref="L360">_xll.BDP(D360,"MTG_PREPAY_SPEED")</f>
        <v>#N/A N/A</v>
      </c>
      <c r="M360" cm="1">
        <f t="array" ref="M360">_xll.BDP(D360,"MTG_PL_PSA_1M ")</f>
        <v>1666.7</v>
      </c>
      <c r="N360" cm="1">
        <f t="array" ref="N360">_xll.BDP(D360,"MTG_PL_PSA_3M ")</f>
        <v>1666.7</v>
      </c>
      <c r="O360" cm="1">
        <f t="array" ref="O360">_xll.BDP(D360,"MTG_PL_PSA_6M ")</f>
        <v>1666.7</v>
      </c>
    </row>
    <row r="361" spans="1:15" x14ac:dyDescent="0.25">
      <c r="A361" t="s">
        <v>1095</v>
      </c>
      <c r="B361" t="s">
        <v>1096</v>
      </c>
      <c r="C361" t="s">
        <v>100</v>
      </c>
      <c r="D361" t="s">
        <v>1097</v>
      </c>
      <c r="E361" t="str" cm="1">
        <f t="array" ref="E361">_xll.BDH($D361,"MTG_GEN_CPR_3M","20090331","20090331","Dts=H")</f>
        <v>#N/A Invalid Field</v>
      </c>
      <c r="F361" t="str" cm="1">
        <f t="array" ref="F361">_xll.BDH($D361,"MTG_GEN_CPR_6M","20090331","20090331","Dts=H")</f>
        <v>#N/A Invalid Field</v>
      </c>
      <c r="G361" t="str" cm="1">
        <f t="array" ref="G361">_xll.BDH($D361,"MTG_GEN_CPR_12M","20090331","20090331","Dts=H")</f>
        <v>#N/A Invalid Field</v>
      </c>
      <c r="H361" t="str" cm="1">
        <f t="array" ref="H361">_xll.BDH($D361,"MTG_GEN_CPR_3M","20090610","20090610","Dts=H")</f>
        <v>#N/A Invalid Field</v>
      </c>
      <c r="I361" t="str" cm="1">
        <f t="array" ref="I361">_xll.BDH($D361,"MTG_GEN_CPR_6M","20090610","20090610","Dts=H")</f>
        <v>#N/A Invalid Field</v>
      </c>
      <c r="J361" t="str" cm="1">
        <f t="array" ref="J361">_xll.BDH($D361,"MTG_GEN_CPR_12M","20090610","20090610","Dts=H")</f>
        <v>#N/A Invalid Field</v>
      </c>
      <c r="K361" t="str" cm="1">
        <f t="array" ref="K361">_xll.BDP(D361,"MTG_PREPAY_TYP")</f>
        <v>CPR</v>
      </c>
      <c r="L361" cm="1">
        <f t="array" ref="L361">_xll.BDP(D361,"MTG_PREPAY_SPEED")</f>
        <v>0.47</v>
      </c>
      <c r="M361" cm="1">
        <f t="array" ref="M361">_xll.BDP(D361,"MTG_PL_PSA_1M ")</f>
        <v>8.6</v>
      </c>
      <c r="N361" cm="1">
        <f t="array" ref="N361">_xll.BDP(D361,"MTG_PL_PSA_3M ")</f>
        <v>8</v>
      </c>
      <c r="O361" cm="1">
        <f t="array" ref="O361">_xll.BDP(D361,"MTG_PL_PSA_6M ")</f>
        <v>7.8</v>
      </c>
    </row>
    <row r="362" spans="1:15" x14ac:dyDescent="0.25">
      <c r="A362" t="s">
        <v>1098</v>
      </c>
      <c r="B362" t="s">
        <v>1099</v>
      </c>
      <c r="C362" t="s">
        <v>100</v>
      </c>
      <c r="D362" t="s">
        <v>1100</v>
      </c>
      <c r="E362" t="str" cm="1">
        <f t="array" ref="E362">_xll.BDH($D362,"MTG_GEN_CPR_3M","20090331","20090331","Dts=H")</f>
        <v>#N/A Invalid Field</v>
      </c>
      <c r="F362" t="str" cm="1">
        <f t="array" ref="F362">_xll.BDH($D362,"MTG_GEN_CPR_6M","20090331","20090331","Dts=H")</f>
        <v>#N/A Invalid Field</v>
      </c>
      <c r="G362" t="str" cm="1">
        <f t="array" ref="G362">_xll.BDH($D362,"MTG_GEN_CPR_12M","20090331","20090331","Dts=H")</f>
        <v>#N/A Invalid Field</v>
      </c>
      <c r="H362" t="str" cm="1">
        <f t="array" ref="H362">_xll.BDH($D362,"MTG_GEN_CPR_3M","20090610","20090610","Dts=H")</f>
        <v>#N/A Invalid Field</v>
      </c>
      <c r="I362" t="str" cm="1">
        <f t="array" ref="I362">_xll.BDH($D362,"MTG_GEN_CPR_6M","20090610","20090610","Dts=H")</f>
        <v>#N/A Invalid Field</v>
      </c>
      <c r="J362" t="str" cm="1">
        <f t="array" ref="J362">_xll.BDH($D362,"MTG_GEN_CPR_12M","20090610","20090610","Dts=H")</f>
        <v>#N/A Invalid Field</v>
      </c>
      <c r="K362" t="str" cm="1">
        <f t="array" ref="K362">_xll.BDP(D362,"MTG_PREPAY_TYP")</f>
        <v>PSA</v>
      </c>
      <c r="L362" cm="1">
        <f t="array" ref="L362">_xll.BDP(D362,"MTG_PREPAY_SPEED")</f>
        <v>169</v>
      </c>
      <c r="M362" cm="1">
        <f t="array" ref="M362">_xll.BDP(D362,"MTG_PL_PSA_1M ")</f>
        <v>9.8000000000000007</v>
      </c>
      <c r="N362" cm="1">
        <f t="array" ref="N362">_xll.BDP(D362,"MTG_PL_PSA_3M ")</f>
        <v>11.1</v>
      </c>
      <c r="O362" cm="1">
        <f t="array" ref="O362">_xll.BDP(D362,"MTG_PL_PSA_6M ")</f>
        <v>57.7</v>
      </c>
    </row>
    <row r="363" spans="1:15" x14ac:dyDescent="0.25">
      <c r="A363" t="s">
        <v>1101</v>
      </c>
      <c r="B363" t="s">
        <v>1102</v>
      </c>
      <c r="C363" t="s">
        <v>100</v>
      </c>
      <c r="D363" t="s">
        <v>1103</v>
      </c>
      <c r="E363" t="str" cm="1">
        <f t="array" ref="E363">_xll.BDH($D363,"MTG_GEN_CPR_3M","20090331","20090331","Dts=H")</f>
        <v>#N/A Invalid Field</v>
      </c>
      <c r="F363" t="str" cm="1">
        <f t="array" ref="F363">_xll.BDH($D363,"MTG_GEN_CPR_6M","20090331","20090331","Dts=H")</f>
        <v>#N/A Invalid Field</v>
      </c>
      <c r="G363" t="str" cm="1">
        <f t="array" ref="G363">_xll.BDH($D363,"MTG_GEN_CPR_12M","20090331","20090331","Dts=H")</f>
        <v>#N/A Invalid Field</v>
      </c>
      <c r="H363" t="str" cm="1">
        <f t="array" ref="H363">_xll.BDH($D363,"MTG_GEN_CPR_3M","20090610","20090610","Dts=H")</f>
        <v>#N/A Invalid Field</v>
      </c>
      <c r="I363" t="str" cm="1">
        <f t="array" ref="I363">_xll.BDH($D363,"MTG_GEN_CPR_6M","20090610","20090610","Dts=H")</f>
        <v>#N/A Invalid Field</v>
      </c>
      <c r="J363" t="str" cm="1">
        <f t="array" ref="J363">_xll.BDH($D363,"MTG_GEN_CPR_12M","20090610","20090610","Dts=H")</f>
        <v>#N/A Invalid Field</v>
      </c>
      <c r="K363" t="str" cm="1">
        <f t="array" ref="K363">_xll.BDP(D363,"MTG_PREPAY_TYP")</f>
        <v>PSA</v>
      </c>
      <c r="L363" cm="1">
        <f t="array" ref="L363">_xll.BDP(D363,"MTG_PREPAY_SPEED")</f>
        <v>177</v>
      </c>
      <c r="M363" cm="1">
        <f t="array" ref="M363">_xll.BDP(D363,"MTG_PL_PSA_1M ")</f>
        <v>3.4</v>
      </c>
      <c r="N363" cm="1">
        <f t="array" ref="N363">_xll.BDP(D363,"MTG_PL_PSA_3M ")</f>
        <v>3.3</v>
      </c>
      <c r="O363" cm="1">
        <f t="array" ref="O363">_xll.BDP(D363,"MTG_PL_PSA_6M ")</f>
        <v>3.2</v>
      </c>
    </row>
    <row r="364" spans="1:15" x14ac:dyDescent="0.25">
      <c r="A364" t="s">
        <v>1104</v>
      </c>
      <c r="B364" t="s">
        <v>1105</v>
      </c>
      <c r="C364" t="s">
        <v>100</v>
      </c>
      <c r="D364" t="s">
        <v>1106</v>
      </c>
      <c r="E364" t="str" cm="1">
        <f t="array" ref="E364">_xll.BDH($D364,"MTG_GEN_CPR_3M","20090331","20090331","Dts=H")</f>
        <v>#N/A Invalid Field</v>
      </c>
      <c r="F364" t="str" cm="1">
        <f t="array" ref="F364">_xll.BDH($D364,"MTG_GEN_CPR_6M","20090331","20090331","Dts=H")</f>
        <v>#N/A Invalid Field</v>
      </c>
      <c r="G364" t="str" cm="1">
        <f t="array" ref="G364">_xll.BDH($D364,"MTG_GEN_CPR_12M","20090331","20090331","Dts=H")</f>
        <v>#N/A Invalid Field</v>
      </c>
      <c r="H364" t="str" cm="1">
        <f t="array" ref="H364">_xll.BDH($D364,"MTG_GEN_CPR_3M","20090610","20090610","Dts=H")</f>
        <v>#N/A Invalid Field</v>
      </c>
      <c r="I364" t="str" cm="1">
        <f t="array" ref="I364">_xll.BDH($D364,"MTG_GEN_CPR_6M","20090610","20090610","Dts=H")</f>
        <v>#N/A Invalid Field</v>
      </c>
      <c r="J364" t="str" cm="1">
        <f t="array" ref="J364">_xll.BDH($D364,"MTG_GEN_CPR_12M","20090610","20090610","Dts=H")</f>
        <v>#N/A Invalid Field</v>
      </c>
      <c r="K364" t="str" cm="1">
        <f t="array" ref="K364">_xll.BDP(D364,"MTG_PREPAY_TYP")</f>
        <v>#N/A N/A</v>
      </c>
      <c r="L364" t="str" cm="1">
        <f t="array" ref="L364">_xll.BDP(D364,"MTG_PREPAY_SPEED")</f>
        <v>#N/A N/A</v>
      </c>
      <c r="M364" cm="1">
        <f t="array" ref="M364">_xll.BDP(D364,"MTG_PL_PSA_1M ")</f>
        <v>1666.7</v>
      </c>
      <c r="N364" cm="1">
        <f t="array" ref="N364">_xll.BDP(D364,"MTG_PL_PSA_3M ")</f>
        <v>1666.7</v>
      </c>
      <c r="O364" cm="1">
        <f t="array" ref="O364">_xll.BDP(D364,"MTG_PL_PSA_6M ")</f>
        <v>1666.7</v>
      </c>
    </row>
    <row r="365" spans="1:15" x14ac:dyDescent="0.25">
      <c r="A365" t="s">
        <v>1107</v>
      </c>
      <c r="B365" t="s">
        <v>1108</v>
      </c>
      <c r="C365" t="s">
        <v>100</v>
      </c>
      <c r="D365" t="s">
        <v>1109</v>
      </c>
      <c r="E365" t="str" cm="1">
        <f t="array" ref="E365">_xll.BDH($D365,"MTG_GEN_CPR_3M","20090331","20090331","Dts=H")</f>
        <v>#N/A Invalid Field</v>
      </c>
      <c r="F365" t="str" cm="1">
        <f t="array" ref="F365">_xll.BDH($D365,"MTG_GEN_CPR_6M","20090331","20090331","Dts=H")</f>
        <v>#N/A Invalid Field</v>
      </c>
      <c r="G365" t="str" cm="1">
        <f t="array" ref="G365">_xll.BDH($D365,"MTG_GEN_CPR_12M","20090331","20090331","Dts=H")</f>
        <v>#N/A Invalid Field</v>
      </c>
      <c r="H365" t="str" cm="1">
        <f t="array" ref="H365">_xll.BDH($D365,"MTG_GEN_CPR_3M","20090610","20090610","Dts=H")</f>
        <v>#N/A Invalid Field</v>
      </c>
      <c r="I365" t="str" cm="1">
        <f t="array" ref="I365">_xll.BDH($D365,"MTG_GEN_CPR_6M","20090610","20090610","Dts=H")</f>
        <v>#N/A Invalid Field</v>
      </c>
      <c r="J365" t="str" cm="1">
        <f t="array" ref="J365">_xll.BDH($D365,"MTG_GEN_CPR_12M","20090610","20090610","Dts=H")</f>
        <v>#N/A Invalid Field</v>
      </c>
      <c r="K365" t="str" cm="1">
        <f t="array" ref="K365">_xll.BDP(D365,"MTG_PREPAY_TYP")</f>
        <v>#N/A N/A</v>
      </c>
      <c r="L365" t="str" cm="1">
        <f t="array" ref="L365">_xll.BDP(D365,"MTG_PREPAY_SPEED")</f>
        <v>#N/A N/A</v>
      </c>
      <c r="M365" cm="1">
        <f t="array" ref="M365">_xll.BDP(D365,"MTG_PL_PSA_1M ")</f>
        <v>0</v>
      </c>
      <c r="N365" cm="1">
        <f t="array" ref="N365">_xll.BDP(D365,"MTG_PL_PSA_3M ")</f>
        <v>1605.4</v>
      </c>
      <c r="O365" cm="1">
        <f t="array" ref="O365">_xll.BDP(D365,"MTG_PL_PSA_6M ")</f>
        <v>1656.4</v>
      </c>
    </row>
    <row r="366" spans="1:15" x14ac:dyDescent="0.25">
      <c r="A366" t="s">
        <v>1110</v>
      </c>
      <c r="B366" t="s">
        <v>1111</v>
      </c>
      <c r="C366" t="s">
        <v>100</v>
      </c>
      <c r="D366" t="s">
        <v>1112</v>
      </c>
      <c r="E366" t="str" cm="1">
        <f t="array" ref="E366">_xll.BDH($D366,"MTG_GEN_CPR_3M","20090331","20090331","Dts=H")</f>
        <v>#N/A Invalid Field</v>
      </c>
      <c r="F366" t="str" cm="1">
        <f t="array" ref="F366">_xll.BDH($D366,"MTG_GEN_CPR_6M","20090331","20090331","Dts=H")</f>
        <v>#N/A Invalid Field</v>
      </c>
      <c r="G366" t="str" cm="1">
        <f t="array" ref="G366">_xll.BDH($D366,"MTG_GEN_CPR_12M","20090331","20090331","Dts=H")</f>
        <v>#N/A Invalid Field</v>
      </c>
      <c r="H366" t="str" cm="1">
        <f t="array" ref="H366">_xll.BDH($D366,"MTG_GEN_CPR_3M","20090610","20090610","Dts=H")</f>
        <v>#N/A Invalid Field</v>
      </c>
      <c r="I366" t="str" cm="1">
        <f t="array" ref="I366">_xll.BDH($D366,"MTG_GEN_CPR_6M","20090610","20090610","Dts=H")</f>
        <v>#N/A Invalid Field</v>
      </c>
      <c r="J366" t="str" cm="1">
        <f t="array" ref="J366">_xll.BDH($D366,"MTG_GEN_CPR_12M","20090610","20090610","Dts=H")</f>
        <v>#N/A Invalid Field</v>
      </c>
      <c r="K366" t="str" cm="1">
        <f t="array" ref="K366">_xll.BDP(D366,"MTG_PREPAY_TYP")</f>
        <v>PSA</v>
      </c>
      <c r="L366" cm="1">
        <f t="array" ref="L366">_xll.BDP(D366,"MTG_PREPAY_SPEED")</f>
        <v>182</v>
      </c>
      <c r="M366" cm="1">
        <f t="array" ref="M366">_xll.BDP(D366,"MTG_PL_PSA_1M ")</f>
        <v>66.900000000000006</v>
      </c>
      <c r="N366" cm="1">
        <f t="array" ref="N366">_xll.BDP(D366,"MTG_PL_PSA_3M ")</f>
        <v>70.400000000000006</v>
      </c>
      <c r="O366" cm="1">
        <f t="array" ref="O366">_xll.BDP(D366,"MTG_PL_PSA_6M ")</f>
        <v>86.4</v>
      </c>
    </row>
    <row r="367" spans="1:15" x14ac:dyDescent="0.25">
      <c r="A367" t="s">
        <v>1113</v>
      </c>
      <c r="B367" t="s">
        <v>1114</v>
      </c>
      <c r="C367" t="s">
        <v>100</v>
      </c>
      <c r="D367" t="s">
        <v>1115</v>
      </c>
      <c r="E367" t="str" cm="1">
        <f t="array" ref="E367">_xll.BDH($D367,"MTG_GEN_CPR_3M","20090331","20090331","Dts=H")</f>
        <v>#N/A Invalid Field</v>
      </c>
      <c r="F367" t="str" cm="1">
        <f t="array" ref="F367">_xll.BDH($D367,"MTG_GEN_CPR_6M","20090331","20090331","Dts=H")</f>
        <v>#N/A Invalid Field</v>
      </c>
      <c r="G367" t="str" cm="1">
        <f t="array" ref="G367">_xll.BDH($D367,"MTG_GEN_CPR_12M","20090331","20090331","Dts=H")</f>
        <v>#N/A Invalid Field</v>
      </c>
      <c r="H367" t="str" cm="1">
        <f t="array" ref="H367">_xll.BDH($D367,"MTG_GEN_CPR_3M","20090610","20090610","Dts=H")</f>
        <v>#N/A Invalid Field</v>
      </c>
      <c r="I367" t="str" cm="1">
        <f t="array" ref="I367">_xll.BDH($D367,"MTG_GEN_CPR_6M","20090610","20090610","Dts=H")</f>
        <v>#N/A Invalid Field</v>
      </c>
      <c r="J367" t="str" cm="1">
        <f t="array" ref="J367">_xll.BDH($D367,"MTG_GEN_CPR_12M","20090610","20090610","Dts=H")</f>
        <v>#N/A Invalid Field</v>
      </c>
      <c r="K367" t="str" cm="1">
        <f t="array" ref="K367">_xll.BDP(D367,"MTG_PREPAY_TYP")</f>
        <v>#N/A N/A</v>
      </c>
      <c r="L367" t="str" cm="1">
        <f t="array" ref="L367">_xll.BDP(D367,"MTG_PREPAY_SPEED")</f>
        <v>#N/A N/A</v>
      </c>
      <c r="M367" cm="1">
        <f t="array" ref="M367">_xll.BDP(D367,"MTG_PL_PSA_1M ")</f>
        <v>0</v>
      </c>
      <c r="N367" cm="1">
        <f t="array" ref="N367">_xll.BDP(D367,"MTG_PL_PSA_3M ")</f>
        <v>899.8</v>
      </c>
      <c r="O367" cm="1">
        <f t="array" ref="O367">_xll.BDP(D367,"MTG_PL_PSA_6M ")</f>
        <v>1329.8</v>
      </c>
    </row>
    <row r="368" spans="1:15" x14ac:dyDescent="0.25">
      <c r="A368" t="s">
        <v>1116</v>
      </c>
      <c r="B368" t="s">
        <v>1117</v>
      </c>
      <c r="C368" t="s">
        <v>100</v>
      </c>
      <c r="D368" t="s">
        <v>1118</v>
      </c>
      <c r="E368" t="str" cm="1">
        <f t="array" ref="E368">_xll.BDH($D368,"MTG_GEN_CPR_3M","20090331","20090331","Dts=H")</f>
        <v>#N/A Invalid Field</v>
      </c>
      <c r="F368" t="str" cm="1">
        <f t="array" ref="F368">_xll.BDH($D368,"MTG_GEN_CPR_6M","20090331","20090331","Dts=H")</f>
        <v>#N/A Invalid Field</v>
      </c>
      <c r="G368" t="str" cm="1">
        <f t="array" ref="G368">_xll.BDH($D368,"MTG_GEN_CPR_12M","20090331","20090331","Dts=H")</f>
        <v>#N/A Invalid Field</v>
      </c>
      <c r="H368" t="str" cm="1">
        <f t="array" ref="H368">_xll.BDH($D368,"MTG_GEN_CPR_3M","20090610","20090610","Dts=H")</f>
        <v>#N/A Invalid Field</v>
      </c>
      <c r="I368" t="str" cm="1">
        <f t="array" ref="I368">_xll.BDH($D368,"MTG_GEN_CPR_6M","20090610","20090610","Dts=H")</f>
        <v>#N/A Invalid Field</v>
      </c>
      <c r="J368" t="str" cm="1">
        <f t="array" ref="J368">_xll.BDH($D368,"MTG_GEN_CPR_12M","20090610","20090610","Dts=H")</f>
        <v>#N/A Invalid Field</v>
      </c>
      <c r="K368" t="str" cm="1">
        <f t="array" ref="K368">_xll.BDP(D368,"MTG_PREPAY_TYP")</f>
        <v>PSA</v>
      </c>
      <c r="L368" cm="1">
        <f t="array" ref="L368">_xll.BDP(D368,"MTG_PREPAY_SPEED")</f>
        <v>169</v>
      </c>
      <c r="M368" cm="1">
        <f t="array" ref="M368">_xll.BDP(D368,"MTG_PL_PSA_1M ")</f>
        <v>86.8</v>
      </c>
      <c r="N368" cm="1">
        <f t="array" ref="N368">_xll.BDP(D368,"MTG_PL_PSA_3M ")</f>
        <v>78.5</v>
      </c>
      <c r="O368" cm="1">
        <f t="array" ref="O368">_xll.BDP(D368,"MTG_PL_PSA_6M ")</f>
        <v>96.4</v>
      </c>
    </row>
    <row r="369" spans="1:15" x14ac:dyDescent="0.25">
      <c r="A369" t="s">
        <v>1119</v>
      </c>
      <c r="B369" t="s">
        <v>1120</v>
      </c>
      <c r="C369" t="s">
        <v>100</v>
      </c>
      <c r="D369" t="s">
        <v>1121</v>
      </c>
      <c r="E369" t="str" cm="1">
        <f t="array" ref="E369">_xll.BDH($D369,"MTG_GEN_CPR_3M","20090331","20090331","Dts=H")</f>
        <v>#N/A Invalid Field</v>
      </c>
      <c r="F369" t="str" cm="1">
        <f t="array" ref="F369">_xll.BDH($D369,"MTG_GEN_CPR_6M","20090331","20090331","Dts=H")</f>
        <v>#N/A Invalid Field</v>
      </c>
      <c r="G369" t="str" cm="1">
        <f t="array" ref="G369">_xll.BDH($D369,"MTG_GEN_CPR_12M","20090331","20090331","Dts=H")</f>
        <v>#N/A Invalid Field</v>
      </c>
      <c r="H369" t="str" cm="1">
        <f t="array" ref="H369">_xll.BDH($D369,"MTG_GEN_CPR_3M","20090610","20090610","Dts=H")</f>
        <v>#N/A Invalid Field</v>
      </c>
      <c r="I369" t="str" cm="1">
        <f t="array" ref="I369">_xll.BDH($D369,"MTG_GEN_CPR_6M","20090610","20090610","Dts=H")</f>
        <v>#N/A Invalid Field</v>
      </c>
      <c r="J369" t="str" cm="1">
        <f t="array" ref="J369">_xll.BDH($D369,"MTG_GEN_CPR_12M","20090610","20090610","Dts=H")</f>
        <v>#N/A Invalid Field</v>
      </c>
      <c r="K369" t="str" cm="1">
        <f t="array" ref="K369">_xll.BDP(D369,"MTG_PREPAY_TYP")</f>
        <v>#N/A N/A</v>
      </c>
      <c r="L369" t="str" cm="1">
        <f t="array" ref="L369">_xll.BDP(D369,"MTG_PREPAY_SPEED")</f>
        <v>#N/A N/A</v>
      </c>
      <c r="M369" cm="1">
        <f t="array" ref="M369">_xll.BDP(D369,"MTG_PL_PSA_1M ")</f>
        <v>0</v>
      </c>
      <c r="N369" cm="1">
        <f t="array" ref="N369">_xll.BDP(D369,"MTG_PL_PSA_3M ")</f>
        <v>1147</v>
      </c>
      <c r="O369" cm="1">
        <f t="array" ref="O369">_xll.BDP(D369,"MTG_PL_PSA_6M ")</f>
        <v>1427.7</v>
      </c>
    </row>
    <row r="370" spans="1:15" x14ac:dyDescent="0.25">
      <c r="A370" t="s">
        <v>1122</v>
      </c>
      <c r="B370" t="s">
        <v>1123</v>
      </c>
      <c r="C370" t="s">
        <v>100</v>
      </c>
      <c r="D370" t="s">
        <v>1124</v>
      </c>
      <c r="E370" t="str" cm="1">
        <f t="array" ref="E370">_xll.BDH($D370,"MTG_GEN_CPR_3M","20090331","20090331","Dts=H")</f>
        <v>#N/A Invalid Field</v>
      </c>
      <c r="F370" t="str" cm="1">
        <f t="array" ref="F370">_xll.BDH($D370,"MTG_GEN_CPR_6M","20090331","20090331","Dts=H")</f>
        <v>#N/A Invalid Field</v>
      </c>
      <c r="G370" t="str" cm="1">
        <f t="array" ref="G370">_xll.BDH($D370,"MTG_GEN_CPR_12M","20090331","20090331","Dts=H")</f>
        <v>#N/A Invalid Field</v>
      </c>
      <c r="H370" t="str" cm="1">
        <f t="array" ref="H370">_xll.BDH($D370,"MTG_GEN_CPR_3M","20090610","20090610","Dts=H")</f>
        <v>#N/A Invalid Field</v>
      </c>
      <c r="I370" t="str" cm="1">
        <f t="array" ref="I370">_xll.BDH($D370,"MTG_GEN_CPR_6M","20090610","20090610","Dts=H")</f>
        <v>#N/A Invalid Field</v>
      </c>
      <c r="J370" t="str" cm="1">
        <f t="array" ref="J370">_xll.BDH($D370,"MTG_GEN_CPR_12M","20090610","20090610","Dts=H")</f>
        <v>#N/A Invalid Field</v>
      </c>
      <c r="K370" t="str" cm="1">
        <f t="array" ref="K370">_xll.BDP(D370,"MTG_PREPAY_TYP")</f>
        <v>PSA</v>
      </c>
      <c r="L370" cm="1">
        <f t="array" ref="L370">_xll.BDP(D370,"MTG_PREPAY_SPEED")</f>
        <v>161</v>
      </c>
      <c r="M370" cm="1">
        <f t="array" ref="M370">_xll.BDP(D370,"MTG_PL_PSA_1M ")</f>
        <v>105.6</v>
      </c>
      <c r="N370" cm="1">
        <f t="array" ref="N370">_xll.BDP(D370,"MTG_PL_PSA_3M ")</f>
        <v>151.4</v>
      </c>
      <c r="O370" cm="1">
        <f t="array" ref="O370">_xll.BDP(D370,"MTG_PL_PSA_6M ")</f>
        <v>139.1</v>
      </c>
    </row>
    <row r="371" spans="1:15" x14ac:dyDescent="0.25">
      <c r="A371" t="s">
        <v>1125</v>
      </c>
      <c r="B371" t="s">
        <v>1126</v>
      </c>
      <c r="C371" t="s">
        <v>100</v>
      </c>
      <c r="D371" t="s">
        <v>1127</v>
      </c>
      <c r="E371" t="str" cm="1">
        <f t="array" ref="E371">_xll.BDH($D371,"MTG_GEN_CPR_3M","20090331","20090331","Dts=H")</f>
        <v>#N/A Invalid Field</v>
      </c>
      <c r="F371" t="str" cm="1">
        <f t="array" ref="F371">_xll.BDH($D371,"MTG_GEN_CPR_6M","20090331","20090331","Dts=H")</f>
        <v>#N/A Invalid Field</v>
      </c>
      <c r="G371" t="str" cm="1">
        <f t="array" ref="G371">_xll.BDH($D371,"MTG_GEN_CPR_12M","20090331","20090331","Dts=H")</f>
        <v>#N/A Invalid Field</v>
      </c>
      <c r="H371" t="str" cm="1">
        <f t="array" ref="H371">_xll.BDH($D371,"MTG_GEN_CPR_3M","20090610","20090610","Dts=H")</f>
        <v>#N/A Invalid Field</v>
      </c>
      <c r="I371" t="str" cm="1">
        <f t="array" ref="I371">_xll.BDH($D371,"MTG_GEN_CPR_6M","20090610","20090610","Dts=H")</f>
        <v>#N/A Invalid Field</v>
      </c>
      <c r="J371" t="str" cm="1">
        <f t="array" ref="J371">_xll.BDH($D371,"MTG_GEN_CPR_12M","20090610","20090610","Dts=H")</f>
        <v>#N/A Invalid Field</v>
      </c>
      <c r="K371" t="str" cm="1">
        <f t="array" ref="K371">_xll.BDP(D371,"MTG_PREPAY_TYP")</f>
        <v>PSA</v>
      </c>
      <c r="L371" cm="1">
        <f t="array" ref="L371">_xll.BDP(D371,"MTG_PREPAY_SPEED")</f>
        <v>207</v>
      </c>
      <c r="M371" cm="1">
        <f t="array" ref="M371">_xll.BDP(D371,"MTG_PL_PSA_1M ")</f>
        <v>68.099999999999994</v>
      </c>
      <c r="N371" cm="1">
        <f t="array" ref="N371">_xll.BDP(D371,"MTG_PL_PSA_3M ")</f>
        <v>39.4</v>
      </c>
      <c r="O371" cm="1">
        <f t="array" ref="O371">_xll.BDP(D371,"MTG_PL_PSA_6M ")</f>
        <v>176.3</v>
      </c>
    </row>
    <row r="372" spans="1:15" x14ac:dyDescent="0.25">
      <c r="A372" t="s">
        <v>1128</v>
      </c>
      <c r="B372" t="s">
        <v>1129</v>
      </c>
      <c r="C372" t="s">
        <v>100</v>
      </c>
      <c r="D372" t="s">
        <v>1130</v>
      </c>
      <c r="E372" t="str" cm="1">
        <f t="array" ref="E372">_xll.BDH($D372,"MTG_GEN_CPR_3M","20090331","20090331","Dts=H")</f>
        <v>#N/A Invalid Field</v>
      </c>
      <c r="F372" t="str" cm="1">
        <f t="array" ref="F372">_xll.BDH($D372,"MTG_GEN_CPR_6M","20090331","20090331","Dts=H")</f>
        <v>#N/A Invalid Field</v>
      </c>
      <c r="G372" t="str" cm="1">
        <f t="array" ref="G372">_xll.BDH($D372,"MTG_GEN_CPR_12M","20090331","20090331","Dts=H")</f>
        <v>#N/A Invalid Field</v>
      </c>
      <c r="H372" t="str" cm="1">
        <f t="array" ref="H372">_xll.BDH($D372,"MTG_GEN_CPR_3M","20090610","20090610","Dts=H")</f>
        <v>#N/A Invalid Field</v>
      </c>
      <c r="I372" t="str" cm="1">
        <f t="array" ref="I372">_xll.BDH($D372,"MTG_GEN_CPR_6M","20090610","20090610","Dts=H")</f>
        <v>#N/A Invalid Field</v>
      </c>
      <c r="J372" t="str" cm="1">
        <f t="array" ref="J372">_xll.BDH($D372,"MTG_GEN_CPR_12M","20090610","20090610","Dts=H")</f>
        <v>#N/A Invalid Field</v>
      </c>
      <c r="K372" t="str" cm="1">
        <f t="array" ref="K372">_xll.BDP(D372,"MTG_PREPAY_TYP")</f>
        <v>PSA</v>
      </c>
      <c r="L372" cm="1">
        <f t="array" ref="L372">_xll.BDP(D372,"MTG_PREPAY_SPEED")</f>
        <v>161</v>
      </c>
      <c r="M372" cm="1">
        <f t="array" ref="M372">_xll.BDP(D372,"MTG_PL_PSA_1M ")</f>
        <v>299.10000000000002</v>
      </c>
      <c r="N372" cm="1">
        <f t="array" ref="N372">_xll.BDP(D372,"MTG_PL_PSA_3M ")</f>
        <v>151.9</v>
      </c>
      <c r="O372" cm="1">
        <f t="array" ref="O372">_xll.BDP(D372,"MTG_PL_PSA_6M ")</f>
        <v>138.69999999999999</v>
      </c>
    </row>
    <row r="373" spans="1:15" x14ac:dyDescent="0.25">
      <c r="A373" t="s">
        <v>1131</v>
      </c>
      <c r="B373" t="s">
        <v>1132</v>
      </c>
      <c r="C373" t="s">
        <v>100</v>
      </c>
      <c r="D373" t="s">
        <v>1133</v>
      </c>
      <c r="E373" t="str" cm="1">
        <f t="array" ref="E373">_xll.BDH($D373,"MTG_GEN_CPR_3M","20090331","20090331","Dts=H")</f>
        <v>#N/A Invalid Field</v>
      </c>
      <c r="F373" t="str" cm="1">
        <f t="array" ref="F373">_xll.BDH($D373,"MTG_GEN_CPR_6M","20090331","20090331","Dts=H")</f>
        <v>#N/A Invalid Field</v>
      </c>
      <c r="G373" t="str" cm="1">
        <f t="array" ref="G373">_xll.BDH($D373,"MTG_GEN_CPR_12M","20090331","20090331","Dts=H")</f>
        <v>#N/A Invalid Field</v>
      </c>
      <c r="H373" t="str" cm="1">
        <f t="array" ref="H373">_xll.BDH($D373,"MTG_GEN_CPR_3M","20090610","20090610","Dts=H")</f>
        <v>#N/A Invalid Field</v>
      </c>
      <c r="I373" t="str" cm="1">
        <f t="array" ref="I373">_xll.BDH($D373,"MTG_GEN_CPR_6M","20090610","20090610","Dts=H")</f>
        <v>#N/A Invalid Field</v>
      </c>
      <c r="J373" t="str" cm="1">
        <f t="array" ref="J373">_xll.BDH($D373,"MTG_GEN_CPR_12M","20090610","20090610","Dts=H")</f>
        <v>#N/A Invalid Field</v>
      </c>
      <c r="K373" t="str" cm="1">
        <f t="array" ref="K373">_xll.BDP(D373,"MTG_PREPAY_TYP")</f>
        <v>PSA</v>
      </c>
      <c r="L373" cm="1">
        <f t="array" ref="L373">_xll.BDP(D373,"MTG_PREPAY_SPEED")</f>
        <v>125</v>
      </c>
      <c r="M373" cm="1">
        <f t="array" ref="M373">_xll.BDP(D373,"MTG_PL_PSA_1M ")</f>
        <v>123.2</v>
      </c>
      <c r="N373" cm="1">
        <f t="array" ref="N373">_xll.BDP(D373,"MTG_PL_PSA_3M ")</f>
        <v>126.9</v>
      </c>
      <c r="O373" cm="1">
        <f t="array" ref="O373">_xll.BDP(D373,"MTG_PL_PSA_6M ")</f>
        <v>186.2</v>
      </c>
    </row>
    <row r="374" spans="1:15" x14ac:dyDescent="0.25">
      <c r="A374" t="s">
        <v>1134</v>
      </c>
      <c r="B374" t="s">
        <v>1135</v>
      </c>
      <c r="C374" t="s">
        <v>100</v>
      </c>
      <c r="D374" t="s">
        <v>1136</v>
      </c>
      <c r="E374" t="str" cm="1">
        <f t="array" ref="E374">_xll.BDH($D374,"MTG_GEN_CPR_3M","20090331","20090331","Dts=H")</f>
        <v>#N/A Invalid Field</v>
      </c>
      <c r="F374" t="str" cm="1">
        <f t="array" ref="F374">_xll.BDH($D374,"MTG_GEN_CPR_6M","20090331","20090331","Dts=H")</f>
        <v>#N/A Invalid Field</v>
      </c>
      <c r="G374" t="str" cm="1">
        <f t="array" ref="G374">_xll.BDH($D374,"MTG_GEN_CPR_12M","20090331","20090331","Dts=H")</f>
        <v>#N/A Invalid Field</v>
      </c>
      <c r="H374" t="str" cm="1">
        <f t="array" ref="H374">_xll.BDH($D374,"MTG_GEN_CPR_3M","20090610","20090610","Dts=H")</f>
        <v>#N/A Invalid Field</v>
      </c>
      <c r="I374" t="str" cm="1">
        <f t="array" ref="I374">_xll.BDH($D374,"MTG_GEN_CPR_6M","20090610","20090610","Dts=H")</f>
        <v>#N/A Invalid Field</v>
      </c>
      <c r="J374" t="str" cm="1">
        <f t="array" ref="J374">_xll.BDH($D374,"MTG_GEN_CPR_12M","20090610","20090610","Dts=H")</f>
        <v>#N/A Invalid Field</v>
      </c>
      <c r="K374" t="str" cm="1">
        <f t="array" ref="K374">_xll.BDP(D374,"MTG_PREPAY_TYP")</f>
        <v>#N/A N/A</v>
      </c>
      <c r="L374" t="str" cm="1">
        <f t="array" ref="L374">_xll.BDP(D374,"MTG_PREPAY_SPEED")</f>
        <v>#N/A N/A</v>
      </c>
      <c r="M374" cm="1">
        <f t="array" ref="M374">_xll.BDP(D374,"MTG_PL_PSA_1M ")</f>
        <v>1666.7</v>
      </c>
      <c r="N374" cm="1">
        <f t="array" ref="N374">_xll.BDP(D374,"MTG_PL_PSA_3M ")</f>
        <v>1666.7</v>
      </c>
      <c r="O374" cm="1">
        <f t="array" ref="O374">_xll.BDP(D374,"MTG_PL_PSA_6M ")</f>
        <v>1666.7</v>
      </c>
    </row>
    <row r="375" spans="1:15" x14ac:dyDescent="0.25">
      <c r="A375" t="s">
        <v>1137</v>
      </c>
      <c r="B375" t="s">
        <v>1138</v>
      </c>
      <c r="C375" t="s">
        <v>100</v>
      </c>
      <c r="D375" t="s">
        <v>1139</v>
      </c>
      <c r="E375" t="str" cm="1">
        <f t="array" ref="E375">_xll.BDH($D375,"MTG_GEN_CPR_3M","20090331","20090331","Dts=H")</f>
        <v>#N/A Invalid Field</v>
      </c>
      <c r="F375" t="str" cm="1">
        <f t="array" ref="F375">_xll.BDH($D375,"MTG_GEN_CPR_6M","20090331","20090331","Dts=H")</f>
        <v>#N/A Invalid Field</v>
      </c>
      <c r="G375" t="str" cm="1">
        <f t="array" ref="G375">_xll.BDH($D375,"MTG_GEN_CPR_12M","20090331","20090331","Dts=H")</f>
        <v>#N/A Invalid Field</v>
      </c>
      <c r="H375" t="str" cm="1">
        <f t="array" ref="H375">_xll.BDH($D375,"MTG_GEN_CPR_3M","20090610","20090610","Dts=H")</f>
        <v>#N/A Invalid Field</v>
      </c>
      <c r="I375" t="str" cm="1">
        <f t="array" ref="I375">_xll.BDH($D375,"MTG_GEN_CPR_6M","20090610","20090610","Dts=H")</f>
        <v>#N/A Invalid Field</v>
      </c>
      <c r="J375" t="str" cm="1">
        <f t="array" ref="J375">_xll.BDH($D375,"MTG_GEN_CPR_12M","20090610","20090610","Dts=H")</f>
        <v>#N/A Invalid Field</v>
      </c>
      <c r="K375" t="str" cm="1">
        <f t="array" ref="K375">_xll.BDP(D375,"MTG_PREPAY_TYP")</f>
        <v>PSA</v>
      </c>
      <c r="L375" cm="1">
        <f t="array" ref="L375">_xll.BDP(D375,"MTG_PREPAY_SPEED")</f>
        <v>125</v>
      </c>
      <c r="M375" cm="1">
        <f t="array" ref="M375">_xll.BDP(D375,"MTG_PL_PSA_1M ")</f>
        <v>170.2</v>
      </c>
      <c r="N375" cm="1">
        <f t="array" ref="N375">_xll.BDP(D375,"MTG_PL_PSA_3M ")</f>
        <v>195</v>
      </c>
      <c r="O375" cm="1">
        <f t="array" ref="O375">_xll.BDP(D375,"MTG_PL_PSA_6M ")</f>
        <v>157.80000000000001</v>
      </c>
    </row>
    <row r="376" spans="1:15" x14ac:dyDescent="0.25">
      <c r="A376" t="s">
        <v>1140</v>
      </c>
      <c r="B376" t="s">
        <v>1141</v>
      </c>
      <c r="C376" t="s">
        <v>100</v>
      </c>
      <c r="D376" t="s">
        <v>1142</v>
      </c>
      <c r="E376" t="str" cm="1">
        <f t="array" ref="E376">_xll.BDH($D376,"MTG_GEN_CPR_3M","20090331","20090331","Dts=H")</f>
        <v>#N/A Invalid Field</v>
      </c>
      <c r="F376" t="str" cm="1">
        <f t="array" ref="F376">_xll.BDH($D376,"MTG_GEN_CPR_6M","20090331","20090331","Dts=H")</f>
        <v>#N/A Invalid Field</v>
      </c>
      <c r="G376" t="str" cm="1">
        <f t="array" ref="G376">_xll.BDH($D376,"MTG_GEN_CPR_12M","20090331","20090331","Dts=H")</f>
        <v>#N/A Invalid Field</v>
      </c>
      <c r="H376" t="str" cm="1">
        <f t="array" ref="H376">_xll.BDH($D376,"MTG_GEN_CPR_3M","20090610","20090610","Dts=H")</f>
        <v>#N/A Invalid Field</v>
      </c>
      <c r="I376" t="str" cm="1">
        <f t="array" ref="I376">_xll.BDH($D376,"MTG_GEN_CPR_6M","20090610","20090610","Dts=H")</f>
        <v>#N/A Invalid Field</v>
      </c>
      <c r="J376" t="str" cm="1">
        <f t="array" ref="J376">_xll.BDH($D376,"MTG_GEN_CPR_12M","20090610","20090610","Dts=H")</f>
        <v>#N/A Invalid Field</v>
      </c>
      <c r="K376" t="str" cm="1">
        <f t="array" ref="K376">_xll.BDP(D376,"MTG_PREPAY_TYP")</f>
        <v>PSA</v>
      </c>
      <c r="L376" cm="1">
        <f t="array" ref="L376">_xll.BDP(D376,"MTG_PREPAY_SPEED")</f>
        <v>161</v>
      </c>
      <c r="M376" cm="1">
        <f t="array" ref="M376">_xll.BDP(D376,"MTG_PL_PSA_1M ")</f>
        <v>185.9</v>
      </c>
      <c r="N376" cm="1">
        <f t="array" ref="N376">_xll.BDP(D376,"MTG_PL_PSA_3M ")</f>
        <v>206.7</v>
      </c>
      <c r="O376" cm="1">
        <f t="array" ref="O376">_xll.BDP(D376,"MTG_PL_PSA_6M ")</f>
        <v>180.9</v>
      </c>
    </row>
    <row r="377" spans="1:15" x14ac:dyDescent="0.25">
      <c r="A377" t="s">
        <v>1143</v>
      </c>
      <c r="B377" t="s">
        <v>1144</v>
      </c>
      <c r="C377" t="s">
        <v>100</v>
      </c>
      <c r="D377" t="s">
        <v>1145</v>
      </c>
      <c r="E377" t="str" cm="1">
        <f t="array" ref="E377">_xll.BDH($D377,"MTG_GEN_CPR_3M","20090331","20090331","Dts=H")</f>
        <v>#N/A Invalid Field</v>
      </c>
      <c r="F377" t="str" cm="1">
        <f t="array" ref="F377">_xll.BDH($D377,"MTG_GEN_CPR_6M","20090331","20090331","Dts=H")</f>
        <v>#N/A Invalid Field</v>
      </c>
      <c r="G377" t="str" cm="1">
        <f t="array" ref="G377">_xll.BDH($D377,"MTG_GEN_CPR_12M","20090331","20090331","Dts=H")</f>
        <v>#N/A Invalid Field</v>
      </c>
      <c r="H377" t="str" cm="1">
        <f t="array" ref="H377">_xll.BDH($D377,"MTG_GEN_CPR_3M","20090610","20090610","Dts=H")</f>
        <v>#N/A Invalid Field</v>
      </c>
      <c r="I377" t="str" cm="1">
        <f t="array" ref="I377">_xll.BDH($D377,"MTG_GEN_CPR_6M","20090610","20090610","Dts=H")</f>
        <v>#N/A Invalid Field</v>
      </c>
      <c r="J377" t="str" cm="1">
        <f t="array" ref="J377">_xll.BDH($D377,"MTG_GEN_CPR_12M","20090610","20090610","Dts=H")</f>
        <v>#N/A Invalid Field</v>
      </c>
      <c r="K377" t="str" cm="1">
        <f t="array" ref="K377">_xll.BDP(D377,"MTG_PREPAY_TYP")</f>
        <v>#N/A N/A</v>
      </c>
      <c r="L377" t="str" cm="1">
        <f t="array" ref="L377">_xll.BDP(D377,"MTG_PREPAY_SPEED")</f>
        <v>#N/A N/A</v>
      </c>
      <c r="M377" cm="1">
        <f t="array" ref="M377">_xll.BDP(D377,"MTG_PL_PSA_1M ")</f>
        <v>1666.7</v>
      </c>
      <c r="N377" cm="1">
        <f t="array" ref="N377">_xll.BDP(D377,"MTG_PL_PSA_3M ")</f>
        <v>1666.7</v>
      </c>
      <c r="O377" cm="1">
        <f t="array" ref="O377">_xll.BDP(D377,"MTG_PL_PSA_6M ")</f>
        <v>1666.7</v>
      </c>
    </row>
    <row r="378" spans="1:15" x14ac:dyDescent="0.25">
      <c r="A378" t="s">
        <v>1146</v>
      </c>
      <c r="B378" t="s">
        <v>1147</v>
      </c>
      <c r="C378" t="s">
        <v>100</v>
      </c>
      <c r="D378" t="s">
        <v>1148</v>
      </c>
      <c r="E378" t="str" cm="1">
        <f t="array" ref="E378">_xll.BDH($D378,"MTG_GEN_CPR_3M","20090331","20090331","Dts=H")</f>
        <v>#N/A Invalid Field</v>
      </c>
      <c r="F378" t="str" cm="1">
        <f t="array" ref="F378">_xll.BDH($D378,"MTG_GEN_CPR_6M","20090331","20090331","Dts=H")</f>
        <v>#N/A Invalid Field</v>
      </c>
      <c r="G378" t="str" cm="1">
        <f t="array" ref="G378">_xll.BDH($D378,"MTG_GEN_CPR_12M","20090331","20090331","Dts=H")</f>
        <v>#N/A Invalid Field</v>
      </c>
      <c r="H378" t="str" cm="1">
        <f t="array" ref="H378">_xll.BDH($D378,"MTG_GEN_CPR_3M","20090610","20090610","Dts=H")</f>
        <v>#N/A Invalid Field</v>
      </c>
      <c r="I378" t="str" cm="1">
        <f t="array" ref="I378">_xll.BDH($D378,"MTG_GEN_CPR_6M","20090610","20090610","Dts=H")</f>
        <v>#N/A Invalid Field</v>
      </c>
      <c r="J378" t="str" cm="1">
        <f t="array" ref="J378">_xll.BDH($D378,"MTG_GEN_CPR_12M","20090610","20090610","Dts=H")</f>
        <v>#N/A Invalid Field</v>
      </c>
      <c r="K378" t="str" cm="1">
        <f t="array" ref="K378">_xll.BDP(D378,"MTG_PREPAY_TYP")</f>
        <v>#N/A N/A</v>
      </c>
      <c r="L378" t="str" cm="1">
        <f t="array" ref="L378">_xll.BDP(D378,"MTG_PREPAY_SPEED")</f>
        <v>#N/A N/A</v>
      </c>
      <c r="M378" cm="1">
        <f t="array" ref="M378">_xll.BDP(D378,"MTG_PL_PSA_1M ")</f>
        <v>1666.7</v>
      </c>
      <c r="N378" cm="1">
        <f t="array" ref="N378">_xll.BDP(D378,"MTG_PL_PSA_3M ")</f>
        <v>1666.7</v>
      </c>
      <c r="O378" cm="1">
        <f t="array" ref="O378">_xll.BDP(D378,"MTG_PL_PSA_6M ")</f>
        <v>1666.7</v>
      </c>
    </row>
    <row r="379" spans="1:15" x14ac:dyDescent="0.25">
      <c r="A379" t="s">
        <v>1149</v>
      </c>
      <c r="B379" t="s">
        <v>1150</v>
      </c>
      <c r="C379" t="s">
        <v>100</v>
      </c>
      <c r="D379" t="s">
        <v>1151</v>
      </c>
      <c r="E379" t="str" cm="1">
        <f t="array" ref="E379">_xll.BDH($D379,"MTG_GEN_CPR_3M","20090331","20090331","Dts=H")</f>
        <v>#N/A Invalid Field</v>
      </c>
      <c r="F379" t="str" cm="1">
        <f t="array" ref="F379">_xll.BDH($D379,"MTG_GEN_CPR_6M","20090331","20090331","Dts=H")</f>
        <v>#N/A Invalid Field</v>
      </c>
      <c r="G379" t="str" cm="1">
        <f t="array" ref="G379">_xll.BDH($D379,"MTG_GEN_CPR_12M","20090331","20090331","Dts=H")</f>
        <v>#N/A Invalid Field</v>
      </c>
      <c r="H379" t="str" cm="1">
        <f t="array" ref="H379">_xll.BDH($D379,"MTG_GEN_CPR_3M","20090610","20090610","Dts=H")</f>
        <v>#N/A Invalid Field</v>
      </c>
      <c r="I379" t="str" cm="1">
        <f t="array" ref="I379">_xll.BDH($D379,"MTG_GEN_CPR_6M","20090610","20090610","Dts=H")</f>
        <v>#N/A Invalid Field</v>
      </c>
      <c r="J379" t="str" cm="1">
        <f t="array" ref="J379">_xll.BDH($D379,"MTG_GEN_CPR_12M","20090610","20090610","Dts=H")</f>
        <v>#N/A Invalid Field</v>
      </c>
      <c r="K379" t="str" cm="1">
        <f t="array" ref="K379">_xll.BDP(D379,"MTG_PREPAY_TYP")</f>
        <v>PSA</v>
      </c>
      <c r="L379" cm="1">
        <f t="array" ref="L379">_xll.BDP(D379,"MTG_PREPAY_SPEED")</f>
        <v>169</v>
      </c>
      <c r="M379" cm="1">
        <f t="array" ref="M379">_xll.BDP(D379,"MTG_PL_PSA_1M ")</f>
        <v>1.4</v>
      </c>
      <c r="N379" cm="1">
        <f t="array" ref="N379">_xll.BDP(D379,"MTG_PL_PSA_3M ")</f>
        <v>0.4</v>
      </c>
      <c r="O379" cm="1">
        <f t="array" ref="O379">_xll.BDP(D379,"MTG_PL_PSA_6M ")</f>
        <v>8.3000000000000007</v>
      </c>
    </row>
    <row r="380" spans="1:15" x14ac:dyDescent="0.25">
      <c r="A380" t="s">
        <v>1152</v>
      </c>
      <c r="B380" t="s">
        <v>1153</v>
      </c>
      <c r="C380" t="s">
        <v>100</v>
      </c>
      <c r="D380" t="s">
        <v>1154</v>
      </c>
      <c r="E380" t="str" cm="1">
        <f t="array" ref="E380">_xll.BDH($D380,"MTG_GEN_CPR_3M","20090331","20090331","Dts=H")</f>
        <v>#N/A Invalid Field</v>
      </c>
      <c r="F380" t="str" cm="1">
        <f t="array" ref="F380">_xll.BDH($D380,"MTG_GEN_CPR_6M","20090331","20090331","Dts=H")</f>
        <v>#N/A Invalid Field</v>
      </c>
      <c r="G380" t="str" cm="1">
        <f t="array" ref="G380">_xll.BDH($D380,"MTG_GEN_CPR_12M","20090331","20090331","Dts=H")</f>
        <v>#N/A Invalid Field</v>
      </c>
      <c r="H380" t="str" cm="1">
        <f t="array" ref="H380">_xll.BDH($D380,"MTG_GEN_CPR_3M","20090610","20090610","Dts=H")</f>
        <v>#N/A Invalid Field</v>
      </c>
      <c r="I380" t="str" cm="1">
        <f t="array" ref="I380">_xll.BDH($D380,"MTG_GEN_CPR_6M","20090610","20090610","Dts=H")</f>
        <v>#N/A Invalid Field</v>
      </c>
      <c r="J380" t="str" cm="1">
        <f t="array" ref="J380">_xll.BDH($D380,"MTG_GEN_CPR_12M","20090610","20090610","Dts=H")</f>
        <v>#N/A Invalid Field</v>
      </c>
      <c r="K380" t="str" cm="1">
        <f t="array" ref="K380">_xll.BDP(D380,"MTG_PREPAY_TYP")</f>
        <v>#N/A N/A</v>
      </c>
      <c r="L380" t="str" cm="1">
        <f t="array" ref="L380">_xll.BDP(D380,"MTG_PREPAY_SPEED")</f>
        <v>#N/A N/A</v>
      </c>
      <c r="M380" cm="1">
        <f t="array" ref="M380">_xll.BDP(D380,"MTG_PL_PSA_1M ")</f>
        <v>1666.7</v>
      </c>
      <c r="N380" cm="1">
        <f t="array" ref="N380">_xll.BDP(D380,"MTG_PL_PSA_3M ")</f>
        <v>1666.7</v>
      </c>
      <c r="O380" cm="1">
        <f t="array" ref="O380">_xll.BDP(D380,"MTG_PL_PSA_6M ")</f>
        <v>1666.7</v>
      </c>
    </row>
    <row r="381" spans="1:15" x14ac:dyDescent="0.25">
      <c r="A381" t="s">
        <v>1155</v>
      </c>
      <c r="B381" t="s">
        <v>1156</v>
      </c>
      <c r="C381" t="s">
        <v>100</v>
      </c>
      <c r="D381" t="s">
        <v>1157</v>
      </c>
      <c r="E381" t="str" cm="1">
        <f t="array" ref="E381">_xll.BDH($D381,"MTG_GEN_CPR_3M","20090331","20090331","Dts=H")</f>
        <v>#N/A Invalid Field</v>
      </c>
      <c r="F381" t="str" cm="1">
        <f t="array" ref="F381">_xll.BDH($D381,"MTG_GEN_CPR_6M","20090331","20090331","Dts=H")</f>
        <v>#N/A Invalid Field</v>
      </c>
      <c r="G381" t="str" cm="1">
        <f t="array" ref="G381">_xll.BDH($D381,"MTG_GEN_CPR_12M","20090331","20090331","Dts=H")</f>
        <v>#N/A Invalid Field</v>
      </c>
      <c r="H381" t="str" cm="1">
        <f t="array" ref="H381">_xll.BDH($D381,"MTG_GEN_CPR_3M","20090610","20090610","Dts=H")</f>
        <v>#N/A Invalid Field</v>
      </c>
      <c r="I381" t="str" cm="1">
        <f t="array" ref="I381">_xll.BDH($D381,"MTG_GEN_CPR_6M","20090610","20090610","Dts=H")</f>
        <v>#N/A Invalid Field</v>
      </c>
      <c r="J381" t="str" cm="1">
        <f t="array" ref="J381">_xll.BDH($D381,"MTG_GEN_CPR_12M","20090610","20090610","Dts=H")</f>
        <v>#N/A Invalid Field</v>
      </c>
      <c r="K381" t="str" cm="1">
        <f t="array" ref="K381">_xll.BDP(D381,"MTG_PREPAY_TYP")</f>
        <v>#N/A N/A</v>
      </c>
      <c r="L381" t="str" cm="1">
        <f t="array" ref="L381">_xll.BDP(D381,"MTG_PREPAY_SPEED")</f>
        <v>#N/A N/A</v>
      </c>
      <c r="M381" cm="1">
        <f t="array" ref="M381">_xll.BDP(D381,"MTG_PL_PSA_1M ")</f>
        <v>1666.7</v>
      </c>
      <c r="N381" cm="1">
        <f t="array" ref="N381">_xll.BDP(D381,"MTG_PL_PSA_3M ")</f>
        <v>1666.7</v>
      </c>
      <c r="O381" cm="1">
        <f t="array" ref="O381">_xll.BDP(D381,"MTG_PL_PSA_6M ")</f>
        <v>1666.7</v>
      </c>
    </row>
    <row r="382" spans="1:15" x14ac:dyDescent="0.25">
      <c r="A382" t="s">
        <v>1158</v>
      </c>
      <c r="B382" t="s">
        <v>1159</v>
      </c>
      <c r="C382" t="s">
        <v>100</v>
      </c>
      <c r="D382" t="s">
        <v>1160</v>
      </c>
      <c r="E382" t="str" cm="1">
        <f t="array" ref="E382">_xll.BDH($D382,"MTG_GEN_CPR_3M","20090331","20090331","Dts=H")</f>
        <v>#N/A Invalid Field</v>
      </c>
      <c r="F382" t="str" cm="1">
        <f t="array" ref="F382">_xll.BDH($D382,"MTG_GEN_CPR_6M","20090331","20090331","Dts=H")</f>
        <v>#N/A Invalid Field</v>
      </c>
      <c r="G382" t="str" cm="1">
        <f t="array" ref="G382">_xll.BDH($D382,"MTG_GEN_CPR_12M","20090331","20090331","Dts=H")</f>
        <v>#N/A Invalid Field</v>
      </c>
      <c r="H382" t="str" cm="1">
        <f t="array" ref="H382">_xll.BDH($D382,"MTG_GEN_CPR_3M","20090610","20090610","Dts=H")</f>
        <v>#N/A Invalid Field</v>
      </c>
      <c r="I382" t="str" cm="1">
        <f t="array" ref="I382">_xll.BDH($D382,"MTG_GEN_CPR_6M","20090610","20090610","Dts=H")</f>
        <v>#N/A Invalid Field</v>
      </c>
      <c r="J382" t="str" cm="1">
        <f t="array" ref="J382">_xll.BDH($D382,"MTG_GEN_CPR_12M","20090610","20090610","Dts=H")</f>
        <v>#N/A Invalid Field</v>
      </c>
      <c r="K382" t="str" cm="1">
        <f t="array" ref="K382">_xll.BDP(D382,"MTG_PREPAY_TYP")</f>
        <v>CPR</v>
      </c>
      <c r="L382" cm="1">
        <f t="array" ref="L382">_xll.BDP(D382,"MTG_PREPAY_SPEED")</f>
        <v>0.02</v>
      </c>
      <c r="M382" cm="1">
        <f t="array" ref="M382">_xll.BDP(D382,"MTG_PL_PSA_1M ")</f>
        <v>0.4</v>
      </c>
      <c r="N382" cm="1">
        <f t="array" ref="N382">_xll.BDP(D382,"MTG_PL_PSA_3M ")</f>
        <v>0.5</v>
      </c>
      <c r="O382" cm="1">
        <f t="array" ref="O382">_xll.BDP(D382,"MTG_PL_PSA_6M ")</f>
        <v>0.3</v>
      </c>
    </row>
    <row r="383" spans="1:15" x14ac:dyDescent="0.25">
      <c r="A383" t="s">
        <v>1161</v>
      </c>
      <c r="B383" t="s">
        <v>1162</v>
      </c>
      <c r="C383" t="s">
        <v>100</v>
      </c>
      <c r="D383" t="s">
        <v>1163</v>
      </c>
      <c r="E383" t="str" cm="1">
        <f t="array" ref="E383">_xll.BDH($D383,"MTG_GEN_CPR_3M","20090331","20090331","Dts=H")</f>
        <v>#N/A Invalid Field</v>
      </c>
      <c r="F383" t="str" cm="1">
        <f t="array" ref="F383">_xll.BDH($D383,"MTG_GEN_CPR_6M","20090331","20090331","Dts=H")</f>
        <v>#N/A Invalid Field</v>
      </c>
      <c r="G383" t="str" cm="1">
        <f t="array" ref="G383">_xll.BDH($D383,"MTG_GEN_CPR_12M","20090331","20090331","Dts=H")</f>
        <v>#N/A Invalid Field</v>
      </c>
      <c r="H383" t="str" cm="1">
        <f t="array" ref="H383">_xll.BDH($D383,"MTG_GEN_CPR_3M","20090610","20090610","Dts=H")</f>
        <v>#N/A Invalid Field</v>
      </c>
      <c r="I383" t="str" cm="1">
        <f t="array" ref="I383">_xll.BDH($D383,"MTG_GEN_CPR_6M","20090610","20090610","Dts=H")</f>
        <v>#N/A Invalid Field</v>
      </c>
      <c r="J383" t="str" cm="1">
        <f t="array" ref="J383">_xll.BDH($D383,"MTG_GEN_CPR_12M","20090610","20090610","Dts=H")</f>
        <v>#N/A Invalid Field</v>
      </c>
      <c r="K383" t="str" cm="1">
        <f t="array" ref="K383">_xll.BDP(D383,"MTG_PREPAY_TYP")</f>
        <v>CPR</v>
      </c>
      <c r="L383" cm="1">
        <f t="array" ref="L383">_xll.BDP(D383,"MTG_PREPAY_SPEED")</f>
        <v>0.25</v>
      </c>
      <c r="M383" cm="1">
        <f t="array" ref="M383">_xll.BDP(D383,"MTG_PL_PSA_1M ")</f>
        <v>2.6</v>
      </c>
      <c r="N383" cm="1">
        <f t="array" ref="N383">_xll.BDP(D383,"MTG_PL_PSA_3M ")</f>
        <v>3.5</v>
      </c>
      <c r="O383" cm="1">
        <f t="array" ref="O383">_xll.BDP(D383,"MTG_PL_PSA_6M ")</f>
        <v>4.2</v>
      </c>
    </row>
    <row r="384" spans="1:15" x14ac:dyDescent="0.25">
      <c r="A384" t="s">
        <v>1164</v>
      </c>
      <c r="B384" t="s">
        <v>1165</v>
      </c>
      <c r="C384" t="s">
        <v>100</v>
      </c>
      <c r="D384" t="s">
        <v>1166</v>
      </c>
      <c r="E384" t="str" cm="1">
        <f t="array" ref="E384">_xll.BDH($D384,"MTG_GEN_CPR_3M","20090331","20090331","Dts=H")</f>
        <v>#N/A Invalid Field</v>
      </c>
      <c r="F384" t="str" cm="1">
        <f t="array" ref="F384">_xll.BDH($D384,"MTG_GEN_CPR_6M","20090331","20090331","Dts=H")</f>
        <v>#N/A Invalid Field</v>
      </c>
      <c r="G384" t="str" cm="1">
        <f t="array" ref="G384">_xll.BDH($D384,"MTG_GEN_CPR_12M","20090331","20090331","Dts=H")</f>
        <v>#N/A Invalid Field</v>
      </c>
      <c r="H384" t="str" cm="1">
        <f t="array" ref="H384">_xll.BDH($D384,"MTG_GEN_CPR_3M","20090610","20090610","Dts=H")</f>
        <v>#N/A Invalid Field</v>
      </c>
      <c r="I384" t="str" cm="1">
        <f t="array" ref="I384">_xll.BDH($D384,"MTG_GEN_CPR_6M","20090610","20090610","Dts=H")</f>
        <v>#N/A Invalid Field</v>
      </c>
      <c r="J384" t="str" cm="1">
        <f t="array" ref="J384">_xll.BDH($D384,"MTG_GEN_CPR_12M","20090610","20090610","Dts=H")</f>
        <v>#N/A Invalid Field</v>
      </c>
      <c r="K384" t="str" cm="1">
        <f t="array" ref="K384">_xll.BDP(D384,"MTG_PREPAY_TYP")</f>
        <v>#N/A N/A</v>
      </c>
      <c r="L384" t="str" cm="1">
        <f t="array" ref="L384">_xll.BDP(D384,"MTG_PREPAY_SPEED")</f>
        <v>#N/A N/A</v>
      </c>
      <c r="M384" cm="1">
        <f t="array" ref="M384">_xll.BDP(D384,"MTG_PL_PSA_1M ")</f>
        <v>1666.7</v>
      </c>
      <c r="N384" cm="1">
        <f t="array" ref="N384">_xll.BDP(D384,"MTG_PL_PSA_3M ")</f>
        <v>1666.7</v>
      </c>
      <c r="O384" cm="1">
        <f t="array" ref="O384">_xll.BDP(D384,"MTG_PL_PSA_6M ")</f>
        <v>1666.7</v>
      </c>
    </row>
    <row r="385" spans="1:15" x14ac:dyDescent="0.25">
      <c r="A385" t="s">
        <v>1167</v>
      </c>
      <c r="B385" t="s">
        <v>1168</v>
      </c>
      <c r="C385" t="s">
        <v>100</v>
      </c>
      <c r="D385" t="s">
        <v>1169</v>
      </c>
      <c r="E385" t="str" cm="1">
        <f t="array" ref="E385">_xll.BDH($D385,"MTG_GEN_CPR_3M","20090331","20090331","Dts=H")</f>
        <v>#N/A Invalid Field</v>
      </c>
      <c r="F385" t="str" cm="1">
        <f t="array" ref="F385">_xll.BDH($D385,"MTG_GEN_CPR_6M","20090331","20090331","Dts=H")</f>
        <v>#N/A Invalid Field</v>
      </c>
      <c r="G385" t="str" cm="1">
        <f t="array" ref="G385">_xll.BDH($D385,"MTG_GEN_CPR_12M","20090331","20090331","Dts=H")</f>
        <v>#N/A Invalid Field</v>
      </c>
      <c r="H385" t="str" cm="1">
        <f t="array" ref="H385">_xll.BDH($D385,"MTG_GEN_CPR_3M","20090610","20090610","Dts=H")</f>
        <v>#N/A Invalid Field</v>
      </c>
      <c r="I385" t="str" cm="1">
        <f t="array" ref="I385">_xll.BDH($D385,"MTG_GEN_CPR_6M","20090610","20090610","Dts=H")</f>
        <v>#N/A Invalid Field</v>
      </c>
      <c r="J385" t="str" cm="1">
        <f t="array" ref="J385">_xll.BDH($D385,"MTG_GEN_CPR_12M","20090610","20090610","Dts=H")</f>
        <v>#N/A Invalid Field</v>
      </c>
      <c r="K385" t="str" cm="1">
        <f t="array" ref="K385">_xll.BDP(D385,"MTG_PREPAY_TYP")</f>
        <v>#N/A N/A</v>
      </c>
      <c r="L385" t="str" cm="1">
        <f t="array" ref="L385">_xll.BDP(D385,"MTG_PREPAY_SPEED")</f>
        <v>#N/A N/A</v>
      </c>
      <c r="M385" cm="1">
        <f t="array" ref="M385">_xll.BDP(D385,"MTG_PL_PSA_1M ")</f>
        <v>1666.7</v>
      </c>
      <c r="N385" cm="1">
        <f t="array" ref="N385">_xll.BDP(D385,"MTG_PL_PSA_3M ")</f>
        <v>1666.7</v>
      </c>
      <c r="O385" cm="1">
        <f t="array" ref="O385">_xll.BDP(D385,"MTG_PL_PSA_6M ")</f>
        <v>1666.7</v>
      </c>
    </row>
    <row r="386" spans="1:15" x14ac:dyDescent="0.25">
      <c r="A386" t="s">
        <v>1170</v>
      </c>
      <c r="B386" t="s">
        <v>1171</v>
      </c>
      <c r="C386" t="s">
        <v>100</v>
      </c>
      <c r="D386" t="s">
        <v>1172</v>
      </c>
      <c r="E386" t="str" cm="1">
        <f t="array" ref="E386">_xll.BDH($D386,"MTG_GEN_CPR_3M","20090331","20090331","Dts=H")</f>
        <v>#N/A Invalid Field</v>
      </c>
      <c r="F386" t="str" cm="1">
        <f t="array" ref="F386">_xll.BDH($D386,"MTG_GEN_CPR_6M","20090331","20090331","Dts=H")</f>
        <v>#N/A Invalid Field</v>
      </c>
      <c r="G386" t="str" cm="1">
        <f t="array" ref="G386">_xll.BDH($D386,"MTG_GEN_CPR_12M","20090331","20090331","Dts=H")</f>
        <v>#N/A Invalid Field</v>
      </c>
      <c r="H386" t="str" cm="1">
        <f t="array" ref="H386">_xll.BDH($D386,"MTG_GEN_CPR_3M","20090610","20090610","Dts=H")</f>
        <v>#N/A Invalid Field</v>
      </c>
      <c r="I386" t="str" cm="1">
        <f t="array" ref="I386">_xll.BDH($D386,"MTG_GEN_CPR_6M","20090610","20090610","Dts=H")</f>
        <v>#N/A Invalid Field</v>
      </c>
      <c r="J386" t="str" cm="1">
        <f t="array" ref="J386">_xll.BDH($D386,"MTG_GEN_CPR_12M","20090610","20090610","Dts=H")</f>
        <v>#N/A Invalid Field</v>
      </c>
      <c r="K386" t="str" cm="1">
        <f t="array" ref="K386">_xll.BDP(D386,"MTG_PREPAY_TYP")</f>
        <v>PSA</v>
      </c>
      <c r="L386" cm="1">
        <f t="array" ref="L386">_xll.BDP(D386,"MTG_PREPAY_SPEED")</f>
        <v>125</v>
      </c>
      <c r="M386" cm="1">
        <f t="array" ref="M386">_xll.BDP(D386,"MTG_PL_PSA_1M ")</f>
        <v>19.600000000000001</v>
      </c>
      <c r="N386" cm="1">
        <f t="array" ref="N386">_xll.BDP(D386,"MTG_PL_PSA_3M ")</f>
        <v>18.899999999999999</v>
      </c>
      <c r="O386" cm="1">
        <f t="array" ref="O386">_xll.BDP(D386,"MTG_PL_PSA_6M ")</f>
        <v>32.9</v>
      </c>
    </row>
    <row r="387" spans="1:15" x14ac:dyDescent="0.25">
      <c r="A387" t="s">
        <v>1173</v>
      </c>
      <c r="B387" t="s">
        <v>1174</v>
      </c>
      <c r="C387" t="s">
        <v>100</v>
      </c>
      <c r="D387" t="s">
        <v>1175</v>
      </c>
      <c r="E387" t="str" cm="1">
        <f t="array" ref="E387">_xll.BDH($D387,"MTG_GEN_CPR_3M","20090331","20090331","Dts=H")</f>
        <v>#N/A Invalid Field</v>
      </c>
      <c r="F387" t="str" cm="1">
        <f t="array" ref="F387">_xll.BDH($D387,"MTG_GEN_CPR_6M","20090331","20090331","Dts=H")</f>
        <v>#N/A Invalid Field</v>
      </c>
      <c r="G387" t="str" cm="1">
        <f t="array" ref="G387">_xll.BDH($D387,"MTG_GEN_CPR_12M","20090331","20090331","Dts=H")</f>
        <v>#N/A Invalid Field</v>
      </c>
      <c r="H387" t="str" cm="1">
        <f t="array" ref="H387">_xll.BDH($D387,"MTG_GEN_CPR_3M","20090610","20090610","Dts=H")</f>
        <v>#N/A Invalid Field</v>
      </c>
      <c r="I387" t="str" cm="1">
        <f t="array" ref="I387">_xll.BDH($D387,"MTG_GEN_CPR_6M","20090610","20090610","Dts=H")</f>
        <v>#N/A Invalid Field</v>
      </c>
      <c r="J387" t="str" cm="1">
        <f t="array" ref="J387">_xll.BDH($D387,"MTG_GEN_CPR_12M","20090610","20090610","Dts=H")</f>
        <v>#N/A Invalid Field</v>
      </c>
      <c r="K387" t="str" cm="1">
        <f t="array" ref="K387">_xll.BDP(D387,"MTG_PREPAY_TYP")</f>
        <v>PSA</v>
      </c>
      <c r="L387" cm="1">
        <f t="array" ref="L387">_xll.BDP(D387,"MTG_PREPAY_SPEED")</f>
        <v>182</v>
      </c>
      <c r="M387" cm="1">
        <f t="array" ref="M387">_xll.BDP(D387,"MTG_PL_PSA_1M ")</f>
        <v>0</v>
      </c>
      <c r="N387" cm="1">
        <f t="array" ref="N387">_xll.BDP(D387,"MTG_PL_PSA_3M ")</f>
        <v>0</v>
      </c>
      <c r="O387" cm="1">
        <f t="array" ref="O387">_xll.BDP(D387,"MTG_PL_PSA_6M ")</f>
        <v>0</v>
      </c>
    </row>
    <row r="388" spans="1:15" x14ac:dyDescent="0.25">
      <c r="A388" t="s">
        <v>1176</v>
      </c>
      <c r="B388" t="s">
        <v>1177</v>
      </c>
      <c r="C388" t="s">
        <v>100</v>
      </c>
      <c r="D388" t="s">
        <v>1178</v>
      </c>
      <c r="E388" t="str" cm="1">
        <f t="array" ref="E388">_xll.BDH($D388,"MTG_GEN_CPR_3M","20090331","20090331","Dts=H")</f>
        <v>#N/A Invalid Field</v>
      </c>
      <c r="F388" t="str" cm="1">
        <f t="array" ref="F388">_xll.BDH($D388,"MTG_GEN_CPR_6M","20090331","20090331","Dts=H")</f>
        <v>#N/A Invalid Field</v>
      </c>
      <c r="G388" t="str" cm="1">
        <f t="array" ref="G388">_xll.BDH($D388,"MTG_GEN_CPR_12M","20090331","20090331","Dts=H")</f>
        <v>#N/A Invalid Field</v>
      </c>
      <c r="H388" t="str" cm="1">
        <f t="array" ref="H388">_xll.BDH($D388,"MTG_GEN_CPR_3M","20090610","20090610","Dts=H")</f>
        <v>#N/A Invalid Field</v>
      </c>
      <c r="I388" t="str" cm="1">
        <f t="array" ref="I388">_xll.BDH($D388,"MTG_GEN_CPR_6M","20090610","20090610","Dts=H")</f>
        <v>#N/A Invalid Field</v>
      </c>
      <c r="J388" t="str" cm="1">
        <f t="array" ref="J388">_xll.BDH($D388,"MTG_GEN_CPR_12M","20090610","20090610","Dts=H")</f>
        <v>#N/A Invalid Field</v>
      </c>
      <c r="K388" t="str" cm="1">
        <f t="array" ref="K388">_xll.BDP(D388,"MTG_PREPAY_TYP")</f>
        <v>PSA</v>
      </c>
      <c r="L388" cm="1">
        <f t="array" ref="L388">_xll.BDP(D388,"MTG_PREPAY_SPEED")</f>
        <v>169</v>
      </c>
      <c r="M388" cm="1">
        <f t="array" ref="M388">_xll.BDP(D388,"MTG_PL_PSA_1M ")</f>
        <v>1.3</v>
      </c>
      <c r="N388" cm="1">
        <f t="array" ref="N388">_xll.BDP(D388,"MTG_PL_PSA_3M ")</f>
        <v>1.3</v>
      </c>
      <c r="O388" cm="1">
        <f t="array" ref="O388">_xll.BDP(D388,"MTG_PL_PSA_6M ")</f>
        <v>1.2</v>
      </c>
    </row>
    <row r="389" spans="1:15" x14ac:dyDescent="0.25">
      <c r="A389" t="s">
        <v>1179</v>
      </c>
      <c r="B389" t="s">
        <v>1180</v>
      </c>
      <c r="C389" t="s">
        <v>100</v>
      </c>
      <c r="D389" t="s">
        <v>1181</v>
      </c>
      <c r="E389" t="str" cm="1">
        <f t="array" ref="E389">_xll.BDH($D389,"MTG_GEN_CPR_3M","20090331","20090331","Dts=H")</f>
        <v>#N/A Invalid Field</v>
      </c>
      <c r="F389" t="str" cm="1">
        <f t="array" ref="F389">_xll.BDH($D389,"MTG_GEN_CPR_6M","20090331","20090331","Dts=H")</f>
        <v>#N/A Invalid Field</v>
      </c>
      <c r="G389" t="str" cm="1">
        <f t="array" ref="G389">_xll.BDH($D389,"MTG_GEN_CPR_12M","20090331","20090331","Dts=H")</f>
        <v>#N/A Invalid Field</v>
      </c>
      <c r="H389" t="str" cm="1">
        <f t="array" ref="H389">_xll.BDH($D389,"MTG_GEN_CPR_3M","20090610","20090610","Dts=H")</f>
        <v>#N/A Invalid Field</v>
      </c>
      <c r="I389" t="str" cm="1">
        <f t="array" ref="I389">_xll.BDH($D389,"MTG_GEN_CPR_6M","20090610","20090610","Dts=H")</f>
        <v>#N/A Invalid Field</v>
      </c>
      <c r="J389" t="str" cm="1">
        <f t="array" ref="J389">_xll.BDH($D389,"MTG_GEN_CPR_12M","20090610","20090610","Dts=H")</f>
        <v>#N/A Invalid Field</v>
      </c>
      <c r="K389" t="str" cm="1">
        <f t="array" ref="K389">_xll.BDP(D389,"MTG_PREPAY_TYP")</f>
        <v>PSA</v>
      </c>
      <c r="L389" cm="1">
        <f t="array" ref="L389">_xll.BDP(D389,"MTG_PREPAY_SPEED")</f>
        <v>182</v>
      </c>
      <c r="M389" cm="1">
        <f t="array" ref="M389">_xll.BDP(D389,"MTG_PL_PSA_1M ")</f>
        <v>13.4</v>
      </c>
      <c r="N389" cm="1">
        <f t="array" ref="N389">_xll.BDP(D389,"MTG_PL_PSA_3M ")</f>
        <v>13</v>
      </c>
      <c r="O389" cm="1">
        <f t="array" ref="O389">_xll.BDP(D389,"MTG_PL_PSA_6M ")</f>
        <v>10.8</v>
      </c>
    </row>
    <row r="390" spans="1:15" x14ac:dyDescent="0.25">
      <c r="A390" t="s">
        <v>1182</v>
      </c>
      <c r="B390" t="s">
        <v>1183</v>
      </c>
      <c r="C390" t="s">
        <v>100</v>
      </c>
      <c r="D390" t="s">
        <v>1184</v>
      </c>
      <c r="E390" t="str" cm="1">
        <f t="array" ref="E390">_xll.BDH($D390,"MTG_GEN_CPR_3M","20090331","20090331","Dts=H")</f>
        <v>#N/A Invalid Field</v>
      </c>
      <c r="F390" t="str" cm="1">
        <f t="array" ref="F390">_xll.BDH($D390,"MTG_GEN_CPR_6M","20090331","20090331","Dts=H")</f>
        <v>#N/A Invalid Field</v>
      </c>
      <c r="G390" t="str" cm="1">
        <f t="array" ref="G390">_xll.BDH($D390,"MTG_GEN_CPR_12M","20090331","20090331","Dts=H")</f>
        <v>#N/A Invalid Field</v>
      </c>
      <c r="H390" t="str" cm="1">
        <f t="array" ref="H390">_xll.BDH($D390,"MTG_GEN_CPR_3M","20090610","20090610","Dts=H")</f>
        <v>#N/A Invalid Field</v>
      </c>
      <c r="I390" t="str" cm="1">
        <f t="array" ref="I390">_xll.BDH($D390,"MTG_GEN_CPR_6M","20090610","20090610","Dts=H")</f>
        <v>#N/A Invalid Field</v>
      </c>
      <c r="J390" t="str" cm="1">
        <f t="array" ref="J390">_xll.BDH($D390,"MTG_GEN_CPR_12M","20090610","20090610","Dts=H")</f>
        <v>#N/A Invalid Field</v>
      </c>
      <c r="K390" t="str" cm="1">
        <f t="array" ref="K390">_xll.BDP(D390,"MTG_PREPAY_TYP")</f>
        <v>PSA</v>
      </c>
      <c r="L390" cm="1">
        <f t="array" ref="L390">_xll.BDP(D390,"MTG_PREPAY_SPEED")</f>
        <v>169</v>
      </c>
      <c r="M390" cm="1">
        <f t="array" ref="M390">_xll.BDP(D390,"MTG_PL_PSA_1M ")</f>
        <v>6.3</v>
      </c>
      <c r="N390" cm="1">
        <f t="array" ref="N390">_xll.BDP(D390,"MTG_PL_PSA_3M ")</f>
        <v>5.7</v>
      </c>
      <c r="O390" cm="1">
        <f t="array" ref="O390">_xll.BDP(D390,"MTG_PL_PSA_6M ")</f>
        <v>3.7</v>
      </c>
    </row>
    <row r="391" spans="1:15" x14ac:dyDescent="0.25">
      <c r="A391" t="s">
        <v>1185</v>
      </c>
      <c r="B391" t="s">
        <v>1186</v>
      </c>
      <c r="C391" t="s">
        <v>100</v>
      </c>
      <c r="D391" t="s">
        <v>1187</v>
      </c>
      <c r="E391" t="str" cm="1">
        <f t="array" ref="E391">_xll.BDH($D391,"MTG_GEN_CPR_3M","20090331","20090331","Dts=H")</f>
        <v>#N/A Invalid Field</v>
      </c>
      <c r="F391" t="str" cm="1">
        <f t="array" ref="F391">_xll.BDH($D391,"MTG_GEN_CPR_6M","20090331","20090331","Dts=H")</f>
        <v>#N/A Invalid Field</v>
      </c>
      <c r="G391" t="str" cm="1">
        <f t="array" ref="G391">_xll.BDH($D391,"MTG_GEN_CPR_12M","20090331","20090331","Dts=H")</f>
        <v>#N/A Invalid Field</v>
      </c>
      <c r="H391" t="str" cm="1">
        <f t="array" ref="H391">_xll.BDH($D391,"MTG_GEN_CPR_3M","20090610","20090610","Dts=H")</f>
        <v>#N/A Invalid Field</v>
      </c>
      <c r="I391" t="str" cm="1">
        <f t="array" ref="I391">_xll.BDH($D391,"MTG_GEN_CPR_6M","20090610","20090610","Dts=H")</f>
        <v>#N/A Invalid Field</v>
      </c>
      <c r="J391" t="str" cm="1">
        <f t="array" ref="J391">_xll.BDH($D391,"MTG_GEN_CPR_12M","20090610","20090610","Dts=H")</f>
        <v>#N/A Invalid Field</v>
      </c>
      <c r="K391" t="str" cm="1">
        <f t="array" ref="K391">_xll.BDP(D391,"MTG_PREPAY_TYP")</f>
        <v>#N/A N/A</v>
      </c>
      <c r="L391" t="str" cm="1">
        <f t="array" ref="L391">_xll.BDP(D391,"MTG_PREPAY_SPEED")</f>
        <v>#N/A N/A</v>
      </c>
      <c r="M391" cm="1">
        <f t="array" ref="M391">_xll.BDP(D391,"MTG_PL_PSA_1M ")</f>
        <v>1666.7</v>
      </c>
      <c r="N391" cm="1">
        <f t="array" ref="N391">_xll.BDP(D391,"MTG_PL_PSA_3M ")</f>
        <v>1666.7</v>
      </c>
      <c r="O391" cm="1">
        <f t="array" ref="O391">_xll.BDP(D391,"MTG_PL_PSA_6M ")</f>
        <v>1666.7</v>
      </c>
    </row>
    <row r="392" spans="1:15" x14ac:dyDescent="0.25">
      <c r="A392" t="s">
        <v>1188</v>
      </c>
      <c r="B392" t="s">
        <v>1189</v>
      </c>
      <c r="C392" t="s">
        <v>100</v>
      </c>
      <c r="D392" t="s">
        <v>1190</v>
      </c>
      <c r="E392" t="str" cm="1">
        <f t="array" ref="E392">_xll.BDH($D392,"MTG_GEN_CPR_3M","20090331","20090331","Dts=H")</f>
        <v>#N/A Invalid Field</v>
      </c>
      <c r="F392" t="str" cm="1">
        <f t="array" ref="F392">_xll.BDH($D392,"MTG_GEN_CPR_6M","20090331","20090331","Dts=H")</f>
        <v>#N/A Invalid Field</v>
      </c>
      <c r="G392" t="str" cm="1">
        <f t="array" ref="G392">_xll.BDH($D392,"MTG_GEN_CPR_12M","20090331","20090331","Dts=H")</f>
        <v>#N/A Invalid Field</v>
      </c>
      <c r="H392" t="str" cm="1">
        <f t="array" ref="H392">_xll.BDH($D392,"MTG_GEN_CPR_3M","20090610","20090610","Dts=H")</f>
        <v>#N/A Invalid Field</v>
      </c>
      <c r="I392" t="str" cm="1">
        <f t="array" ref="I392">_xll.BDH($D392,"MTG_GEN_CPR_6M","20090610","20090610","Dts=H")</f>
        <v>#N/A Invalid Field</v>
      </c>
      <c r="J392" t="str" cm="1">
        <f t="array" ref="J392">_xll.BDH($D392,"MTG_GEN_CPR_12M","20090610","20090610","Dts=H")</f>
        <v>#N/A Invalid Field</v>
      </c>
      <c r="K392" t="str" cm="1">
        <f t="array" ref="K392">_xll.BDP(D392,"MTG_PREPAY_TYP")</f>
        <v>#N/A N/A</v>
      </c>
      <c r="L392" t="str" cm="1">
        <f t="array" ref="L392">_xll.BDP(D392,"MTG_PREPAY_SPEED")</f>
        <v>#N/A N/A</v>
      </c>
      <c r="M392" cm="1">
        <f t="array" ref="M392">_xll.BDP(D392,"MTG_PL_PSA_1M ")</f>
        <v>1666.7</v>
      </c>
      <c r="N392" cm="1">
        <f t="array" ref="N392">_xll.BDP(D392,"MTG_PL_PSA_3M ")</f>
        <v>1666.7</v>
      </c>
      <c r="O392" cm="1">
        <f t="array" ref="O392">_xll.BDP(D392,"MTG_PL_PSA_6M ")</f>
        <v>1666.7</v>
      </c>
    </row>
    <row r="393" spans="1:15" x14ac:dyDescent="0.25">
      <c r="A393" t="s">
        <v>1191</v>
      </c>
      <c r="B393" t="s">
        <v>1192</v>
      </c>
      <c r="C393" t="s">
        <v>100</v>
      </c>
      <c r="D393" t="s">
        <v>1193</v>
      </c>
      <c r="E393" t="str" cm="1">
        <f t="array" ref="E393">_xll.BDH($D393,"MTG_GEN_CPR_3M","20090331","20090331","Dts=H")</f>
        <v>#N/A Invalid Field</v>
      </c>
      <c r="F393" t="str" cm="1">
        <f t="array" ref="F393">_xll.BDH($D393,"MTG_GEN_CPR_6M","20090331","20090331","Dts=H")</f>
        <v>#N/A Invalid Field</v>
      </c>
      <c r="G393" t="str" cm="1">
        <f t="array" ref="G393">_xll.BDH($D393,"MTG_GEN_CPR_12M","20090331","20090331","Dts=H")</f>
        <v>#N/A Invalid Field</v>
      </c>
      <c r="H393" t="str" cm="1">
        <f t="array" ref="H393">_xll.BDH($D393,"MTG_GEN_CPR_3M","20090610","20090610","Dts=H")</f>
        <v>#N/A Invalid Field</v>
      </c>
      <c r="I393" t="str" cm="1">
        <f t="array" ref="I393">_xll.BDH($D393,"MTG_GEN_CPR_6M","20090610","20090610","Dts=H")</f>
        <v>#N/A Invalid Field</v>
      </c>
      <c r="J393" t="str" cm="1">
        <f t="array" ref="J393">_xll.BDH($D393,"MTG_GEN_CPR_12M","20090610","20090610","Dts=H")</f>
        <v>#N/A Invalid Field</v>
      </c>
      <c r="K393" t="str" cm="1">
        <f t="array" ref="K393">_xll.BDP(D393,"MTG_PREPAY_TYP")</f>
        <v>#N/A N/A</v>
      </c>
      <c r="L393" t="str" cm="1">
        <f t="array" ref="L393">_xll.BDP(D393,"MTG_PREPAY_SPEED")</f>
        <v>#N/A N/A</v>
      </c>
      <c r="M393" cm="1">
        <f t="array" ref="M393">_xll.BDP(D393,"MTG_PL_PSA_1M ")</f>
        <v>1666.7</v>
      </c>
      <c r="N393" cm="1">
        <f t="array" ref="N393">_xll.BDP(D393,"MTG_PL_PSA_3M ")</f>
        <v>1666.7</v>
      </c>
      <c r="O393" cm="1">
        <f t="array" ref="O393">_xll.BDP(D393,"MTG_PL_PSA_6M ")</f>
        <v>1666.7</v>
      </c>
    </row>
    <row r="394" spans="1:15" x14ac:dyDescent="0.25">
      <c r="A394" t="s">
        <v>1194</v>
      </c>
      <c r="B394" t="s">
        <v>1195</v>
      </c>
      <c r="C394" t="s">
        <v>100</v>
      </c>
      <c r="D394" t="s">
        <v>1196</v>
      </c>
      <c r="E394" t="str" cm="1">
        <f t="array" ref="E394">_xll.BDH($D394,"MTG_GEN_CPR_3M","20090331","20090331","Dts=H")</f>
        <v>#N/A Invalid Field</v>
      </c>
      <c r="F394" t="str" cm="1">
        <f t="array" ref="F394">_xll.BDH($D394,"MTG_GEN_CPR_6M","20090331","20090331","Dts=H")</f>
        <v>#N/A Invalid Field</v>
      </c>
      <c r="G394" t="str" cm="1">
        <f t="array" ref="G394">_xll.BDH($D394,"MTG_GEN_CPR_12M","20090331","20090331","Dts=H")</f>
        <v>#N/A Invalid Field</v>
      </c>
      <c r="H394" t="str" cm="1">
        <f t="array" ref="H394">_xll.BDH($D394,"MTG_GEN_CPR_3M","20090610","20090610","Dts=H")</f>
        <v>#N/A Invalid Field</v>
      </c>
      <c r="I394" t="str" cm="1">
        <f t="array" ref="I394">_xll.BDH($D394,"MTG_GEN_CPR_6M","20090610","20090610","Dts=H")</f>
        <v>#N/A Invalid Field</v>
      </c>
      <c r="J394" t="str" cm="1">
        <f t="array" ref="J394">_xll.BDH($D394,"MTG_GEN_CPR_12M","20090610","20090610","Dts=H")</f>
        <v>#N/A Invalid Field</v>
      </c>
      <c r="K394" t="str" cm="1">
        <f t="array" ref="K394">_xll.BDP(D394,"MTG_PREPAY_TYP")</f>
        <v>CPR</v>
      </c>
      <c r="L394" cm="1">
        <f t="array" ref="L394">_xll.BDP(D394,"MTG_PREPAY_SPEED")</f>
        <v>0.43</v>
      </c>
      <c r="M394" cm="1">
        <f t="array" ref="M394">_xll.BDP(D394,"MTG_PL_PSA_1M ")</f>
        <v>7.6</v>
      </c>
      <c r="N394" cm="1">
        <f t="array" ref="N394">_xll.BDP(D394,"MTG_PL_PSA_3M ")</f>
        <v>8.6</v>
      </c>
      <c r="O394" cm="1">
        <f t="array" ref="O394">_xll.BDP(D394,"MTG_PL_PSA_6M ")</f>
        <v>7.2</v>
      </c>
    </row>
    <row r="395" spans="1:15" x14ac:dyDescent="0.25">
      <c r="A395" t="s">
        <v>1197</v>
      </c>
      <c r="B395" t="s">
        <v>1198</v>
      </c>
      <c r="C395" t="s">
        <v>100</v>
      </c>
      <c r="D395" t="s">
        <v>1199</v>
      </c>
      <c r="E395" t="str" cm="1">
        <f t="array" ref="E395">_xll.BDH($D395,"MTG_GEN_CPR_3M","20090331","20090331","Dts=H")</f>
        <v>#N/A Invalid Field</v>
      </c>
      <c r="F395" t="str" cm="1">
        <f t="array" ref="F395">_xll.BDH($D395,"MTG_GEN_CPR_6M","20090331","20090331","Dts=H")</f>
        <v>#N/A Invalid Field</v>
      </c>
      <c r="G395" t="str" cm="1">
        <f t="array" ref="G395">_xll.BDH($D395,"MTG_GEN_CPR_12M","20090331","20090331","Dts=H")</f>
        <v>#N/A Invalid Field</v>
      </c>
      <c r="H395" t="str" cm="1">
        <f t="array" ref="H395">_xll.BDH($D395,"MTG_GEN_CPR_3M","20090610","20090610","Dts=H")</f>
        <v>#N/A Invalid Field</v>
      </c>
      <c r="I395" t="str" cm="1">
        <f t="array" ref="I395">_xll.BDH($D395,"MTG_GEN_CPR_6M","20090610","20090610","Dts=H")</f>
        <v>#N/A Invalid Field</v>
      </c>
      <c r="J395" t="str" cm="1">
        <f t="array" ref="J395">_xll.BDH($D395,"MTG_GEN_CPR_12M","20090610","20090610","Dts=H")</f>
        <v>#N/A Invalid Field</v>
      </c>
      <c r="K395" t="str" cm="1">
        <f t="array" ref="K395">_xll.BDP(D395,"MTG_PREPAY_TYP")</f>
        <v>PSA</v>
      </c>
      <c r="L395" cm="1">
        <f t="array" ref="L395">_xll.BDP(D395,"MTG_PREPAY_SPEED")</f>
        <v>182</v>
      </c>
      <c r="M395" cm="1">
        <f t="array" ref="M395">_xll.BDP(D395,"MTG_PL_PSA_1M ")</f>
        <v>35.4</v>
      </c>
      <c r="N395" cm="1">
        <f t="array" ref="N395">_xll.BDP(D395,"MTG_PL_PSA_3M ")</f>
        <v>34.6</v>
      </c>
      <c r="O395" cm="1">
        <f t="array" ref="O395">_xll.BDP(D395,"MTG_PL_PSA_6M ")</f>
        <v>32.9</v>
      </c>
    </row>
    <row r="396" spans="1:15" x14ac:dyDescent="0.25">
      <c r="A396" t="s">
        <v>1200</v>
      </c>
      <c r="B396" t="s">
        <v>1201</v>
      </c>
      <c r="C396" t="s">
        <v>100</v>
      </c>
      <c r="D396" t="s">
        <v>1202</v>
      </c>
      <c r="E396" t="str" cm="1">
        <f t="array" ref="E396">_xll.BDH($D396,"MTG_GEN_CPR_3M","20090331","20090331","Dts=H")</f>
        <v>#N/A Invalid Field</v>
      </c>
      <c r="F396" t="str" cm="1">
        <f t="array" ref="F396">_xll.BDH($D396,"MTG_GEN_CPR_6M","20090331","20090331","Dts=H")</f>
        <v>#N/A Invalid Field</v>
      </c>
      <c r="G396" t="str" cm="1">
        <f t="array" ref="G396">_xll.BDH($D396,"MTG_GEN_CPR_12M","20090331","20090331","Dts=H")</f>
        <v>#N/A Invalid Field</v>
      </c>
      <c r="H396" t="str" cm="1">
        <f t="array" ref="H396">_xll.BDH($D396,"MTG_GEN_CPR_3M","20090610","20090610","Dts=H")</f>
        <v>#N/A Invalid Field</v>
      </c>
      <c r="I396" t="str" cm="1">
        <f t="array" ref="I396">_xll.BDH($D396,"MTG_GEN_CPR_6M","20090610","20090610","Dts=H")</f>
        <v>#N/A Invalid Field</v>
      </c>
      <c r="J396" t="str" cm="1">
        <f t="array" ref="J396">_xll.BDH($D396,"MTG_GEN_CPR_12M","20090610","20090610","Dts=H")</f>
        <v>#N/A Invalid Field</v>
      </c>
      <c r="K396" t="str" cm="1">
        <f t="array" ref="K396">_xll.BDP(D396,"MTG_PREPAY_TYP")</f>
        <v>#N/A N/A</v>
      </c>
      <c r="L396" t="str" cm="1">
        <f t="array" ref="L396">_xll.BDP(D396,"MTG_PREPAY_SPEED")</f>
        <v>#N/A N/A</v>
      </c>
      <c r="M396" cm="1">
        <f t="array" ref="M396">_xll.BDP(D396,"MTG_PL_PSA_1M ")</f>
        <v>1666.7</v>
      </c>
      <c r="N396" cm="1">
        <f t="array" ref="N396">_xll.BDP(D396,"MTG_PL_PSA_3M ")</f>
        <v>1666.7</v>
      </c>
      <c r="O396" cm="1">
        <f t="array" ref="O396">_xll.BDP(D396,"MTG_PL_PSA_6M ")</f>
        <v>1666.7</v>
      </c>
    </row>
    <row r="397" spans="1:15" x14ac:dyDescent="0.25">
      <c r="A397" t="s">
        <v>1203</v>
      </c>
      <c r="B397" t="s">
        <v>1204</v>
      </c>
      <c r="C397" t="s">
        <v>100</v>
      </c>
      <c r="D397" t="s">
        <v>1205</v>
      </c>
      <c r="E397" t="str" cm="1">
        <f t="array" ref="E397">_xll.BDH($D397,"MTG_GEN_CPR_3M","20090331","20090331","Dts=H")</f>
        <v>#N/A Invalid Field</v>
      </c>
      <c r="F397" t="str" cm="1">
        <f t="array" ref="F397">_xll.BDH($D397,"MTG_GEN_CPR_6M","20090331","20090331","Dts=H")</f>
        <v>#N/A Invalid Field</v>
      </c>
      <c r="G397" t="str" cm="1">
        <f t="array" ref="G397">_xll.BDH($D397,"MTG_GEN_CPR_12M","20090331","20090331","Dts=H")</f>
        <v>#N/A Invalid Field</v>
      </c>
      <c r="H397" t="str" cm="1">
        <f t="array" ref="H397">_xll.BDH($D397,"MTG_GEN_CPR_3M","20090610","20090610","Dts=H")</f>
        <v>#N/A Invalid Field</v>
      </c>
      <c r="I397" t="str" cm="1">
        <f t="array" ref="I397">_xll.BDH($D397,"MTG_GEN_CPR_6M","20090610","20090610","Dts=H")</f>
        <v>#N/A Invalid Field</v>
      </c>
      <c r="J397" t="str" cm="1">
        <f t="array" ref="J397">_xll.BDH($D397,"MTG_GEN_CPR_12M","20090610","20090610","Dts=H")</f>
        <v>#N/A Invalid Field</v>
      </c>
      <c r="K397" t="str" cm="1">
        <f t="array" ref="K397">_xll.BDP(D397,"MTG_PREPAY_TYP")</f>
        <v>#N/A N/A</v>
      </c>
      <c r="L397" t="str" cm="1">
        <f t="array" ref="L397">_xll.BDP(D397,"MTG_PREPAY_SPEED")</f>
        <v>#N/A N/A</v>
      </c>
      <c r="M397" cm="1">
        <f t="array" ref="M397">_xll.BDP(D397,"MTG_PL_PSA_1M ")</f>
        <v>1666.7</v>
      </c>
      <c r="N397" cm="1">
        <f t="array" ref="N397">_xll.BDP(D397,"MTG_PL_PSA_3M ")</f>
        <v>1666.7</v>
      </c>
      <c r="O397" cm="1">
        <f t="array" ref="O397">_xll.BDP(D397,"MTG_PL_PSA_6M ")</f>
        <v>1666.7</v>
      </c>
    </row>
    <row r="398" spans="1:15" x14ac:dyDescent="0.25">
      <c r="A398" t="s">
        <v>1206</v>
      </c>
      <c r="B398" t="s">
        <v>1207</v>
      </c>
      <c r="C398" t="s">
        <v>100</v>
      </c>
      <c r="D398" t="s">
        <v>1208</v>
      </c>
      <c r="E398" t="str" cm="1">
        <f t="array" ref="E398">_xll.BDH($D398,"MTG_GEN_CPR_3M","20090331","20090331","Dts=H")</f>
        <v>#N/A Invalid Field</v>
      </c>
      <c r="F398" t="str" cm="1">
        <f t="array" ref="F398">_xll.BDH($D398,"MTG_GEN_CPR_6M","20090331","20090331","Dts=H")</f>
        <v>#N/A Invalid Field</v>
      </c>
      <c r="G398" t="str" cm="1">
        <f t="array" ref="G398">_xll.BDH($D398,"MTG_GEN_CPR_12M","20090331","20090331","Dts=H")</f>
        <v>#N/A Invalid Field</v>
      </c>
      <c r="H398" t="str" cm="1">
        <f t="array" ref="H398">_xll.BDH($D398,"MTG_GEN_CPR_3M","20090610","20090610","Dts=H")</f>
        <v>#N/A Invalid Field</v>
      </c>
      <c r="I398" t="str" cm="1">
        <f t="array" ref="I398">_xll.BDH($D398,"MTG_GEN_CPR_6M","20090610","20090610","Dts=H")</f>
        <v>#N/A Invalid Field</v>
      </c>
      <c r="J398" t="str" cm="1">
        <f t="array" ref="J398">_xll.BDH($D398,"MTG_GEN_CPR_12M","20090610","20090610","Dts=H")</f>
        <v>#N/A Invalid Field</v>
      </c>
      <c r="K398" t="str" cm="1">
        <f t="array" ref="K398">_xll.BDP(D398,"MTG_PREPAY_TYP")</f>
        <v>#N/A N/A</v>
      </c>
      <c r="L398" t="str" cm="1">
        <f t="array" ref="L398">_xll.BDP(D398,"MTG_PREPAY_SPEED")</f>
        <v>#N/A N/A</v>
      </c>
      <c r="M398" cm="1">
        <f t="array" ref="M398">_xll.BDP(D398,"MTG_PL_PSA_1M ")</f>
        <v>1666.7</v>
      </c>
      <c r="N398" cm="1">
        <f t="array" ref="N398">_xll.BDP(D398,"MTG_PL_PSA_3M ")</f>
        <v>1666.7</v>
      </c>
      <c r="O398" cm="1">
        <f t="array" ref="O398">_xll.BDP(D398,"MTG_PL_PSA_6M ")</f>
        <v>1666.7</v>
      </c>
    </row>
    <row r="399" spans="1:15" x14ac:dyDescent="0.25">
      <c r="A399" t="s">
        <v>1209</v>
      </c>
      <c r="B399" t="s">
        <v>1210</v>
      </c>
      <c r="C399" t="s">
        <v>100</v>
      </c>
      <c r="D399" t="s">
        <v>1211</v>
      </c>
      <c r="E399" t="str" cm="1">
        <f t="array" ref="E399">_xll.BDH($D399,"MTG_GEN_CPR_3M","20090331","20090331","Dts=H")</f>
        <v>#N/A Invalid Field</v>
      </c>
      <c r="F399" t="str" cm="1">
        <f t="array" ref="F399">_xll.BDH($D399,"MTG_GEN_CPR_6M","20090331","20090331","Dts=H")</f>
        <v>#N/A Invalid Field</v>
      </c>
      <c r="G399" t="str" cm="1">
        <f t="array" ref="G399">_xll.BDH($D399,"MTG_GEN_CPR_12M","20090331","20090331","Dts=H")</f>
        <v>#N/A Invalid Field</v>
      </c>
      <c r="H399" t="str" cm="1">
        <f t="array" ref="H399">_xll.BDH($D399,"MTG_GEN_CPR_3M","20090610","20090610","Dts=H")</f>
        <v>#N/A Invalid Field</v>
      </c>
      <c r="I399" t="str" cm="1">
        <f t="array" ref="I399">_xll.BDH($D399,"MTG_GEN_CPR_6M","20090610","20090610","Dts=H")</f>
        <v>#N/A Invalid Field</v>
      </c>
      <c r="J399" t="str" cm="1">
        <f t="array" ref="J399">_xll.BDH($D399,"MTG_GEN_CPR_12M","20090610","20090610","Dts=H")</f>
        <v>#N/A Invalid Field</v>
      </c>
      <c r="K399" t="str" cm="1">
        <f t="array" ref="K399">_xll.BDP(D399,"MTG_PREPAY_TYP")</f>
        <v>#N/A N/A</v>
      </c>
      <c r="L399" t="str" cm="1">
        <f t="array" ref="L399">_xll.BDP(D399,"MTG_PREPAY_SPEED")</f>
        <v>#N/A N/A</v>
      </c>
      <c r="M399" cm="1">
        <f t="array" ref="M399">_xll.BDP(D399,"MTG_PL_PSA_1M ")</f>
        <v>1666.7</v>
      </c>
      <c r="N399" cm="1">
        <f t="array" ref="N399">_xll.BDP(D399,"MTG_PL_PSA_3M ")</f>
        <v>1666.7</v>
      </c>
      <c r="O399" cm="1">
        <f t="array" ref="O399">_xll.BDP(D399,"MTG_PL_PSA_6M ")</f>
        <v>1666.7</v>
      </c>
    </row>
    <row r="400" spans="1:15" x14ac:dyDescent="0.25">
      <c r="A400" t="s">
        <v>1212</v>
      </c>
      <c r="B400" t="s">
        <v>1213</v>
      </c>
      <c r="C400" t="s">
        <v>100</v>
      </c>
      <c r="D400" t="s">
        <v>1214</v>
      </c>
      <c r="E400" t="str" cm="1">
        <f t="array" ref="E400">_xll.BDH($D400,"MTG_GEN_CPR_3M","20090331","20090331","Dts=H")</f>
        <v>#N/A Invalid Field</v>
      </c>
      <c r="F400" t="str" cm="1">
        <f t="array" ref="F400">_xll.BDH($D400,"MTG_GEN_CPR_6M","20090331","20090331","Dts=H")</f>
        <v>#N/A Invalid Field</v>
      </c>
      <c r="G400" t="str" cm="1">
        <f t="array" ref="G400">_xll.BDH($D400,"MTG_GEN_CPR_12M","20090331","20090331","Dts=H")</f>
        <v>#N/A Invalid Field</v>
      </c>
      <c r="H400" t="str" cm="1">
        <f t="array" ref="H400">_xll.BDH($D400,"MTG_GEN_CPR_3M","20090610","20090610","Dts=H")</f>
        <v>#N/A Invalid Field</v>
      </c>
      <c r="I400" t="str" cm="1">
        <f t="array" ref="I400">_xll.BDH($D400,"MTG_GEN_CPR_6M","20090610","20090610","Dts=H")</f>
        <v>#N/A Invalid Field</v>
      </c>
      <c r="J400" t="str" cm="1">
        <f t="array" ref="J400">_xll.BDH($D400,"MTG_GEN_CPR_12M","20090610","20090610","Dts=H")</f>
        <v>#N/A Invalid Field</v>
      </c>
      <c r="K400" t="str" cm="1">
        <f t="array" ref="K400">_xll.BDP(D400,"MTG_PREPAY_TYP")</f>
        <v>PSA</v>
      </c>
      <c r="L400" cm="1">
        <f t="array" ref="L400">_xll.BDP(D400,"MTG_PREPAY_SPEED")</f>
        <v>169</v>
      </c>
      <c r="M400" cm="1">
        <f t="array" ref="M400">_xll.BDP(D400,"MTG_PL_PSA_1M ")</f>
        <v>0.4</v>
      </c>
      <c r="N400" cm="1">
        <f t="array" ref="N400">_xll.BDP(D400,"MTG_PL_PSA_3M ")</f>
        <v>0.4</v>
      </c>
      <c r="O400" cm="1">
        <f t="array" ref="O400">_xll.BDP(D400,"MTG_PL_PSA_6M ")</f>
        <v>0.4</v>
      </c>
    </row>
    <row r="401" spans="1:15" x14ac:dyDescent="0.25">
      <c r="A401" t="s">
        <v>1215</v>
      </c>
      <c r="B401" t="s">
        <v>1216</v>
      </c>
      <c r="C401" t="s">
        <v>100</v>
      </c>
      <c r="D401" t="s">
        <v>1217</v>
      </c>
      <c r="E401" t="str" cm="1">
        <f t="array" ref="E401">_xll.BDH($D401,"MTG_GEN_CPR_3M","20090331","20090331","Dts=H")</f>
        <v>#N/A Invalid Field</v>
      </c>
      <c r="F401" t="str" cm="1">
        <f t="array" ref="F401">_xll.BDH($D401,"MTG_GEN_CPR_6M","20090331","20090331","Dts=H")</f>
        <v>#N/A Invalid Field</v>
      </c>
      <c r="G401" t="str" cm="1">
        <f t="array" ref="G401">_xll.BDH($D401,"MTG_GEN_CPR_12M","20090331","20090331","Dts=H")</f>
        <v>#N/A Invalid Field</v>
      </c>
      <c r="H401" t="str" cm="1">
        <f t="array" ref="H401">_xll.BDH($D401,"MTG_GEN_CPR_3M","20090610","20090610","Dts=H")</f>
        <v>#N/A Invalid Field</v>
      </c>
      <c r="I401" t="str" cm="1">
        <f t="array" ref="I401">_xll.BDH($D401,"MTG_GEN_CPR_6M","20090610","20090610","Dts=H")</f>
        <v>#N/A Invalid Field</v>
      </c>
      <c r="J401" t="str" cm="1">
        <f t="array" ref="J401">_xll.BDH($D401,"MTG_GEN_CPR_12M","20090610","20090610","Dts=H")</f>
        <v>#N/A Invalid Field</v>
      </c>
      <c r="K401" t="str" cm="1">
        <f t="array" ref="K401">_xll.BDP(D401,"MTG_PREPAY_TYP")</f>
        <v>#N/A N/A</v>
      </c>
      <c r="L401" t="str" cm="1">
        <f t="array" ref="L401">_xll.BDP(D401,"MTG_PREPAY_SPEED")</f>
        <v>#N/A N/A</v>
      </c>
      <c r="M401" cm="1">
        <f t="array" ref="M401">_xll.BDP(D401,"MTG_PL_PSA_1M ")</f>
        <v>1666.7</v>
      </c>
      <c r="N401" cm="1">
        <f t="array" ref="N401">_xll.BDP(D401,"MTG_PL_PSA_3M ")</f>
        <v>1666.7</v>
      </c>
      <c r="O401" cm="1">
        <f t="array" ref="O401">_xll.BDP(D401,"MTG_PL_PSA_6M ")</f>
        <v>1666.7</v>
      </c>
    </row>
    <row r="402" spans="1:15" x14ac:dyDescent="0.25">
      <c r="A402" t="s">
        <v>1218</v>
      </c>
      <c r="B402" t="s">
        <v>1219</v>
      </c>
      <c r="C402" t="s">
        <v>100</v>
      </c>
      <c r="D402" t="s">
        <v>1220</v>
      </c>
      <c r="E402" t="str" cm="1">
        <f t="array" ref="E402">_xll.BDH($D402,"MTG_GEN_CPR_3M","20090331","20090331","Dts=H")</f>
        <v>#N/A Invalid Field</v>
      </c>
      <c r="F402" t="str" cm="1">
        <f t="array" ref="F402">_xll.BDH($D402,"MTG_GEN_CPR_6M","20090331","20090331","Dts=H")</f>
        <v>#N/A Invalid Field</v>
      </c>
      <c r="G402" t="str" cm="1">
        <f t="array" ref="G402">_xll.BDH($D402,"MTG_GEN_CPR_12M","20090331","20090331","Dts=H")</f>
        <v>#N/A Invalid Field</v>
      </c>
      <c r="H402" t="str" cm="1">
        <f t="array" ref="H402">_xll.BDH($D402,"MTG_GEN_CPR_3M","20090610","20090610","Dts=H")</f>
        <v>#N/A Invalid Field</v>
      </c>
      <c r="I402" t="str" cm="1">
        <f t="array" ref="I402">_xll.BDH($D402,"MTG_GEN_CPR_6M","20090610","20090610","Dts=H")</f>
        <v>#N/A Invalid Field</v>
      </c>
      <c r="J402" t="str" cm="1">
        <f t="array" ref="J402">_xll.BDH($D402,"MTG_GEN_CPR_12M","20090610","20090610","Dts=H")</f>
        <v>#N/A Invalid Field</v>
      </c>
      <c r="K402" t="str" cm="1">
        <f t="array" ref="K402">_xll.BDP(D402,"MTG_PREPAY_TYP")</f>
        <v>CPR</v>
      </c>
      <c r="L402" cm="1">
        <f t="array" ref="L402">_xll.BDP(D402,"MTG_PREPAY_SPEED")</f>
        <v>3.08</v>
      </c>
      <c r="M402" cm="1">
        <f t="array" ref="M402">_xll.BDP(D402,"MTG_PL_PSA_1M ")</f>
        <v>53.6</v>
      </c>
      <c r="N402" cm="1">
        <f t="array" ref="N402">_xll.BDP(D402,"MTG_PL_PSA_3M ")</f>
        <v>52.4</v>
      </c>
      <c r="O402" cm="1">
        <f t="array" ref="O402">_xll.BDP(D402,"MTG_PL_PSA_6M ")</f>
        <v>51.3</v>
      </c>
    </row>
    <row r="403" spans="1:15" x14ac:dyDescent="0.25">
      <c r="A403" t="s">
        <v>1221</v>
      </c>
      <c r="B403" t="s">
        <v>1222</v>
      </c>
      <c r="C403" t="s">
        <v>100</v>
      </c>
      <c r="D403" t="s">
        <v>1223</v>
      </c>
      <c r="E403" t="str" cm="1">
        <f t="array" ref="E403">_xll.BDH($D403,"MTG_GEN_CPR_3M","20090331","20090331","Dts=H")</f>
        <v>#N/A Invalid Field</v>
      </c>
      <c r="F403" t="str" cm="1">
        <f t="array" ref="F403">_xll.BDH($D403,"MTG_GEN_CPR_6M","20090331","20090331","Dts=H")</f>
        <v>#N/A Invalid Field</v>
      </c>
      <c r="G403" t="str" cm="1">
        <f t="array" ref="G403">_xll.BDH($D403,"MTG_GEN_CPR_12M","20090331","20090331","Dts=H")</f>
        <v>#N/A Invalid Field</v>
      </c>
      <c r="H403" t="str" cm="1">
        <f t="array" ref="H403">_xll.BDH($D403,"MTG_GEN_CPR_3M","20090610","20090610","Dts=H")</f>
        <v>#N/A Invalid Field</v>
      </c>
      <c r="I403" t="str" cm="1">
        <f t="array" ref="I403">_xll.BDH($D403,"MTG_GEN_CPR_6M","20090610","20090610","Dts=H")</f>
        <v>#N/A Invalid Field</v>
      </c>
      <c r="J403" t="str" cm="1">
        <f t="array" ref="J403">_xll.BDH($D403,"MTG_GEN_CPR_12M","20090610","20090610","Dts=H")</f>
        <v>#N/A Invalid Field</v>
      </c>
      <c r="K403" t="str" cm="1">
        <f t="array" ref="K403">_xll.BDP(D403,"MTG_PREPAY_TYP")</f>
        <v>CPR</v>
      </c>
      <c r="L403" cm="1">
        <f t="array" ref="L403">_xll.BDP(D403,"MTG_PREPAY_SPEED")</f>
        <v>0.3</v>
      </c>
      <c r="M403" cm="1">
        <f t="array" ref="M403">_xll.BDP(D403,"MTG_PL_PSA_1M ")</f>
        <v>4.8</v>
      </c>
      <c r="N403" cm="1">
        <f t="array" ref="N403">_xll.BDP(D403,"MTG_PL_PSA_3M ")</f>
        <v>4.7</v>
      </c>
      <c r="O403" cm="1">
        <f t="array" ref="O403">_xll.BDP(D403,"MTG_PL_PSA_6M ")</f>
        <v>5</v>
      </c>
    </row>
    <row r="404" spans="1:15" x14ac:dyDescent="0.25">
      <c r="A404" t="s">
        <v>1224</v>
      </c>
      <c r="B404" t="s">
        <v>1225</v>
      </c>
      <c r="C404" t="s">
        <v>100</v>
      </c>
      <c r="D404" t="s">
        <v>1226</v>
      </c>
      <c r="E404" t="str" cm="1">
        <f t="array" ref="E404">_xll.BDH($D404,"MTG_GEN_CPR_3M","20090331","20090331","Dts=H")</f>
        <v>#N/A Invalid Field</v>
      </c>
      <c r="F404" t="str" cm="1">
        <f t="array" ref="F404">_xll.BDH($D404,"MTG_GEN_CPR_6M","20090331","20090331","Dts=H")</f>
        <v>#N/A Invalid Field</v>
      </c>
      <c r="G404" t="str" cm="1">
        <f t="array" ref="G404">_xll.BDH($D404,"MTG_GEN_CPR_12M","20090331","20090331","Dts=H")</f>
        <v>#N/A Invalid Field</v>
      </c>
      <c r="H404" t="str" cm="1">
        <f t="array" ref="H404">_xll.BDH($D404,"MTG_GEN_CPR_3M","20090610","20090610","Dts=H")</f>
        <v>#N/A Invalid Field</v>
      </c>
      <c r="I404" t="str" cm="1">
        <f t="array" ref="I404">_xll.BDH($D404,"MTG_GEN_CPR_6M","20090610","20090610","Dts=H")</f>
        <v>#N/A Invalid Field</v>
      </c>
      <c r="J404" t="str" cm="1">
        <f t="array" ref="J404">_xll.BDH($D404,"MTG_GEN_CPR_12M","20090610","20090610","Dts=H")</f>
        <v>#N/A Invalid Field</v>
      </c>
      <c r="K404" t="str" cm="1">
        <f t="array" ref="K404">_xll.BDP(D404,"MTG_PREPAY_TYP")</f>
        <v>PSA</v>
      </c>
      <c r="L404" cm="1">
        <f t="array" ref="L404">_xll.BDP(D404,"MTG_PREPAY_SPEED")</f>
        <v>182</v>
      </c>
      <c r="M404" cm="1">
        <f t="array" ref="M404">_xll.BDP(D404,"MTG_PL_PSA_1M ")</f>
        <v>0.7</v>
      </c>
      <c r="N404" cm="1">
        <f t="array" ref="N404">_xll.BDP(D404,"MTG_PL_PSA_3M ")</f>
        <v>0.7</v>
      </c>
      <c r="O404" cm="1">
        <f t="array" ref="O404">_xll.BDP(D404,"MTG_PL_PSA_6M ")</f>
        <v>0.6</v>
      </c>
    </row>
    <row r="405" spans="1:15" x14ac:dyDescent="0.25">
      <c r="A405" t="s">
        <v>1227</v>
      </c>
      <c r="B405" t="s">
        <v>1228</v>
      </c>
      <c r="C405" t="s">
        <v>100</v>
      </c>
      <c r="D405" t="s">
        <v>1229</v>
      </c>
      <c r="E405" t="str" cm="1">
        <f t="array" ref="E405">_xll.BDH($D405,"MTG_GEN_CPR_3M","20090331","20090331","Dts=H")</f>
        <v>#N/A Invalid Field</v>
      </c>
      <c r="F405" t="str" cm="1">
        <f t="array" ref="F405">_xll.BDH($D405,"MTG_GEN_CPR_6M","20090331","20090331","Dts=H")</f>
        <v>#N/A Invalid Field</v>
      </c>
      <c r="G405" t="str" cm="1">
        <f t="array" ref="G405">_xll.BDH($D405,"MTG_GEN_CPR_12M","20090331","20090331","Dts=H")</f>
        <v>#N/A Invalid Field</v>
      </c>
      <c r="H405" t="str" cm="1">
        <f t="array" ref="H405">_xll.BDH($D405,"MTG_GEN_CPR_3M","20090610","20090610","Dts=H")</f>
        <v>#N/A Invalid Field</v>
      </c>
      <c r="I405" t="str" cm="1">
        <f t="array" ref="I405">_xll.BDH($D405,"MTG_GEN_CPR_6M","20090610","20090610","Dts=H")</f>
        <v>#N/A Invalid Field</v>
      </c>
      <c r="J405" t="str" cm="1">
        <f t="array" ref="J405">_xll.BDH($D405,"MTG_GEN_CPR_12M","20090610","20090610","Dts=H")</f>
        <v>#N/A Invalid Field</v>
      </c>
      <c r="K405" t="str" cm="1">
        <f t="array" ref="K405">_xll.BDP(D405,"MTG_PREPAY_TYP")</f>
        <v>#N/A N/A</v>
      </c>
      <c r="L405" t="str" cm="1">
        <f t="array" ref="L405">_xll.BDP(D405,"MTG_PREPAY_SPEED")</f>
        <v>#N/A N/A</v>
      </c>
      <c r="M405" cm="1">
        <f t="array" ref="M405">_xll.BDP(D405,"MTG_PL_PSA_1M ")</f>
        <v>1666.7</v>
      </c>
      <c r="N405" cm="1">
        <f t="array" ref="N405">_xll.BDP(D405,"MTG_PL_PSA_3M ")</f>
        <v>1666.7</v>
      </c>
      <c r="O405" cm="1">
        <f t="array" ref="O405">_xll.BDP(D405,"MTG_PL_PSA_6M ")</f>
        <v>1666.7</v>
      </c>
    </row>
    <row r="406" spans="1:15" x14ac:dyDescent="0.25">
      <c r="A406" t="s">
        <v>1230</v>
      </c>
      <c r="B406" t="s">
        <v>1231</v>
      </c>
      <c r="C406" t="s">
        <v>100</v>
      </c>
      <c r="D406" t="s">
        <v>1232</v>
      </c>
      <c r="E406" t="str" cm="1">
        <f t="array" ref="E406">_xll.BDH($D406,"MTG_GEN_CPR_3M","20090331","20090331","Dts=H")</f>
        <v>#N/A Invalid Field</v>
      </c>
      <c r="F406" t="str" cm="1">
        <f t="array" ref="F406">_xll.BDH($D406,"MTG_GEN_CPR_6M","20090331","20090331","Dts=H")</f>
        <v>#N/A Invalid Field</v>
      </c>
      <c r="G406" t="str" cm="1">
        <f t="array" ref="G406">_xll.BDH($D406,"MTG_GEN_CPR_12M","20090331","20090331","Dts=H")</f>
        <v>#N/A Invalid Field</v>
      </c>
      <c r="H406" t="str" cm="1">
        <f t="array" ref="H406">_xll.BDH($D406,"MTG_GEN_CPR_3M","20090610","20090610","Dts=H")</f>
        <v>#N/A Invalid Field</v>
      </c>
      <c r="I406" t="str" cm="1">
        <f t="array" ref="I406">_xll.BDH($D406,"MTG_GEN_CPR_6M","20090610","20090610","Dts=H")</f>
        <v>#N/A Invalid Field</v>
      </c>
      <c r="J406" t="str" cm="1">
        <f t="array" ref="J406">_xll.BDH($D406,"MTG_GEN_CPR_12M","20090610","20090610","Dts=H")</f>
        <v>#N/A Invalid Field</v>
      </c>
      <c r="K406" t="str" cm="1">
        <f t="array" ref="K406">_xll.BDP(D406,"MTG_PREPAY_TYP")</f>
        <v>#N/A N/A</v>
      </c>
      <c r="L406" t="str" cm="1">
        <f t="array" ref="L406">_xll.BDP(D406,"MTG_PREPAY_SPEED")</f>
        <v>#N/A N/A</v>
      </c>
      <c r="M406" cm="1">
        <f t="array" ref="M406">_xll.BDP(D406,"MTG_PL_PSA_1M ")</f>
        <v>1666.7</v>
      </c>
      <c r="N406" cm="1">
        <f t="array" ref="N406">_xll.BDP(D406,"MTG_PL_PSA_3M ")</f>
        <v>1666.7</v>
      </c>
      <c r="O406" cm="1">
        <f t="array" ref="O406">_xll.BDP(D406,"MTG_PL_PSA_6M ")</f>
        <v>1666.7</v>
      </c>
    </row>
    <row r="407" spans="1:15" x14ac:dyDescent="0.25">
      <c r="A407" t="s">
        <v>1233</v>
      </c>
      <c r="B407" t="s">
        <v>1234</v>
      </c>
      <c r="C407" t="s">
        <v>100</v>
      </c>
      <c r="D407" t="s">
        <v>1235</v>
      </c>
      <c r="E407" t="str" cm="1">
        <f t="array" ref="E407">_xll.BDH($D407,"MTG_GEN_CPR_3M","20090331","20090331","Dts=H")</f>
        <v>#N/A Invalid Field</v>
      </c>
      <c r="F407" t="str" cm="1">
        <f t="array" ref="F407">_xll.BDH($D407,"MTG_GEN_CPR_6M","20090331","20090331","Dts=H")</f>
        <v>#N/A Invalid Field</v>
      </c>
      <c r="G407" t="str" cm="1">
        <f t="array" ref="G407">_xll.BDH($D407,"MTG_GEN_CPR_12M","20090331","20090331","Dts=H")</f>
        <v>#N/A Invalid Field</v>
      </c>
      <c r="H407" t="str" cm="1">
        <f t="array" ref="H407">_xll.BDH($D407,"MTG_GEN_CPR_3M","20090610","20090610","Dts=H")</f>
        <v>#N/A Invalid Field</v>
      </c>
      <c r="I407" t="str" cm="1">
        <f t="array" ref="I407">_xll.BDH($D407,"MTG_GEN_CPR_6M","20090610","20090610","Dts=H")</f>
        <v>#N/A Invalid Field</v>
      </c>
      <c r="J407" t="str" cm="1">
        <f t="array" ref="J407">_xll.BDH($D407,"MTG_GEN_CPR_12M","20090610","20090610","Dts=H")</f>
        <v>#N/A Invalid Field</v>
      </c>
      <c r="K407" t="str" cm="1">
        <f t="array" ref="K407">_xll.BDP(D407,"MTG_PREPAY_TYP")</f>
        <v>#N/A N/A</v>
      </c>
      <c r="L407" t="str" cm="1">
        <f t="array" ref="L407">_xll.BDP(D407,"MTG_PREPAY_SPEED")</f>
        <v>#N/A N/A</v>
      </c>
      <c r="M407" cm="1">
        <f t="array" ref="M407">_xll.BDP(D407,"MTG_PL_PSA_1M ")</f>
        <v>1666.7</v>
      </c>
      <c r="N407" cm="1">
        <f t="array" ref="N407">_xll.BDP(D407,"MTG_PL_PSA_3M ")</f>
        <v>1666.7</v>
      </c>
      <c r="O407" cm="1">
        <f t="array" ref="O407">_xll.BDP(D407,"MTG_PL_PSA_6M ")</f>
        <v>1666.7</v>
      </c>
    </row>
    <row r="408" spans="1:15" x14ac:dyDescent="0.25">
      <c r="A408" t="s">
        <v>1236</v>
      </c>
      <c r="B408" t="s">
        <v>1237</v>
      </c>
      <c r="C408" t="s">
        <v>100</v>
      </c>
      <c r="D408" t="s">
        <v>1238</v>
      </c>
      <c r="E408" t="str" cm="1">
        <f t="array" ref="E408">_xll.BDH($D408,"MTG_GEN_CPR_3M","20090331","20090331","Dts=H")</f>
        <v>#N/A Invalid Field</v>
      </c>
      <c r="F408" t="str" cm="1">
        <f t="array" ref="F408">_xll.BDH($D408,"MTG_GEN_CPR_6M","20090331","20090331","Dts=H")</f>
        <v>#N/A Invalid Field</v>
      </c>
      <c r="G408" t="str" cm="1">
        <f t="array" ref="G408">_xll.BDH($D408,"MTG_GEN_CPR_12M","20090331","20090331","Dts=H")</f>
        <v>#N/A Invalid Field</v>
      </c>
      <c r="H408" t="str" cm="1">
        <f t="array" ref="H408">_xll.BDH($D408,"MTG_GEN_CPR_3M","20090610","20090610","Dts=H")</f>
        <v>#N/A Invalid Field</v>
      </c>
      <c r="I408" t="str" cm="1">
        <f t="array" ref="I408">_xll.BDH($D408,"MTG_GEN_CPR_6M","20090610","20090610","Dts=H")</f>
        <v>#N/A Invalid Field</v>
      </c>
      <c r="J408" t="str" cm="1">
        <f t="array" ref="J408">_xll.BDH($D408,"MTG_GEN_CPR_12M","20090610","20090610","Dts=H")</f>
        <v>#N/A Invalid Field</v>
      </c>
      <c r="K408" t="str" cm="1">
        <f t="array" ref="K408">_xll.BDP(D408,"MTG_PREPAY_TYP")</f>
        <v>PSA</v>
      </c>
      <c r="L408" cm="1">
        <f t="array" ref="L408">_xll.BDP(D408,"MTG_PREPAY_SPEED")</f>
        <v>182</v>
      </c>
      <c r="M408" cm="1">
        <f t="array" ref="M408">_xll.BDP(D408,"MTG_PL_PSA_1M ")</f>
        <v>0.5</v>
      </c>
      <c r="N408" cm="1">
        <f t="array" ref="N408">_xll.BDP(D408,"MTG_PL_PSA_3M ")</f>
        <v>0.5</v>
      </c>
      <c r="O408" cm="1">
        <f t="array" ref="O408">_xll.BDP(D408,"MTG_PL_PSA_6M ")</f>
        <v>0.5</v>
      </c>
    </row>
    <row r="409" spans="1:15" x14ac:dyDescent="0.25">
      <c r="A409" t="s">
        <v>1239</v>
      </c>
      <c r="B409" t="s">
        <v>1240</v>
      </c>
      <c r="C409" t="s">
        <v>100</v>
      </c>
      <c r="D409" t="s">
        <v>1241</v>
      </c>
      <c r="E409" t="str" cm="1">
        <f t="array" ref="E409">_xll.BDH($D409,"MTG_GEN_CPR_3M","20090331","20090331","Dts=H")</f>
        <v>#N/A Invalid Field</v>
      </c>
      <c r="F409" t="str" cm="1">
        <f t="array" ref="F409">_xll.BDH($D409,"MTG_GEN_CPR_6M","20090331","20090331","Dts=H")</f>
        <v>#N/A Invalid Field</v>
      </c>
      <c r="G409" t="str" cm="1">
        <f t="array" ref="G409">_xll.BDH($D409,"MTG_GEN_CPR_12M","20090331","20090331","Dts=H")</f>
        <v>#N/A Invalid Field</v>
      </c>
      <c r="H409" t="str" cm="1">
        <f t="array" ref="H409">_xll.BDH($D409,"MTG_GEN_CPR_3M","20090610","20090610","Dts=H")</f>
        <v>#N/A Invalid Field</v>
      </c>
      <c r="I409" t="str" cm="1">
        <f t="array" ref="I409">_xll.BDH($D409,"MTG_GEN_CPR_6M","20090610","20090610","Dts=H")</f>
        <v>#N/A Invalid Field</v>
      </c>
      <c r="J409" t="str" cm="1">
        <f t="array" ref="J409">_xll.BDH($D409,"MTG_GEN_CPR_12M","20090610","20090610","Dts=H")</f>
        <v>#N/A Invalid Field</v>
      </c>
      <c r="K409" t="str" cm="1">
        <f t="array" ref="K409">_xll.BDP(D409,"MTG_PREPAY_TYP")</f>
        <v>#N/A N/A</v>
      </c>
      <c r="L409" t="str" cm="1">
        <f t="array" ref="L409">_xll.BDP(D409,"MTG_PREPAY_SPEED")</f>
        <v>#N/A N/A</v>
      </c>
      <c r="M409" cm="1">
        <f t="array" ref="M409">_xll.BDP(D409,"MTG_PL_PSA_1M ")</f>
        <v>1666.7</v>
      </c>
      <c r="N409" cm="1">
        <f t="array" ref="N409">_xll.BDP(D409,"MTG_PL_PSA_3M ")</f>
        <v>1666.7</v>
      </c>
      <c r="O409" cm="1">
        <f t="array" ref="O409">_xll.BDP(D409,"MTG_PL_PSA_6M ")</f>
        <v>1666.7</v>
      </c>
    </row>
    <row r="410" spans="1:15" x14ac:dyDescent="0.25">
      <c r="A410" t="s">
        <v>1242</v>
      </c>
      <c r="B410" t="s">
        <v>1243</v>
      </c>
      <c r="C410" t="s">
        <v>100</v>
      </c>
      <c r="D410" t="s">
        <v>1244</v>
      </c>
      <c r="E410" t="str" cm="1">
        <f t="array" ref="E410">_xll.BDH($D410,"MTG_GEN_CPR_3M","20090331","20090331","Dts=H")</f>
        <v>#N/A Invalid Field</v>
      </c>
      <c r="F410" t="str" cm="1">
        <f t="array" ref="F410">_xll.BDH($D410,"MTG_GEN_CPR_6M","20090331","20090331","Dts=H")</f>
        <v>#N/A Invalid Field</v>
      </c>
      <c r="G410" t="str" cm="1">
        <f t="array" ref="G410">_xll.BDH($D410,"MTG_GEN_CPR_12M","20090331","20090331","Dts=H")</f>
        <v>#N/A Invalid Field</v>
      </c>
      <c r="H410" t="str" cm="1">
        <f t="array" ref="H410">_xll.BDH($D410,"MTG_GEN_CPR_3M","20090610","20090610","Dts=H")</f>
        <v>#N/A Invalid Field</v>
      </c>
      <c r="I410" t="str" cm="1">
        <f t="array" ref="I410">_xll.BDH($D410,"MTG_GEN_CPR_6M","20090610","20090610","Dts=H")</f>
        <v>#N/A Invalid Field</v>
      </c>
      <c r="J410" t="str" cm="1">
        <f t="array" ref="J410">_xll.BDH($D410,"MTG_GEN_CPR_12M","20090610","20090610","Dts=H")</f>
        <v>#N/A Invalid Field</v>
      </c>
      <c r="K410" t="str" cm="1">
        <f t="array" ref="K410">_xll.BDP(D410,"MTG_PREPAY_TYP")</f>
        <v>PSA</v>
      </c>
      <c r="L410" cm="1">
        <f t="array" ref="L410">_xll.BDP(D410,"MTG_PREPAY_SPEED")</f>
        <v>169</v>
      </c>
      <c r="M410" cm="1">
        <f t="array" ref="M410">_xll.BDP(D410,"MTG_PL_PSA_1M ")</f>
        <v>27.6</v>
      </c>
      <c r="N410" cm="1">
        <f t="array" ref="N410">_xll.BDP(D410,"MTG_PL_PSA_3M ")</f>
        <v>16.5</v>
      </c>
      <c r="O410" cm="1">
        <f t="array" ref="O410">_xll.BDP(D410,"MTG_PL_PSA_6M ")</f>
        <v>177.7</v>
      </c>
    </row>
    <row r="411" spans="1:15" x14ac:dyDescent="0.25">
      <c r="A411" t="s">
        <v>1245</v>
      </c>
      <c r="B411" t="s">
        <v>1246</v>
      </c>
      <c r="C411" t="s">
        <v>100</v>
      </c>
      <c r="D411" t="s">
        <v>1247</v>
      </c>
      <c r="E411" t="str" cm="1">
        <f t="array" ref="E411">_xll.BDH($D411,"MTG_GEN_CPR_3M","20090331","20090331","Dts=H")</f>
        <v>#N/A Invalid Field</v>
      </c>
      <c r="F411" t="str" cm="1">
        <f t="array" ref="F411">_xll.BDH($D411,"MTG_GEN_CPR_6M","20090331","20090331","Dts=H")</f>
        <v>#N/A Invalid Field</v>
      </c>
      <c r="G411" t="str" cm="1">
        <f t="array" ref="G411">_xll.BDH($D411,"MTG_GEN_CPR_12M","20090331","20090331","Dts=H")</f>
        <v>#N/A Invalid Field</v>
      </c>
      <c r="H411" t="str" cm="1">
        <f t="array" ref="H411">_xll.BDH($D411,"MTG_GEN_CPR_3M","20090610","20090610","Dts=H")</f>
        <v>#N/A Invalid Field</v>
      </c>
      <c r="I411" t="str" cm="1">
        <f t="array" ref="I411">_xll.BDH($D411,"MTG_GEN_CPR_6M","20090610","20090610","Dts=H")</f>
        <v>#N/A Invalid Field</v>
      </c>
      <c r="J411" t="str" cm="1">
        <f t="array" ref="J411">_xll.BDH($D411,"MTG_GEN_CPR_12M","20090610","20090610","Dts=H")</f>
        <v>#N/A Invalid Field</v>
      </c>
      <c r="K411" t="str" cm="1">
        <f t="array" ref="K411">_xll.BDP(D411,"MTG_PREPAY_TYP")</f>
        <v>#N/A N/A</v>
      </c>
      <c r="L411" t="str" cm="1">
        <f t="array" ref="L411">_xll.BDP(D411,"MTG_PREPAY_SPEED")</f>
        <v>#N/A N/A</v>
      </c>
      <c r="M411" cm="1">
        <f t="array" ref="M411">_xll.BDP(D411,"MTG_PL_PSA_1M ")</f>
        <v>0</v>
      </c>
      <c r="N411" cm="1">
        <f t="array" ref="N411">_xll.BDP(D411,"MTG_PL_PSA_3M ")</f>
        <v>1259.3</v>
      </c>
      <c r="O411" cm="1">
        <f t="array" ref="O411">_xll.BDP(D411,"MTG_PL_PSA_6M ")</f>
        <v>1076.2</v>
      </c>
    </row>
    <row r="412" spans="1:15" x14ac:dyDescent="0.25">
      <c r="A412" t="s">
        <v>1248</v>
      </c>
      <c r="B412" t="s">
        <v>1249</v>
      </c>
      <c r="C412" t="s">
        <v>100</v>
      </c>
      <c r="D412" t="s">
        <v>1250</v>
      </c>
      <c r="E412" t="str" cm="1">
        <f t="array" ref="E412">_xll.BDH($D412,"MTG_GEN_CPR_3M","20090331","20090331","Dts=H")</f>
        <v>#N/A Invalid Field</v>
      </c>
      <c r="F412" t="str" cm="1">
        <f t="array" ref="F412">_xll.BDH($D412,"MTG_GEN_CPR_6M","20090331","20090331","Dts=H")</f>
        <v>#N/A Invalid Field</v>
      </c>
      <c r="G412" t="str" cm="1">
        <f t="array" ref="G412">_xll.BDH($D412,"MTG_GEN_CPR_12M","20090331","20090331","Dts=H")</f>
        <v>#N/A Invalid Field</v>
      </c>
      <c r="H412" t="str" cm="1">
        <f t="array" ref="H412">_xll.BDH($D412,"MTG_GEN_CPR_3M","20090610","20090610","Dts=H")</f>
        <v>#N/A Invalid Field</v>
      </c>
      <c r="I412" t="str" cm="1">
        <f t="array" ref="I412">_xll.BDH($D412,"MTG_GEN_CPR_6M","20090610","20090610","Dts=H")</f>
        <v>#N/A Invalid Field</v>
      </c>
      <c r="J412" t="str" cm="1">
        <f t="array" ref="J412">_xll.BDH($D412,"MTG_GEN_CPR_12M","20090610","20090610","Dts=H")</f>
        <v>#N/A Invalid Field</v>
      </c>
      <c r="K412" t="str" cm="1">
        <f t="array" ref="K412">_xll.BDP(D412,"MTG_PREPAY_TYP")</f>
        <v>#N/A N/A</v>
      </c>
      <c r="L412" t="str" cm="1">
        <f t="array" ref="L412">_xll.BDP(D412,"MTG_PREPAY_SPEED")</f>
        <v>#N/A N/A</v>
      </c>
      <c r="M412" cm="1">
        <f t="array" ref="M412">_xll.BDP(D412,"MTG_PL_PSA_1M ")</f>
        <v>0</v>
      </c>
      <c r="N412" cm="1">
        <f t="array" ref="N412">_xll.BDP(D412,"MTG_PL_PSA_3M ")</f>
        <v>1496</v>
      </c>
      <c r="O412" cm="1">
        <f t="array" ref="O412">_xll.BDP(D412,"MTG_PL_PSA_6M ")</f>
        <v>1285.2</v>
      </c>
    </row>
    <row r="413" spans="1:15" x14ac:dyDescent="0.25">
      <c r="A413" t="s">
        <v>1251</v>
      </c>
      <c r="B413" t="s">
        <v>1252</v>
      </c>
      <c r="C413" t="s">
        <v>100</v>
      </c>
      <c r="D413" t="s">
        <v>1253</v>
      </c>
      <c r="E413" t="str" cm="1">
        <f t="array" ref="E413">_xll.BDH($D413,"MTG_GEN_CPR_3M","20090331","20090331","Dts=H")</f>
        <v>#N/A Invalid Field</v>
      </c>
      <c r="F413" t="str" cm="1">
        <f t="array" ref="F413">_xll.BDH($D413,"MTG_GEN_CPR_6M","20090331","20090331","Dts=H")</f>
        <v>#N/A Invalid Field</v>
      </c>
      <c r="G413" t="str" cm="1">
        <f t="array" ref="G413">_xll.BDH($D413,"MTG_GEN_CPR_12M","20090331","20090331","Dts=H")</f>
        <v>#N/A Invalid Field</v>
      </c>
      <c r="H413" t="str" cm="1">
        <f t="array" ref="H413">_xll.BDH($D413,"MTG_GEN_CPR_3M","20090610","20090610","Dts=H")</f>
        <v>#N/A Invalid Field</v>
      </c>
      <c r="I413" t="str" cm="1">
        <f t="array" ref="I413">_xll.BDH($D413,"MTG_GEN_CPR_6M","20090610","20090610","Dts=H")</f>
        <v>#N/A Invalid Field</v>
      </c>
      <c r="J413" t="str" cm="1">
        <f t="array" ref="J413">_xll.BDH($D413,"MTG_GEN_CPR_12M","20090610","20090610","Dts=H")</f>
        <v>#N/A Invalid Field</v>
      </c>
      <c r="K413" t="str" cm="1">
        <f t="array" ref="K413">_xll.BDP(D413,"MTG_PREPAY_TYP")</f>
        <v>PSA</v>
      </c>
      <c r="L413" cm="1">
        <f t="array" ref="L413">_xll.BDP(D413,"MTG_PREPAY_SPEED")</f>
        <v>125</v>
      </c>
      <c r="M413" cm="1">
        <f t="array" ref="M413">_xll.BDP(D413,"MTG_PL_PSA_1M ")</f>
        <v>0.5</v>
      </c>
      <c r="N413" cm="1">
        <f t="array" ref="N413">_xll.BDP(D413,"MTG_PL_PSA_3M ")</f>
        <v>0.4</v>
      </c>
      <c r="O413" cm="1">
        <f t="array" ref="O413">_xll.BDP(D413,"MTG_PL_PSA_6M ")</f>
        <v>0.5</v>
      </c>
    </row>
    <row r="414" spans="1:15" x14ac:dyDescent="0.25">
      <c r="A414" t="s">
        <v>1254</v>
      </c>
      <c r="B414" t="s">
        <v>1255</v>
      </c>
      <c r="C414" t="s">
        <v>100</v>
      </c>
      <c r="D414" t="s">
        <v>1256</v>
      </c>
      <c r="E414" t="str" cm="1">
        <f t="array" ref="E414">_xll.BDH($D414,"MTG_GEN_CPR_3M","20090331","20090331","Dts=H")</f>
        <v>#N/A Invalid Field</v>
      </c>
      <c r="F414" t="str" cm="1">
        <f t="array" ref="F414">_xll.BDH($D414,"MTG_GEN_CPR_6M","20090331","20090331","Dts=H")</f>
        <v>#N/A Invalid Field</v>
      </c>
      <c r="G414" t="str" cm="1">
        <f t="array" ref="G414">_xll.BDH($D414,"MTG_GEN_CPR_12M","20090331","20090331","Dts=H")</f>
        <v>#N/A Invalid Field</v>
      </c>
      <c r="H414" t="str" cm="1">
        <f t="array" ref="H414">_xll.BDH($D414,"MTG_GEN_CPR_3M","20090610","20090610","Dts=H")</f>
        <v>#N/A Invalid Field</v>
      </c>
      <c r="I414" t="str" cm="1">
        <f t="array" ref="I414">_xll.BDH($D414,"MTG_GEN_CPR_6M","20090610","20090610","Dts=H")</f>
        <v>#N/A Invalid Field</v>
      </c>
      <c r="J414" t="str" cm="1">
        <f t="array" ref="J414">_xll.BDH($D414,"MTG_GEN_CPR_12M","20090610","20090610","Dts=H")</f>
        <v>#N/A Invalid Field</v>
      </c>
      <c r="K414" t="str" cm="1">
        <f t="array" ref="K414">_xll.BDP(D414,"MTG_PREPAY_TYP")</f>
        <v>PSA</v>
      </c>
      <c r="L414" cm="1">
        <f t="array" ref="L414">_xll.BDP(D414,"MTG_PREPAY_SPEED")</f>
        <v>218</v>
      </c>
      <c r="M414" cm="1">
        <f t="array" ref="M414">_xll.BDP(D414,"MTG_PL_PSA_1M ")</f>
        <v>0.8</v>
      </c>
      <c r="N414" cm="1">
        <f t="array" ref="N414">_xll.BDP(D414,"MTG_PL_PSA_3M ")</f>
        <v>0.8</v>
      </c>
      <c r="O414" cm="1">
        <f t="array" ref="O414">_xll.BDP(D414,"MTG_PL_PSA_6M ")</f>
        <v>0.8</v>
      </c>
    </row>
    <row r="415" spans="1:15" x14ac:dyDescent="0.25">
      <c r="A415" t="s">
        <v>1257</v>
      </c>
      <c r="B415" t="s">
        <v>1258</v>
      </c>
      <c r="C415" t="s">
        <v>100</v>
      </c>
      <c r="D415" t="s">
        <v>1259</v>
      </c>
      <c r="E415" t="str" cm="1">
        <f t="array" ref="E415">_xll.BDH($D415,"MTG_GEN_CPR_3M","20090331","20090331","Dts=H")</f>
        <v>#N/A Invalid Field</v>
      </c>
      <c r="F415" t="str" cm="1">
        <f t="array" ref="F415">_xll.BDH($D415,"MTG_GEN_CPR_6M","20090331","20090331","Dts=H")</f>
        <v>#N/A Invalid Field</v>
      </c>
      <c r="G415" t="str" cm="1">
        <f t="array" ref="G415">_xll.BDH($D415,"MTG_GEN_CPR_12M","20090331","20090331","Dts=H")</f>
        <v>#N/A Invalid Field</v>
      </c>
      <c r="H415" t="str" cm="1">
        <f t="array" ref="H415">_xll.BDH($D415,"MTG_GEN_CPR_3M","20090610","20090610","Dts=H")</f>
        <v>#N/A Invalid Field</v>
      </c>
      <c r="I415" t="str" cm="1">
        <f t="array" ref="I415">_xll.BDH($D415,"MTG_GEN_CPR_6M","20090610","20090610","Dts=H")</f>
        <v>#N/A Invalid Field</v>
      </c>
      <c r="J415" t="str" cm="1">
        <f t="array" ref="J415">_xll.BDH($D415,"MTG_GEN_CPR_12M","20090610","20090610","Dts=H")</f>
        <v>#N/A Invalid Field</v>
      </c>
      <c r="K415" t="str" cm="1">
        <f t="array" ref="K415">_xll.BDP(D415,"MTG_PREPAY_TYP")</f>
        <v>#N/A N/A</v>
      </c>
      <c r="L415" t="str" cm="1">
        <f t="array" ref="L415">_xll.BDP(D415,"MTG_PREPAY_SPEED")</f>
        <v>#N/A N/A</v>
      </c>
      <c r="M415" cm="1">
        <f t="array" ref="M415">_xll.BDP(D415,"MTG_PL_PSA_1M ")</f>
        <v>0</v>
      </c>
      <c r="N415" cm="1">
        <f t="array" ref="N415">_xll.BDP(D415,"MTG_PL_PSA_3M ")</f>
        <v>-651.20000000000005</v>
      </c>
      <c r="O415" cm="1">
        <f t="array" ref="O415">_xll.BDP(D415,"MTG_PL_PSA_6M ")</f>
        <v>-518.20000000000005</v>
      </c>
    </row>
    <row r="416" spans="1:15" x14ac:dyDescent="0.25">
      <c r="A416" t="s">
        <v>1260</v>
      </c>
      <c r="B416" t="s">
        <v>1261</v>
      </c>
      <c r="C416" t="s">
        <v>100</v>
      </c>
      <c r="D416" t="s">
        <v>1262</v>
      </c>
      <c r="E416" t="str" cm="1">
        <f t="array" ref="E416">_xll.BDH($D416,"MTG_GEN_CPR_3M","20090331","20090331","Dts=H")</f>
        <v>#N/A Invalid Field</v>
      </c>
      <c r="F416" t="str" cm="1">
        <f t="array" ref="F416">_xll.BDH($D416,"MTG_GEN_CPR_6M","20090331","20090331","Dts=H")</f>
        <v>#N/A Invalid Field</v>
      </c>
      <c r="G416" t="str" cm="1">
        <f t="array" ref="G416">_xll.BDH($D416,"MTG_GEN_CPR_12M","20090331","20090331","Dts=H")</f>
        <v>#N/A Invalid Field</v>
      </c>
      <c r="H416" t="str" cm="1">
        <f t="array" ref="H416">_xll.BDH($D416,"MTG_GEN_CPR_3M","20090610","20090610","Dts=H")</f>
        <v>#N/A Invalid Field</v>
      </c>
      <c r="I416" t="str" cm="1">
        <f t="array" ref="I416">_xll.BDH($D416,"MTG_GEN_CPR_6M","20090610","20090610","Dts=H")</f>
        <v>#N/A Invalid Field</v>
      </c>
      <c r="J416" t="str" cm="1">
        <f t="array" ref="J416">_xll.BDH($D416,"MTG_GEN_CPR_12M","20090610","20090610","Dts=H")</f>
        <v>#N/A Invalid Field</v>
      </c>
      <c r="K416" t="str" cm="1">
        <f t="array" ref="K416">_xll.BDP(D416,"MTG_PREPAY_TYP")</f>
        <v>#N/A N/A</v>
      </c>
      <c r="L416" t="str" cm="1">
        <f t="array" ref="L416">_xll.BDP(D416,"MTG_PREPAY_SPEED")</f>
        <v>#N/A N/A</v>
      </c>
      <c r="M416" cm="1">
        <f t="array" ref="M416">_xll.BDP(D416,"MTG_PL_PSA_1M ")</f>
        <v>1666.7</v>
      </c>
      <c r="N416" cm="1">
        <f t="array" ref="N416">_xll.BDP(D416,"MTG_PL_PSA_3M ")</f>
        <v>1666.7</v>
      </c>
      <c r="O416" cm="1">
        <f t="array" ref="O416">_xll.BDP(D416,"MTG_PL_PSA_6M ")</f>
        <v>1666.7</v>
      </c>
    </row>
    <row r="417" spans="1:15" x14ac:dyDescent="0.25">
      <c r="A417" t="s">
        <v>1263</v>
      </c>
      <c r="B417" t="s">
        <v>1264</v>
      </c>
      <c r="C417" t="s">
        <v>100</v>
      </c>
      <c r="D417" t="s">
        <v>1265</v>
      </c>
      <c r="E417" t="str" cm="1">
        <f t="array" ref="E417">_xll.BDH($D417,"MTG_GEN_CPR_3M","20090331","20090331","Dts=H")</f>
        <v>#N/A Invalid Field</v>
      </c>
      <c r="F417" t="str" cm="1">
        <f t="array" ref="F417">_xll.BDH($D417,"MTG_GEN_CPR_6M","20090331","20090331","Dts=H")</f>
        <v>#N/A Invalid Field</v>
      </c>
      <c r="G417" t="str" cm="1">
        <f t="array" ref="G417">_xll.BDH($D417,"MTG_GEN_CPR_12M","20090331","20090331","Dts=H")</f>
        <v>#N/A Invalid Field</v>
      </c>
      <c r="H417" t="str" cm="1">
        <f t="array" ref="H417">_xll.BDH($D417,"MTG_GEN_CPR_3M","20090610","20090610","Dts=H")</f>
        <v>#N/A Invalid Field</v>
      </c>
      <c r="I417" t="str" cm="1">
        <f t="array" ref="I417">_xll.BDH($D417,"MTG_GEN_CPR_6M","20090610","20090610","Dts=H")</f>
        <v>#N/A Invalid Field</v>
      </c>
      <c r="J417" t="str" cm="1">
        <f t="array" ref="J417">_xll.BDH($D417,"MTG_GEN_CPR_12M","20090610","20090610","Dts=H")</f>
        <v>#N/A Invalid Field</v>
      </c>
      <c r="K417" t="str" cm="1">
        <f t="array" ref="K417">_xll.BDP(D417,"MTG_PREPAY_TYP")</f>
        <v>#N/A N/A</v>
      </c>
      <c r="L417" t="str" cm="1">
        <f t="array" ref="L417">_xll.BDP(D417,"MTG_PREPAY_SPEED")</f>
        <v>#N/A N/A</v>
      </c>
      <c r="M417" cm="1">
        <f t="array" ref="M417">_xll.BDP(D417,"MTG_PL_PSA_1M ")</f>
        <v>1666.7</v>
      </c>
      <c r="N417" cm="1">
        <f t="array" ref="N417">_xll.BDP(D417,"MTG_PL_PSA_3M ")</f>
        <v>1666.7</v>
      </c>
      <c r="O417" cm="1">
        <f t="array" ref="O417">_xll.BDP(D417,"MTG_PL_PSA_6M ")</f>
        <v>1666.7</v>
      </c>
    </row>
    <row r="418" spans="1:15" x14ac:dyDescent="0.25">
      <c r="A418" t="s">
        <v>1266</v>
      </c>
      <c r="B418" t="s">
        <v>1267</v>
      </c>
      <c r="C418" t="s">
        <v>100</v>
      </c>
      <c r="D418" t="s">
        <v>1268</v>
      </c>
      <c r="E418" t="str" cm="1">
        <f t="array" ref="E418">_xll.BDH($D418,"MTG_GEN_CPR_3M","20090331","20090331","Dts=H")</f>
        <v>#N/A Invalid Field</v>
      </c>
      <c r="F418" t="str" cm="1">
        <f t="array" ref="F418">_xll.BDH($D418,"MTG_GEN_CPR_6M","20090331","20090331","Dts=H")</f>
        <v>#N/A Invalid Field</v>
      </c>
      <c r="G418" t="str" cm="1">
        <f t="array" ref="G418">_xll.BDH($D418,"MTG_GEN_CPR_12M","20090331","20090331","Dts=H")</f>
        <v>#N/A Invalid Field</v>
      </c>
      <c r="H418" t="str" cm="1">
        <f t="array" ref="H418">_xll.BDH($D418,"MTG_GEN_CPR_3M","20090610","20090610","Dts=H")</f>
        <v>#N/A Invalid Field</v>
      </c>
      <c r="I418" t="str" cm="1">
        <f t="array" ref="I418">_xll.BDH($D418,"MTG_GEN_CPR_6M","20090610","20090610","Dts=H")</f>
        <v>#N/A Invalid Field</v>
      </c>
      <c r="J418" t="str" cm="1">
        <f t="array" ref="J418">_xll.BDH($D418,"MTG_GEN_CPR_12M","20090610","20090610","Dts=H")</f>
        <v>#N/A Invalid Field</v>
      </c>
      <c r="K418" t="str" cm="1">
        <f t="array" ref="K418">_xll.BDP(D418,"MTG_PREPAY_TYP")</f>
        <v>#N/A N/A</v>
      </c>
      <c r="L418" t="str" cm="1">
        <f t="array" ref="L418">_xll.BDP(D418,"MTG_PREPAY_SPEED")</f>
        <v>#N/A N/A</v>
      </c>
      <c r="M418" cm="1">
        <f t="array" ref="M418">_xll.BDP(D418,"MTG_PL_PSA_1M ")</f>
        <v>1666.7</v>
      </c>
      <c r="N418" cm="1">
        <f t="array" ref="N418">_xll.BDP(D418,"MTG_PL_PSA_3M ")</f>
        <v>1666.7</v>
      </c>
      <c r="O418" cm="1">
        <f t="array" ref="O418">_xll.BDP(D418,"MTG_PL_PSA_6M ")</f>
        <v>1666.7</v>
      </c>
    </row>
    <row r="419" spans="1:15" x14ac:dyDescent="0.25">
      <c r="A419" t="s">
        <v>1269</v>
      </c>
      <c r="B419" t="s">
        <v>1270</v>
      </c>
      <c r="C419" t="s">
        <v>100</v>
      </c>
      <c r="D419" t="s">
        <v>1271</v>
      </c>
      <c r="E419" t="str" cm="1">
        <f t="array" ref="E419">_xll.BDH($D419,"MTG_GEN_CPR_3M","20090331","20090331","Dts=H")</f>
        <v>#N/A Invalid Field</v>
      </c>
      <c r="F419" t="str" cm="1">
        <f t="array" ref="F419">_xll.BDH($D419,"MTG_GEN_CPR_6M","20090331","20090331","Dts=H")</f>
        <v>#N/A Invalid Field</v>
      </c>
      <c r="G419" t="str" cm="1">
        <f t="array" ref="G419">_xll.BDH($D419,"MTG_GEN_CPR_12M","20090331","20090331","Dts=H")</f>
        <v>#N/A Invalid Field</v>
      </c>
      <c r="H419" t="str" cm="1">
        <f t="array" ref="H419">_xll.BDH($D419,"MTG_GEN_CPR_3M","20090610","20090610","Dts=H")</f>
        <v>#N/A Invalid Field</v>
      </c>
      <c r="I419" t="str" cm="1">
        <f t="array" ref="I419">_xll.BDH($D419,"MTG_GEN_CPR_6M","20090610","20090610","Dts=H")</f>
        <v>#N/A Invalid Field</v>
      </c>
      <c r="J419" t="str" cm="1">
        <f t="array" ref="J419">_xll.BDH($D419,"MTG_GEN_CPR_12M","20090610","20090610","Dts=H")</f>
        <v>#N/A Invalid Field</v>
      </c>
      <c r="K419" t="str" cm="1">
        <f t="array" ref="K419">_xll.BDP(D419,"MTG_PREPAY_TYP")</f>
        <v>PSA</v>
      </c>
      <c r="L419" cm="1">
        <f t="array" ref="L419">_xll.BDP(D419,"MTG_PREPAY_SPEED")</f>
        <v>161</v>
      </c>
      <c r="M419" cm="1">
        <f t="array" ref="M419">_xll.BDP(D419,"MTG_PL_PSA_1M ")</f>
        <v>93.3</v>
      </c>
      <c r="N419" cm="1">
        <f t="array" ref="N419">_xll.BDP(D419,"MTG_PL_PSA_3M ")</f>
        <v>92.4</v>
      </c>
      <c r="O419" cm="1">
        <f t="array" ref="O419">_xll.BDP(D419,"MTG_PL_PSA_6M ")</f>
        <v>84.1</v>
      </c>
    </row>
    <row r="420" spans="1:15" x14ac:dyDescent="0.25">
      <c r="A420" t="s">
        <v>1272</v>
      </c>
      <c r="B420" t="s">
        <v>1273</v>
      </c>
      <c r="C420" t="s">
        <v>100</v>
      </c>
      <c r="D420" t="s">
        <v>1274</v>
      </c>
      <c r="E420" t="str" cm="1">
        <f t="array" ref="E420">_xll.BDH($D420,"MTG_GEN_CPR_3M","20090331","20090331","Dts=H")</f>
        <v>#N/A Invalid Field</v>
      </c>
      <c r="F420" t="str" cm="1">
        <f t="array" ref="F420">_xll.BDH($D420,"MTG_GEN_CPR_6M","20090331","20090331","Dts=H")</f>
        <v>#N/A Invalid Field</v>
      </c>
      <c r="G420" t="str" cm="1">
        <f t="array" ref="G420">_xll.BDH($D420,"MTG_GEN_CPR_12M","20090331","20090331","Dts=H")</f>
        <v>#N/A Invalid Field</v>
      </c>
      <c r="H420" t="str" cm="1">
        <f t="array" ref="H420">_xll.BDH($D420,"MTG_GEN_CPR_3M","20090610","20090610","Dts=H")</f>
        <v>#N/A Invalid Field</v>
      </c>
      <c r="I420" t="str" cm="1">
        <f t="array" ref="I420">_xll.BDH($D420,"MTG_GEN_CPR_6M","20090610","20090610","Dts=H")</f>
        <v>#N/A Invalid Field</v>
      </c>
      <c r="J420" t="str" cm="1">
        <f t="array" ref="J420">_xll.BDH($D420,"MTG_GEN_CPR_12M","20090610","20090610","Dts=H")</f>
        <v>#N/A Invalid Field</v>
      </c>
      <c r="K420" t="str" cm="1">
        <f t="array" ref="K420">_xll.BDP(D420,"MTG_PREPAY_TYP")</f>
        <v>#N/A N/A</v>
      </c>
      <c r="L420" t="str" cm="1">
        <f t="array" ref="L420">_xll.BDP(D420,"MTG_PREPAY_SPEED")</f>
        <v>#N/A N/A</v>
      </c>
      <c r="M420" cm="1">
        <f t="array" ref="M420">_xll.BDP(D420,"MTG_PL_PSA_1M ")</f>
        <v>1666.7</v>
      </c>
      <c r="N420" cm="1">
        <f t="array" ref="N420">_xll.BDP(D420,"MTG_PL_PSA_3M ")</f>
        <v>1666.7</v>
      </c>
      <c r="O420" cm="1">
        <f t="array" ref="O420">_xll.BDP(D420,"MTG_PL_PSA_6M ")</f>
        <v>1666.7</v>
      </c>
    </row>
    <row r="421" spans="1:15" x14ac:dyDescent="0.25">
      <c r="A421" t="s">
        <v>1275</v>
      </c>
      <c r="B421" t="s">
        <v>1276</v>
      </c>
      <c r="C421" t="s">
        <v>100</v>
      </c>
      <c r="D421" t="s">
        <v>1277</v>
      </c>
      <c r="E421" t="str" cm="1">
        <f t="array" ref="E421">_xll.BDH($D421,"MTG_GEN_CPR_3M","20090331","20090331","Dts=H")</f>
        <v>#N/A Invalid Field</v>
      </c>
      <c r="F421" t="str" cm="1">
        <f t="array" ref="F421">_xll.BDH($D421,"MTG_GEN_CPR_6M","20090331","20090331","Dts=H")</f>
        <v>#N/A Invalid Field</v>
      </c>
      <c r="G421" t="str" cm="1">
        <f t="array" ref="G421">_xll.BDH($D421,"MTG_GEN_CPR_12M","20090331","20090331","Dts=H")</f>
        <v>#N/A Invalid Field</v>
      </c>
      <c r="H421" t="str" cm="1">
        <f t="array" ref="H421">_xll.BDH($D421,"MTG_GEN_CPR_3M","20090610","20090610","Dts=H")</f>
        <v>#N/A Invalid Field</v>
      </c>
      <c r="I421" t="str" cm="1">
        <f t="array" ref="I421">_xll.BDH($D421,"MTG_GEN_CPR_6M","20090610","20090610","Dts=H")</f>
        <v>#N/A Invalid Field</v>
      </c>
      <c r="J421" t="str" cm="1">
        <f t="array" ref="J421">_xll.BDH($D421,"MTG_GEN_CPR_12M","20090610","20090610","Dts=H")</f>
        <v>#N/A Invalid Field</v>
      </c>
      <c r="K421" t="str" cm="1">
        <f t="array" ref="K421">_xll.BDP(D421,"MTG_PREPAY_TYP")</f>
        <v>PSA</v>
      </c>
      <c r="L421" cm="1">
        <f t="array" ref="L421">_xll.BDP(D421,"MTG_PREPAY_SPEED")</f>
        <v>182</v>
      </c>
      <c r="M421" cm="1">
        <f t="array" ref="M421">_xll.BDP(D421,"MTG_PL_PSA_1M ")</f>
        <v>18.399999999999999</v>
      </c>
      <c r="N421" cm="1">
        <f t="array" ref="N421">_xll.BDP(D421,"MTG_PL_PSA_3M ")</f>
        <v>11.4</v>
      </c>
      <c r="O421" cm="1">
        <f t="array" ref="O421">_xll.BDP(D421,"MTG_PL_PSA_6M ")</f>
        <v>11.1</v>
      </c>
    </row>
    <row r="422" spans="1:15" x14ac:dyDescent="0.25">
      <c r="A422" t="s">
        <v>1278</v>
      </c>
      <c r="B422" t="s">
        <v>1279</v>
      </c>
      <c r="C422" t="s">
        <v>100</v>
      </c>
      <c r="D422" t="s">
        <v>1280</v>
      </c>
      <c r="E422" t="str" cm="1">
        <f t="array" ref="E422">_xll.BDH($D422,"MTG_GEN_CPR_3M","20090331","20090331","Dts=H")</f>
        <v>#N/A Invalid Field</v>
      </c>
      <c r="F422" t="str" cm="1">
        <f t="array" ref="F422">_xll.BDH($D422,"MTG_GEN_CPR_6M","20090331","20090331","Dts=H")</f>
        <v>#N/A Invalid Field</v>
      </c>
      <c r="G422" t="str" cm="1">
        <f t="array" ref="G422">_xll.BDH($D422,"MTG_GEN_CPR_12M","20090331","20090331","Dts=H")</f>
        <v>#N/A Invalid Field</v>
      </c>
      <c r="H422" t="str" cm="1">
        <f t="array" ref="H422">_xll.BDH($D422,"MTG_GEN_CPR_3M","20090610","20090610","Dts=H")</f>
        <v>#N/A Invalid Field</v>
      </c>
      <c r="I422" t="str" cm="1">
        <f t="array" ref="I422">_xll.BDH($D422,"MTG_GEN_CPR_6M","20090610","20090610","Dts=H")</f>
        <v>#N/A Invalid Field</v>
      </c>
      <c r="J422" t="str" cm="1">
        <f t="array" ref="J422">_xll.BDH($D422,"MTG_GEN_CPR_12M","20090610","20090610","Dts=H")</f>
        <v>#N/A Invalid Field</v>
      </c>
      <c r="K422" t="str" cm="1">
        <f t="array" ref="K422">_xll.BDP(D422,"MTG_PREPAY_TYP")</f>
        <v>PSA</v>
      </c>
      <c r="L422" cm="1">
        <f t="array" ref="L422">_xll.BDP(D422,"MTG_PREPAY_SPEED")</f>
        <v>218</v>
      </c>
      <c r="M422" cm="1">
        <f t="array" ref="M422">_xll.BDP(D422,"MTG_PL_PSA_1M ")</f>
        <v>0.6</v>
      </c>
      <c r="N422" cm="1">
        <f t="array" ref="N422">_xll.BDP(D422,"MTG_PL_PSA_3M ")</f>
        <v>17.3</v>
      </c>
      <c r="O422" cm="1">
        <f t="array" ref="O422">_xll.BDP(D422,"MTG_PL_PSA_6M ")</f>
        <v>34.6</v>
      </c>
    </row>
    <row r="423" spans="1:15" x14ac:dyDescent="0.25">
      <c r="A423" t="s">
        <v>1281</v>
      </c>
      <c r="B423" t="s">
        <v>1282</v>
      </c>
      <c r="C423" t="s">
        <v>100</v>
      </c>
      <c r="D423" t="s">
        <v>1283</v>
      </c>
      <c r="E423" t="str" cm="1">
        <f t="array" ref="E423">_xll.BDH($D423,"MTG_GEN_CPR_3M","20090331","20090331","Dts=H")</f>
        <v>#N/A Invalid Field</v>
      </c>
      <c r="F423" t="str" cm="1">
        <f t="array" ref="F423">_xll.BDH($D423,"MTG_GEN_CPR_6M","20090331","20090331","Dts=H")</f>
        <v>#N/A Invalid Field</v>
      </c>
      <c r="G423" t="str" cm="1">
        <f t="array" ref="G423">_xll.BDH($D423,"MTG_GEN_CPR_12M","20090331","20090331","Dts=H")</f>
        <v>#N/A Invalid Field</v>
      </c>
      <c r="H423" t="str" cm="1">
        <f t="array" ref="H423">_xll.BDH($D423,"MTG_GEN_CPR_3M","20090610","20090610","Dts=H")</f>
        <v>#N/A Invalid Field</v>
      </c>
      <c r="I423" t="str" cm="1">
        <f t="array" ref="I423">_xll.BDH($D423,"MTG_GEN_CPR_6M","20090610","20090610","Dts=H")</f>
        <v>#N/A Invalid Field</v>
      </c>
      <c r="J423" t="str" cm="1">
        <f t="array" ref="J423">_xll.BDH($D423,"MTG_GEN_CPR_12M","20090610","20090610","Dts=H")</f>
        <v>#N/A Invalid Field</v>
      </c>
      <c r="K423" t="str" cm="1">
        <f t="array" ref="K423">_xll.BDP(D423,"MTG_PREPAY_TYP")</f>
        <v>PSA</v>
      </c>
      <c r="L423" cm="1">
        <f t="array" ref="L423">_xll.BDP(D423,"MTG_PREPAY_SPEED")</f>
        <v>182</v>
      </c>
      <c r="M423" cm="1">
        <f t="array" ref="M423">_xll.BDP(D423,"MTG_PL_PSA_1M ")</f>
        <v>0.9</v>
      </c>
      <c r="N423" cm="1">
        <f t="array" ref="N423">_xll.BDP(D423,"MTG_PL_PSA_3M ")</f>
        <v>0.9</v>
      </c>
      <c r="O423" cm="1">
        <f t="array" ref="O423">_xll.BDP(D423,"MTG_PL_PSA_6M ")</f>
        <v>0.8</v>
      </c>
    </row>
    <row r="424" spans="1:15" x14ac:dyDescent="0.25">
      <c r="A424" t="s">
        <v>1284</v>
      </c>
      <c r="B424" t="s">
        <v>1285</v>
      </c>
      <c r="C424" t="s">
        <v>100</v>
      </c>
      <c r="D424" t="s">
        <v>1286</v>
      </c>
      <c r="E424" t="str" cm="1">
        <f t="array" ref="E424">_xll.BDH($D424,"MTG_GEN_CPR_3M","20090331","20090331","Dts=H")</f>
        <v>#N/A Invalid Field</v>
      </c>
      <c r="F424" t="str" cm="1">
        <f t="array" ref="F424">_xll.BDH($D424,"MTG_GEN_CPR_6M","20090331","20090331","Dts=H")</f>
        <v>#N/A Invalid Field</v>
      </c>
      <c r="G424" t="str" cm="1">
        <f t="array" ref="G424">_xll.BDH($D424,"MTG_GEN_CPR_12M","20090331","20090331","Dts=H")</f>
        <v>#N/A Invalid Field</v>
      </c>
      <c r="H424" t="str" cm="1">
        <f t="array" ref="H424">_xll.BDH($D424,"MTG_GEN_CPR_3M","20090610","20090610","Dts=H")</f>
        <v>#N/A Invalid Field</v>
      </c>
      <c r="I424" t="str" cm="1">
        <f t="array" ref="I424">_xll.BDH($D424,"MTG_GEN_CPR_6M","20090610","20090610","Dts=H")</f>
        <v>#N/A Invalid Field</v>
      </c>
      <c r="J424" t="str" cm="1">
        <f t="array" ref="J424">_xll.BDH($D424,"MTG_GEN_CPR_12M","20090610","20090610","Dts=H")</f>
        <v>#N/A Invalid Field</v>
      </c>
      <c r="K424" t="str" cm="1">
        <f t="array" ref="K424">_xll.BDP(D424,"MTG_PREPAY_TYP")</f>
        <v>PSA</v>
      </c>
      <c r="L424" cm="1">
        <f t="array" ref="L424">_xll.BDP(D424,"MTG_PREPAY_SPEED")</f>
        <v>182</v>
      </c>
      <c r="M424" cm="1">
        <f t="array" ref="M424">_xll.BDP(D424,"MTG_PL_PSA_1M ")</f>
        <v>0.7</v>
      </c>
      <c r="N424" cm="1">
        <f t="array" ref="N424">_xll.BDP(D424,"MTG_PL_PSA_3M ")</f>
        <v>0.7</v>
      </c>
      <c r="O424" cm="1">
        <f t="array" ref="O424">_xll.BDP(D424,"MTG_PL_PSA_6M ")</f>
        <v>0.6</v>
      </c>
    </row>
    <row r="425" spans="1:15" x14ac:dyDescent="0.25">
      <c r="A425" t="s">
        <v>1287</v>
      </c>
      <c r="B425" t="s">
        <v>1288</v>
      </c>
      <c r="C425" t="s">
        <v>100</v>
      </c>
      <c r="D425" t="s">
        <v>1289</v>
      </c>
      <c r="E425" t="str" cm="1">
        <f t="array" ref="E425">_xll.BDH($D425,"MTG_GEN_CPR_3M","20090331","20090331","Dts=H")</f>
        <v>#N/A Invalid Field</v>
      </c>
      <c r="F425" t="str" cm="1">
        <f t="array" ref="F425">_xll.BDH($D425,"MTG_GEN_CPR_6M","20090331","20090331","Dts=H")</f>
        <v>#N/A Invalid Field</v>
      </c>
      <c r="G425" t="str" cm="1">
        <f t="array" ref="G425">_xll.BDH($D425,"MTG_GEN_CPR_12M","20090331","20090331","Dts=H")</f>
        <v>#N/A Invalid Field</v>
      </c>
      <c r="H425" t="str" cm="1">
        <f t="array" ref="H425">_xll.BDH($D425,"MTG_GEN_CPR_3M","20090610","20090610","Dts=H")</f>
        <v>#N/A Invalid Field</v>
      </c>
      <c r="I425" t="str" cm="1">
        <f t="array" ref="I425">_xll.BDH($D425,"MTG_GEN_CPR_6M","20090610","20090610","Dts=H")</f>
        <v>#N/A Invalid Field</v>
      </c>
      <c r="J425" t="str" cm="1">
        <f t="array" ref="J425">_xll.BDH($D425,"MTG_GEN_CPR_12M","20090610","20090610","Dts=H")</f>
        <v>#N/A Invalid Field</v>
      </c>
      <c r="K425" t="str" cm="1">
        <f t="array" ref="K425">_xll.BDP(D425,"MTG_PREPAY_TYP")</f>
        <v>#N/A N/A</v>
      </c>
      <c r="L425" t="str" cm="1">
        <f t="array" ref="L425">_xll.BDP(D425,"MTG_PREPAY_SPEED")</f>
        <v>#N/A N/A</v>
      </c>
      <c r="M425" cm="1">
        <f t="array" ref="M425">_xll.BDP(D425,"MTG_PL_PSA_1M ")</f>
        <v>1666.7</v>
      </c>
      <c r="N425" cm="1">
        <f t="array" ref="N425">_xll.BDP(D425,"MTG_PL_PSA_3M ")</f>
        <v>1666.7</v>
      </c>
      <c r="O425" cm="1">
        <f t="array" ref="O425">_xll.BDP(D425,"MTG_PL_PSA_6M ")</f>
        <v>1694.9</v>
      </c>
    </row>
    <row r="426" spans="1:15" x14ac:dyDescent="0.25">
      <c r="A426" t="s">
        <v>1290</v>
      </c>
      <c r="B426" t="s">
        <v>1291</v>
      </c>
      <c r="C426" t="s">
        <v>100</v>
      </c>
      <c r="D426" t="s">
        <v>1292</v>
      </c>
      <c r="E426" t="str" cm="1">
        <f t="array" ref="E426">_xll.BDH($D426,"MTG_GEN_CPR_3M","20090331","20090331","Dts=H")</f>
        <v>#N/A Invalid Field</v>
      </c>
      <c r="F426" t="str" cm="1">
        <f t="array" ref="F426">_xll.BDH($D426,"MTG_GEN_CPR_6M","20090331","20090331","Dts=H")</f>
        <v>#N/A Invalid Field</v>
      </c>
      <c r="G426" t="str" cm="1">
        <f t="array" ref="G426">_xll.BDH($D426,"MTG_GEN_CPR_12M","20090331","20090331","Dts=H")</f>
        <v>#N/A Invalid Field</v>
      </c>
      <c r="H426" t="str" cm="1">
        <f t="array" ref="H426">_xll.BDH($D426,"MTG_GEN_CPR_3M","20090610","20090610","Dts=H")</f>
        <v>#N/A Invalid Field</v>
      </c>
      <c r="I426" t="str" cm="1">
        <f t="array" ref="I426">_xll.BDH($D426,"MTG_GEN_CPR_6M","20090610","20090610","Dts=H")</f>
        <v>#N/A Invalid Field</v>
      </c>
      <c r="J426" t="str" cm="1">
        <f t="array" ref="J426">_xll.BDH($D426,"MTG_GEN_CPR_12M","20090610","20090610","Dts=H")</f>
        <v>#N/A Invalid Field</v>
      </c>
      <c r="K426" t="str" cm="1">
        <f t="array" ref="K426">_xll.BDP(D426,"MTG_PREPAY_TYP")</f>
        <v>#N/A N/A</v>
      </c>
      <c r="L426" t="str" cm="1">
        <f t="array" ref="L426">_xll.BDP(D426,"MTG_PREPAY_SPEED")</f>
        <v>#N/A N/A</v>
      </c>
      <c r="M426" cm="1">
        <f t="array" ref="M426">_xll.BDP(D426,"MTG_PL_PSA_1M ")</f>
        <v>1666.7</v>
      </c>
      <c r="N426" cm="1">
        <f t="array" ref="N426">_xll.BDP(D426,"MTG_PL_PSA_3M ")</f>
        <v>1666.7</v>
      </c>
      <c r="O426" cm="1">
        <f t="array" ref="O426">_xll.BDP(D426,"MTG_PL_PSA_6M ")</f>
        <v>1666.7</v>
      </c>
    </row>
    <row r="427" spans="1:15" x14ac:dyDescent="0.25">
      <c r="A427" t="s">
        <v>1293</v>
      </c>
      <c r="B427" t="s">
        <v>1294</v>
      </c>
      <c r="C427" t="s">
        <v>100</v>
      </c>
      <c r="D427" t="s">
        <v>1295</v>
      </c>
      <c r="E427" t="str" cm="1">
        <f t="array" ref="E427">_xll.BDH($D427,"MTG_GEN_CPR_3M","20090331","20090331","Dts=H")</f>
        <v>#N/A Invalid Field</v>
      </c>
      <c r="F427" t="str" cm="1">
        <f t="array" ref="F427">_xll.BDH($D427,"MTG_GEN_CPR_6M","20090331","20090331","Dts=H")</f>
        <v>#N/A Invalid Field</v>
      </c>
      <c r="G427" t="str" cm="1">
        <f t="array" ref="G427">_xll.BDH($D427,"MTG_GEN_CPR_12M","20090331","20090331","Dts=H")</f>
        <v>#N/A Invalid Field</v>
      </c>
      <c r="H427" t="str" cm="1">
        <f t="array" ref="H427">_xll.BDH($D427,"MTG_GEN_CPR_3M","20090610","20090610","Dts=H")</f>
        <v>#N/A Invalid Field</v>
      </c>
      <c r="I427" t="str" cm="1">
        <f t="array" ref="I427">_xll.BDH($D427,"MTG_GEN_CPR_6M","20090610","20090610","Dts=H")</f>
        <v>#N/A Invalid Field</v>
      </c>
      <c r="J427" t="str" cm="1">
        <f t="array" ref="J427">_xll.BDH($D427,"MTG_GEN_CPR_12M","20090610","20090610","Dts=H")</f>
        <v>#N/A Invalid Field</v>
      </c>
      <c r="K427" t="str" cm="1">
        <f t="array" ref="K427">_xll.BDP(D427,"MTG_PREPAY_TYP")</f>
        <v>PSA</v>
      </c>
      <c r="L427" cm="1">
        <f t="array" ref="L427">_xll.BDP(D427,"MTG_PREPAY_SPEED")</f>
        <v>182</v>
      </c>
      <c r="M427" cm="1">
        <f t="array" ref="M427">_xll.BDP(D427,"MTG_PL_PSA_1M ")</f>
        <v>370.4</v>
      </c>
      <c r="N427" cm="1">
        <f t="array" ref="N427">_xll.BDP(D427,"MTG_PL_PSA_3M ")</f>
        <v>225.1</v>
      </c>
      <c r="O427" cm="1">
        <f t="array" ref="O427">_xll.BDP(D427,"MTG_PL_PSA_6M ")</f>
        <v>398.7</v>
      </c>
    </row>
    <row r="428" spans="1:15" x14ac:dyDescent="0.25">
      <c r="A428" t="s">
        <v>1296</v>
      </c>
      <c r="B428" t="s">
        <v>1297</v>
      </c>
      <c r="C428" t="s">
        <v>100</v>
      </c>
      <c r="D428" t="s">
        <v>1298</v>
      </c>
      <c r="E428" t="str" cm="1">
        <f t="array" ref="E428">_xll.BDH($D428,"MTG_GEN_CPR_3M","20090331","20090331","Dts=H")</f>
        <v>#N/A Invalid Field</v>
      </c>
      <c r="F428" t="str" cm="1">
        <f t="array" ref="F428">_xll.BDH($D428,"MTG_GEN_CPR_6M","20090331","20090331","Dts=H")</f>
        <v>#N/A Invalid Field</v>
      </c>
      <c r="G428" t="str" cm="1">
        <f t="array" ref="G428">_xll.BDH($D428,"MTG_GEN_CPR_12M","20090331","20090331","Dts=H")</f>
        <v>#N/A Invalid Field</v>
      </c>
      <c r="H428" t="str" cm="1">
        <f t="array" ref="H428">_xll.BDH($D428,"MTG_GEN_CPR_3M","20090610","20090610","Dts=H")</f>
        <v>#N/A Invalid Field</v>
      </c>
      <c r="I428" t="str" cm="1">
        <f t="array" ref="I428">_xll.BDH($D428,"MTG_GEN_CPR_6M","20090610","20090610","Dts=H")</f>
        <v>#N/A Invalid Field</v>
      </c>
      <c r="J428" t="str" cm="1">
        <f t="array" ref="J428">_xll.BDH($D428,"MTG_GEN_CPR_12M","20090610","20090610","Dts=H")</f>
        <v>#N/A Invalid Field</v>
      </c>
      <c r="K428" t="str" cm="1">
        <f t="array" ref="K428">_xll.BDP(D428,"MTG_PREPAY_TYP")</f>
        <v>PSA</v>
      </c>
      <c r="L428" cm="1">
        <f t="array" ref="L428">_xll.BDP(D428,"MTG_PREPAY_SPEED")</f>
        <v>182</v>
      </c>
      <c r="M428" cm="1">
        <f t="array" ref="M428">_xll.BDP(D428,"MTG_PL_PSA_1M ")</f>
        <v>0.1</v>
      </c>
      <c r="N428" cm="1">
        <f t="array" ref="N428">_xll.BDP(D428,"MTG_PL_PSA_3M ")</f>
        <v>0.1</v>
      </c>
      <c r="O428" cm="1">
        <f t="array" ref="O428">_xll.BDP(D428,"MTG_PL_PSA_6M ")</f>
        <v>0.1</v>
      </c>
    </row>
    <row r="429" spans="1:15" x14ac:dyDescent="0.25">
      <c r="A429" t="s">
        <v>1299</v>
      </c>
      <c r="B429" t="s">
        <v>1300</v>
      </c>
      <c r="C429" t="s">
        <v>100</v>
      </c>
      <c r="D429" t="s">
        <v>1301</v>
      </c>
      <c r="E429" t="str" cm="1">
        <f t="array" ref="E429">_xll.BDH($D429,"MTG_GEN_CPR_3M","20090331","20090331","Dts=H")</f>
        <v>#N/A Invalid Field</v>
      </c>
      <c r="F429" t="str" cm="1">
        <f t="array" ref="F429">_xll.BDH($D429,"MTG_GEN_CPR_6M","20090331","20090331","Dts=H")</f>
        <v>#N/A Invalid Field</v>
      </c>
      <c r="G429" t="str" cm="1">
        <f t="array" ref="G429">_xll.BDH($D429,"MTG_GEN_CPR_12M","20090331","20090331","Dts=H")</f>
        <v>#N/A Invalid Field</v>
      </c>
      <c r="H429" t="str" cm="1">
        <f t="array" ref="H429">_xll.BDH($D429,"MTG_GEN_CPR_3M","20090610","20090610","Dts=H")</f>
        <v>#N/A Invalid Field</v>
      </c>
      <c r="I429" t="str" cm="1">
        <f t="array" ref="I429">_xll.BDH($D429,"MTG_GEN_CPR_6M","20090610","20090610","Dts=H")</f>
        <v>#N/A Invalid Field</v>
      </c>
      <c r="J429" t="str" cm="1">
        <f t="array" ref="J429">_xll.BDH($D429,"MTG_GEN_CPR_12M","20090610","20090610","Dts=H")</f>
        <v>#N/A Invalid Field</v>
      </c>
      <c r="K429" t="str" cm="1">
        <f t="array" ref="K429">_xll.BDP(D429,"MTG_PREPAY_TYP")</f>
        <v>PSA</v>
      </c>
      <c r="L429" cm="1">
        <f t="array" ref="L429">_xll.BDP(D429,"MTG_PREPAY_SPEED")</f>
        <v>169</v>
      </c>
      <c r="M429" cm="1">
        <f t="array" ref="M429">_xll.BDP(D429,"MTG_PL_PSA_1M ")</f>
        <v>0.2</v>
      </c>
      <c r="N429" cm="1">
        <f t="array" ref="N429">_xll.BDP(D429,"MTG_PL_PSA_3M ")</f>
        <v>0.2</v>
      </c>
      <c r="O429" cm="1">
        <f t="array" ref="O429">_xll.BDP(D429,"MTG_PL_PSA_6M ")</f>
        <v>0.2</v>
      </c>
    </row>
    <row r="430" spans="1:15" x14ac:dyDescent="0.25">
      <c r="A430" t="s">
        <v>1302</v>
      </c>
      <c r="B430" t="s">
        <v>1303</v>
      </c>
      <c r="C430" t="s">
        <v>100</v>
      </c>
      <c r="D430" t="s">
        <v>1304</v>
      </c>
      <c r="E430" t="str" cm="1">
        <f t="array" ref="E430">_xll.BDH($D430,"MTG_GEN_CPR_3M","20090331","20090331","Dts=H")</f>
        <v>#N/A Invalid Field</v>
      </c>
      <c r="F430" t="str" cm="1">
        <f t="array" ref="F430">_xll.BDH($D430,"MTG_GEN_CPR_6M","20090331","20090331","Dts=H")</f>
        <v>#N/A Invalid Field</v>
      </c>
      <c r="G430" t="str" cm="1">
        <f t="array" ref="G430">_xll.BDH($D430,"MTG_GEN_CPR_12M","20090331","20090331","Dts=H")</f>
        <v>#N/A Invalid Field</v>
      </c>
      <c r="H430" t="str" cm="1">
        <f t="array" ref="H430">_xll.BDH($D430,"MTG_GEN_CPR_3M","20090610","20090610","Dts=H")</f>
        <v>#N/A Invalid Field</v>
      </c>
      <c r="I430" t="str" cm="1">
        <f t="array" ref="I430">_xll.BDH($D430,"MTG_GEN_CPR_6M","20090610","20090610","Dts=H")</f>
        <v>#N/A Invalid Field</v>
      </c>
      <c r="J430" t="str" cm="1">
        <f t="array" ref="J430">_xll.BDH($D430,"MTG_GEN_CPR_12M","20090610","20090610","Dts=H")</f>
        <v>#N/A Invalid Field</v>
      </c>
      <c r="K430" t="str" cm="1">
        <f t="array" ref="K430">_xll.BDP(D430,"MTG_PREPAY_TYP")</f>
        <v>#N/A N/A</v>
      </c>
      <c r="L430" t="str" cm="1">
        <f t="array" ref="L430">_xll.BDP(D430,"MTG_PREPAY_SPEED")</f>
        <v>#N/A N/A</v>
      </c>
      <c r="M430" cm="1">
        <f t="array" ref="M430">_xll.BDP(D430,"MTG_PL_PSA_1M ")</f>
        <v>1666.7</v>
      </c>
      <c r="N430" cm="1">
        <f t="array" ref="N430">_xll.BDP(D430,"MTG_PL_PSA_3M ")</f>
        <v>1666.7</v>
      </c>
      <c r="O430" cm="1">
        <f t="array" ref="O430">_xll.BDP(D430,"MTG_PL_PSA_6M ")</f>
        <v>1666.7</v>
      </c>
    </row>
    <row r="431" spans="1:15" x14ac:dyDescent="0.25">
      <c r="A431" t="s">
        <v>1305</v>
      </c>
      <c r="B431" t="s">
        <v>1306</v>
      </c>
      <c r="C431" t="s">
        <v>100</v>
      </c>
      <c r="D431" t="s">
        <v>1307</v>
      </c>
      <c r="E431" t="str" cm="1">
        <f t="array" ref="E431">_xll.BDH($D431,"MTG_GEN_CPR_3M","20090331","20090331","Dts=H")</f>
        <v>#N/A Invalid Field</v>
      </c>
      <c r="F431" t="str" cm="1">
        <f t="array" ref="F431">_xll.BDH($D431,"MTG_GEN_CPR_6M","20090331","20090331","Dts=H")</f>
        <v>#N/A Invalid Field</v>
      </c>
      <c r="G431" t="str" cm="1">
        <f t="array" ref="G431">_xll.BDH($D431,"MTG_GEN_CPR_12M","20090331","20090331","Dts=H")</f>
        <v>#N/A Invalid Field</v>
      </c>
      <c r="H431" t="str" cm="1">
        <f t="array" ref="H431">_xll.BDH($D431,"MTG_GEN_CPR_3M","20090610","20090610","Dts=H")</f>
        <v>#N/A Invalid Field</v>
      </c>
      <c r="I431" t="str" cm="1">
        <f t="array" ref="I431">_xll.BDH($D431,"MTG_GEN_CPR_6M","20090610","20090610","Dts=H")</f>
        <v>#N/A Invalid Field</v>
      </c>
      <c r="J431" t="str" cm="1">
        <f t="array" ref="J431">_xll.BDH($D431,"MTG_GEN_CPR_12M","20090610","20090610","Dts=H")</f>
        <v>#N/A Invalid Field</v>
      </c>
      <c r="K431" t="str" cm="1">
        <f t="array" ref="K431">_xll.BDP(D431,"MTG_PREPAY_TYP")</f>
        <v>PSA</v>
      </c>
      <c r="L431" cm="1">
        <f t="array" ref="L431">_xll.BDP(D431,"MTG_PREPAY_SPEED")</f>
        <v>182</v>
      </c>
      <c r="M431" cm="1">
        <f t="array" ref="M431">_xll.BDP(D431,"MTG_PL_PSA_1M ")</f>
        <v>10.5</v>
      </c>
      <c r="N431" cm="1">
        <f t="array" ref="N431">_xll.BDP(D431,"MTG_PL_PSA_3M ")</f>
        <v>10.3</v>
      </c>
      <c r="O431" cm="1">
        <f t="array" ref="O431">_xll.BDP(D431,"MTG_PL_PSA_6M ")</f>
        <v>10.1</v>
      </c>
    </row>
    <row r="432" spans="1:15" x14ac:dyDescent="0.25">
      <c r="A432" t="s">
        <v>1308</v>
      </c>
      <c r="B432" t="s">
        <v>1309</v>
      </c>
      <c r="C432" t="s">
        <v>100</v>
      </c>
      <c r="D432" t="s">
        <v>1310</v>
      </c>
      <c r="E432" t="str" cm="1">
        <f t="array" ref="E432">_xll.BDH($D432,"MTG_GEN_CPR_3M","20090331","20090331","Dts=H")</f>
        <v>#N/A Invalid Field</v>
      </c>
      <c r="F432" t="str" cm="1">
        <f t="array" ref="F432">_xll.BDH($D432,"MTG_GEN_CPR_6M","20090331","20090331","Dts=H")</f>
        <v>#N/A Invalid Field</v>
      </c>
      <c r="G432" t="str" cm="1">
        <f t="array" ref="G432">_xll.BDH($D432,"MTG_GEN_CPR_12M","20090331","20090331","Dts=H")</f>
        <v>#N/A Invalid Field</v>
      </c>
      <c r="H432" t="str" cm="1">
        <f t="array" ref="H432">_xll.BDH($D432,"MTG_GEN_CPR_3M","20090610","20090610","Dts=H")</f>
        <v>#N/A Invalid Field</v>
      </c>
      <c r="I432" t="str" cm="1">
        <f t="array" ref="I432">_xll.BDH($D432,"MTG_GEN_CPR_6M","20090610","20090610","Dts=H")</f>
        <v>#N/A Invalid Field</v>
      </c>
      <c r="J432" t="str" cm="1">
        <f t="array" ref="J432">_xll.BDH($D432,"MTG_GEN_CPR_12M","20090610","20090610","Dts=H")</f>
        <v>#N/A Invalid Field</v>
      </c>
      <c r="K432" t="str" cm="1">
        <f t="array" ref="K432">_xll.BDP(D432,"MTG_PREPAY_TYP")</f>
        <v>PSA</v>
      </c>
      <c r="L432" cm="1">
        <f t="array" ref="L432">_xll.BDP(D432,"MTG_PREPAY_SPEED")</f>
        <v>169</v>
      </c>
      <c r="M432" cm="1">
        <f t="array" ref="M432">_xll.BDP(D432,"MTG_PL_PSA_1M ")</f>
        <v>3.1</v>
      </c>
      <c r="N432" cm="1">
        <f t="array" ref="N432">_xll.BDP(D432,"MTG_PL_PSA_3M ")</f>
        <v>383.5</v>
      </c>
      <c r="O432" cm="1">
        <f t="array" ref="O432">_xll.BDP(D432,"MTG_PL_PSA_6M ")</f>
        <v>210.9</v>
      </c>
    </row>
    <row r="433" spans="1:15" x14ac:dyDescent="0.25">
      <c r="A433" t="s">
        <v>1311</v>
      </c>
      <c r="B433" t="s">
        <v>1312</v>
      </c>
      <c r="C433" t="s">
        <v>100</v>
      </c>
      <c r="D433" t="s">
        <v>1313</v>
      </c>
      <c r="E433" t="str" cm="1">
        <f t="array" ref="E433">_xll.BDH($D433,"MTG_GEN_CPR_3M","20090331","20090331","Dts=H")</f>
        <v>#N/A Invalid Field</v>
      </c>
      <c r="F433" t="str" cm="1">
        <f t="array" ref="F433">_xll.BDH($D433,"MTG_GEN_CPR_6M","20090331","20090331","Dts=H")</f>
        <v>#N/A Invalid Field</v>
      </c>
      <c r="G433" t="str" cm="1">
        <f t="array" ref="G433">_xll.BDH($D433,"MTG_GEN_CPR_12M","20090331","20090331","Dts=H")</f>
        <v>#N/A Invalid Field</v>
      </c>
      <c r="H433" t="str" cm="1">
        <f t="array" ref="H433">_xll.BDH($D433,"MTG_GEN_CPR_3M","20090610","20090610","Dts=H")</f>
        <v>#N/A Invalid Field</v>
      </c>
      <c r="I433" t="str" cm="1">
        <f t="array" ref="I433">_xll.BDH($D433,"MTG_GEN_CPR_6M","20090610","20090610","Dts=H")</f>
        <v>#N/A Invalid Field</v>
      </c>
      <c r="J433" t="str" cm="1">
        <f t="array" ref="J433">_xll.BDH($D433,"MTG_GEN_CPR_12M","20090610","20090610","Dts=H")</f>
        <v>#N/A Invalid Field</v>
      </c>
      <c r="K433" t="str" cm="1">
        <f t="array" ref="K433">_xll.BDP(D433,"MTG_PREPAY_TYP")</f>
        <v>PSA</v>
      </c>
      <c r="L433" cm="1">
        <f t="array" ref="L433">_xll.BDP(D433,"MTG_PREPAY_SPEED")</f>
        <v>182</v>
      </c>
      <c r="M433" cm="1">
        <f t="array" ref="M433">_xll.BDP(D433,"MTG_PL_PSA_1M ")</f>
        <v>0.6</v>
      </c>
      <c r="N433" cm="1">
        <f t="array" ref="N433">_xll.BDP(D433,"MTG_PL_PSA_3M ")</f>
        <v>0.6</v>
      </c>
      <c r="O433" cm="1">
        <f t="array" ref="O433">_xll.BDP(D433,"MTG_PL_PSA_6M ")</f>
        <v>0.5</v>
      </c>
    </row>
    <row r="434" spans="1:15" x14ac:dyDescent="0.25">
      <c r="A434" t="s">
        <v>1314</v>
      </c>
      <c r="B434" t="s">
        <v>1315</v>
      </c>
      <c r="C434" t="s">
        <v>100</v>
      </c>
      <c r="D434" t="s">
        <v>1316</v>
      </c>
      <c r="E434" t="str" cm="1">
        <f t="array" ref="E434">_xll.BDH($D434,"MTG_GEN_CPR_3M","20090331","20090331","Dts=H")</f>
        <v>#N/A Invalid Field</v>
      </c>
      <c r="F434" t="str" cm="1">
        <f t="array" ref="F434">_xll.BDH($D434,"MTG_GEN_CPR_6M","20090331","20090331","Dts=H")</f>
        <v>#N/A Invalid Field</v>
      </c>
      <c r="G434" t="str" cm="1">
        <f t="array" ref="G434">_xll.BDH($D434,"MTG_GEN_CPR_12M","20090331","20090331","Dts=H")</f>
        <v>#N/A Invalid Field</v>
      </c>
      <c r="H434" t="str" cm="1">
        <f t="array" ref="H434">_xll.BDH($D434,"MTG_GEN_CPR_3M","20090610","20090610","Dts=H")</f>
        <v>#N/A Invalid Field</v>
      </c>
      <c r="I434" t="str" cm="1">
        <f t="array" ref="I434">_xll.BDH($D434,"MTG_GEN_CPR_6M","20090610","20090610","Dts=H")</f>
        <v>#N/A Invalid Field</v>
      </c>
      <c r="J434" t="str" cm="1">
        <f t="array" ref="J434">_xll.BDH($D434,"MTG_GEN_CPR_12M","20090610","20090610","Dts=H")</f>
        <v>#N/A Invalid Field</v>
      </c>
      <c r="K434" t="str" cm="1">
        <f t="array" ref="K434">_xll.BDP(D434,"MTG_PREPAY_TYP")</f>
        <v>PSA</v>
      </c>
      <c r="L434" cm="1">
        <f t="array" ref="L434">_xll.BDP(D434,"MTG_PREPAY_SPEED")</f>
        <v>182</v>
      </c>
      <c r="M434" cm="1">
        <f t="array" ref="M434">_xll.BDP(D434,"MTG_PL_PSA_1M ")</f>
        <v>0</v>
      </c>
      <c r="N434" cm="1">
        <f t="array" ref="N434">_xll.BDP(D434,"MTG_PL_PSA_3M ")</f>
        <v>0</v>
      </c>
      <c r="O434" cm="1">
        <f t="array" ref="O434">_xll.BDP(D434,"MTG_PL_PSA_6M ")</f>
        <v>0</v>
      </c>
    </row>
    <row r="435" spans="1:15" x14ac:dyDescent="0.25">
      <c r="A435" t="s">
        <v>1317</v>
      </c>
      <c r="B435" t="s">
        <v>1318</v>
      </c>
      <c r="C435" t="s">
        <v>100</v>
      </c>
      <c r="D435" t="s">
        <v>1319</v>
      </c>
      <c r="E435" t="str" cm="1">
        <f t="array" ref="E435">_xll.BDH($D435,"MTG_GEN_CPR_3M","20090331","20090331","Dts=H")</f>
        <v>#N/A Invalid Field</v>
      </c>
      <c r="F435" t="str" cm="1">
        <f t="array" ref="F435">_xll.BDH($D435,"MTG_GEN_CPR_6M","20090331","20090331","Dts=H")</f>
        <v>#N/A Invalid Field</v>
      </c>
      <c r="G435" t="str" cm="1">
        <f t="array" ref="G435">_xll.BDH($D435,"MTG_GEN_CPR_12M","20090331","20090331","Dts=H")</f>
        <v>#N/A Invalid Field</v>
      </c>
      <c r="H435" t="str" cm="1">
        <f t="array" ref="H435">_xll.BDH($D435,"MTG_GEN_CPR_3M","20090610","20090610","Dts=H")</f>
        <v>#N/A Invalid Field</v>
      </c>
      <c r="I435" t="str" cm="1">
        <f t="array" ref="I435">_xll.BDH($D435,"MTG_GEN_CPR_6M","20090610","20090610","Dts=H")</f>
        <v>#N/A Invalid Field</v>
      </c>
      <c r="J435" t="str" cm="1">
        <f t="array" ref="J435">_xll.BDH($D435,"MTG_GEN_CPR_12M","20090610","20090610","Dts=H")</f>
        <v>#N/A Invalid Field</v>
      </c>
      <c r="K435" t="str" cm="1">
        <f t="array" ref="K435">_xll.BDP(D435,"MTG_PREPAY_TYP")</f>
        <v>PSA</v>
      </c>
      <c r="L435" cm="1">
        <f t="array" ref="L435">_xll.BDP(D435,"MTG_PREPAY_SPEED")</f>
        <v>115</v>
      </c>
      <c r="M435" cm="1">
        <f t="array" ref="M435">_xll.BDP(D435,"MTG_PL_PSA_1M ")</f>
        <v>6.8</v>
      </c>
      <c r="N435" cm="1">
        <f t="array" ref="N435">_xll.BDP(D435,"MTG_PL_PSA_3M ")</f>
        <v>845.1</v>
      </c>
      <c r="O435" cm="1">
        <f t="array" ref="O435">_xll.BDP(D435,"MTG_PL_PSA_6M ")</f>
        <v>499.8</v>
      </c>
    </row>
    <row r="436" spans="1:15" x14ac:dyDescent="0.25">
      <c r="A436" t="s">
        <v>1320</v>
      </c>
      <c r="B436" t="s">
        <v>1321</v>
      </c>
      <c r="C436" t="s">
        <v>100</v>
      </c>
      <c r="D436" t="s">
        <v>1322</v>
      </c>
      <c r="E436" t="str" cm="1">
        <f t="array" ref="E436">_xll.BDH($D436,"MTG_GEN_CPR_3M","20090331","20090331","Dts=H")</f>
        <v>#N/A Invalid Field</v>
      </c>
      <c r="F436" t="str" cm="1">
        <f t="array" ref="F436">_xll.BDH($D436,"MTG_GEN_CPR_6M","20090331","20090331","Dts=H")</f>
        <v>#N/A Invalid Field</v>
      </c>
      <c r="G436" t="str" cm="1">
        <f t="array" ref="G436">_xll.BDH($D436,"MTG_GEN_CPR_12M","20090331","20090331","Dts=H")</f>
        <v>#N/A Invalid Field</v>
      </c>
      <c r="H436" t="str" cm="1">
        <f t="array" ref="H436">_xll.BDH($D436,"MTG_GEN_CPR_3M","20090610","20090610","Dts=H")</f>
        <v>#N/A Invalid Field</v>
      </c>
      <c r="I436" t="str" cm="1">
        <f t="array" ref="I436">_xll.BDH($D436,"MTG_GEN_CPR_6M","20090610","20090610","Dts=H")</f>
        <v>#N/A Invalid Field</v>
      </c>
      <c r="J436" t="str" cm="1">
        <f t="array" ref="J436">_xll.BDH($D436,"MTG_GEN_CPR_12M","20090610","20090610","Dts=H")</f>
        <v>#N/A Invalid Field</v>
      </c>
      <c r="K436" t="str" cm="1">
        <f t="array" ref="K436">_xll.BDP(D436,"MTG_PREPAY_TYP")</f>
        <v>PSA</v>
      </c>
      <c r="L436" cm="1">
        <f t="array" ref="L436">_xll.BDP(D436,"MTG_PREPAY_SPEED")</f>
        <v>161</v>
      </c>
      <c r="M436" cm="1">
        <f t="array" ref="M436">_xll.BDP(D436,"MTG_PL_PSA_1M ")</f>
        <v>36.799999999999997</v>
      </c>
      <c r="N436" cm="1">
        <f t="array" ref="N436">_xll.BDP(D436,"MTG_PL_PSA_3M ")</f>
        <v>23</v>
      </c>
      <c r="O436" cm="1">
        <f t="array" ref="O436">_xll.BDP(D436,"MTG_PL_PSA_6M ")</f>
        <v>340.6</v>
      </c>
    </row>
    <row r="437" spans="1:15" x14ac:dyDescent="0.25">
      <c r="A437" t="s">
        <v>1323</v>
      </c>
      <c r="B437" t="s">
        <v>1324</v>
      </c>
      <c r="C437" t="s">
        <v>100</v>
      </c>
      <c r="D437" t="s">
        <v>1325</v>
      </c>
      <c r="E437" t="str" cm="1">
        <f t="array" ref="E437">_xll.BDH($D437,"MTG_GEN_CPR_3M","20090331","20090331","Dts=H")</f>
        <v>#N/A Invalid Field</v>
      </c>
      <c r="F437" t="str" cm="1">
        <f t="array" ref="F437">_xll.BDH($D437,"MTG_GEN_CPR_6M","20090331","20090331","Dts=H")</f>
        <v>#N/A Invalid Field</v>
      </c>
      <c r="G437" t="str" cm="1">
        <f t="array" ref="G437">_xll.BDH($D437,"MTG_GEN_CPR_12M","20090331","20090331","Dts=H")</f>
        <v>#N/A Invalid Field</v>
      </c>
      <c r="H437" t="str" cm="1">
        <f t="array" ref="H437">_xll.BDH($D437,"MTG_GEN_CPR_3M","20090610","20090610","Dts=H")</f>
        <v>#N/A Invalid Field</v>
      </c>
      <c r="I437" t="str" cm="1">
        <f t="array" ref="I437">_xll.BDH($D437,"MTG_GEN_CPR_6M","20090610","20090610","Dts=H")</f>
        <v>#N/A Invalid Field</v>
      </c>
      <c r="J437" t="str" cm="1">
        <f t="array" ref="J437">_xll.BDH($D437,"MTG_GEN_CPR_12M","20090610","20090610","Dts=H")</f>
        <v>#N/A Invalid Field</v>
      </c>
      <c r="K437" t="str" cm="1">
        <f t="array" ref="K437">_xll.BDP(D437,"MTG_PREPAY_TYP")</f>
        <v>#N/A N/A</v>
      </c>
      <c r="L437" t="str" cm="1">
        <f t="array" ref="L437">_xll.BDP(D437,"MTG_PREPAY_SPEED")</f>
        <v>#N/A N/A</v>
      </c>
      <c r="M437" cm="1">
        <f t="array" ref="M437">_xll.BDP(D437,"MTG_PL_PSA_1M ")</f>
        <v>1666.7</v>
      </c>
      <c r="N437" cm="1">
        <f t="array" ref="N437">_xll.BDP(D437,"MTG_PL_PSA_3M ")</f>
        <v>1666.7</v>
      </c>
      <c r="O437" cm="1">
        <f t="array" ref="O437">_xll.BDP(D437,"MTG_PL_PSA_6M ")</f>
        <v>1666.7</v>
      </c>
    </row>
    <row r="438" spans="1:15" x14ac:dyDescent="0.25">
      <c r="A438" t="s">
        <v>1326</v>
      </c>
      <c r="B438" t="s">
        <v>1327</v>
      </c>
      <c r="C438" t="s">
        <v>100</v>
      </c>
      <c r="D438" t="s">
        <v>1328</v>
      </c>
      <c r="E438" t="str" cm="1">
        <f t="array" ref="E438">_xll.BDH($D438,"MTG_GEN_CPR_3M","20090331","20090331","Dts=H")</f>
        <v>#N/A Invalid Field</v>
      </c>
      <c r="F438" t="str" cm="1">
        <f t="array" ref="F438">_xll.BDH($D438,"MTG_GEN_CPR_6M","20090331","20090331","Dts=H")</f>
        <v>#N/A Invalid Field</v>
      </c>
      <c r="G438" t="str" cm="1">
        <f t="array" ref="G438">_xll.BDH($D438,"MTG_GEN_CPR_12M","20090331","20090331","Dts=H")</f>
        <v>#N/A Invalid Field</v>
      </c>
      <c r="H438" t="str" cm="1">
        <f t="array" ref="H438">_xll.BDH($D438,"MTG_GEN_CPR_3M","20090610","20090610","Dts=H")</f>
        <v>#N/A Invalid Field</v>
      </c>
      <c r="I438" t="str" cm="1">
        <f t="array" ref="I438">_xll.BDH($D438,"MTG_GEN_CPR_6M","20090610","20090610","Dts=H")</f>
        <v>#N/A Invalid Field</v>
      </c>
      <c r="J438" t="str" cm="1">
        <f t="array" ref="J438">_xll.BDH($D438,"MTG_GEN_CPR_12M","20090610","20090610","Dts=H")</f>
        <v>#N/A Invalid Field</v>
      </c>
      <c r="K438" t="str" cm="1">
        <f t="array" ref="K438">_xll.BDP(D438,"MTG_PREPAY_TYP")</f>
        <v>PSA</v>
      </c>
      <c r="L438" cm="1">
        <f t="array" ref="L438">_xll.BDP(D438,"MTG_PREPAY_SPEED")</f>
        <v>169</v>
      </c>
      <c r="M438" cm="1">
        <f t="array" ref="M438">_xll.BDP(D438,"MTG_PL_PSA_1M ")</f>
        <v>5.8</v>
      </c>
      <c r="N438" cm="1">
        <f t="array" ref="N438">_xll.BDP(D438,"MTG_PL_PSA_3M ")</f>
        <v>5.6</v>
      </c>
      <c r="O438" cm="1">
        <f t="array" ref="O438">_xll.BDP(D438,"MTG_PL_PSA_6M ")</f>
        <v>5.5</v>
      </c>
    </row>
    <row r="439" spans="1:15" x14ac:dyDescent="0.25">
      <c r="A439" t="s">
        <v>1329</v>
      </c>
      <c r="B439" t="s">
        <v>1330</v>
      </c>
      <c r="C439" t="s">
        <v>100</v>
      </c>
      <c r="D439" t="s">
        <v>1331</v>
      </c>
      <c r="E439" t="str" cm="1">
        <f t="array" ref="E439">_xll.BDH($D439,"MTG_GEN_CPR_3M","20090331","20090331","Dts=H")</f>
        <v>#N/A Invalid Field</v>
      </c>
      <c r="F439" t="str" cm="1">
        <f t="array" ref="F439">_xll.BDH($D439,"MTG_GEN_CPR_6M","20090331","20090331","Dts=H")</f>
        <v>#N/A Invalid Field</v>
      </c>
      <c r="G439" t="str" cm="1">
        <f t="array" ref="G439">_xll.BDH($D439,"MTG_GEN_CPR_12M","20090331","20090331","Dts=H")</f>
        <v>#N/A Invalid Field</v>
      </c>
      <c r="H439" t="str" cm="1">
        <f t="array" ref="H439">_xll.BDH($D439,"MTG_GEN_CPR_3M","20090610","20090610","Dts=H")</f>
        <v>#N/A Invalid Field</v>
      </c>
      <c r="I439" t="str" cm="1">
        <f t="array" ref="I439">_xll.BDH($D439,"MTG_GEN_CPR_6M","20090610","20090610","Dts=H")</f>
        <v>#N/A Invalid Field</v>
      </c>
      <c r="J439" t="str" cm="1">
        <f t="array" ref="J439">_xll.BDH($D439,"MTG_GEN_CPR_12M","20090610","20090610","Dts=H")</f>
        <v>#N/A Invalid Field</v>
      </c>
      <c r="K439" t="str" cm="1">
        <f t="array" ref="K439">_xll.BDP(D439,"MTG_PREPAY_TYP")</f>
        <v>CPR</v>
      </c>
      <c r="L439" cm="1">
        <f t="array" ref="L439">_xll.BDP(D439,"MTG_PREPAY_SPEED")</f>
        <v>4.5199999999999996</v>
      </c>
      <c r="M439" cm="1">
        <f t="array" ref="M439">_xll.BDP(D439,"MTG_PL_PSA_1M ")</f>
        <v>33.4</v>
      </c>
      <c r="N439" cm="1">
        <f t="array" ref="N439">_xll.BDP(D439,"MTG_PL_PSA_3M ")</f>
        <v>78.8</v>
      </c>
      <c r="O439" cm="1">
        <f t="array" ref="O439">_xll.BDP(D439,"MTG_PL_PSA_6M ")</f>
        <v>75.3</v>
      </c>
    </row>
    <row r="440" spans="1:15" x14ac:dyDescent="0.25">
      <c r="A440" t="s">
        <v>1332</v>
      </c>
      <c r="B440" t="s">
        <v>1333</v>
      </c>
      <c r="C440" t="s">
        <v>100</v>
      </c>
      <c r="D440" t="s">
        <v>1334</v>
      </c>
      <c r="E440" t="str" cm="1">
        <f t="array" ref="E440">_xll.BDH($D440,"MTG_GEN_CPR_3M","20090331","20090331","Dts=H")</f>
        <v>#N/A Invalid Field</v>
      </c>
      <c r="F440" t="str" cm="1">
        <f t="array" ref="F440">_xll.BDH($D440,"MTG_GEN_CPR_6M","20090331","20090331","Dts=H")</f>
        <v>#N/A Invalid Field</v>
      </c>
      <c r="G440" t="str" cm="1">
        <f t="array" ref="G440">_xll.BDH($D440,"MTG_GEN_CPR_12M","20090331","20090331","Dts=H")</f>
        <v>#N/A Invalid Field</v>
      </c>
      <c r="H440" t="str" cm="1">
        <f t="array" ref="H440">_xll.BDH($D440,"MTG_GEN_CPR_3M","20090610","20090610","Dts=H")</f>
        <v>#N/A Invalid Field</v>
      </c>
      <c r="I440" t="str" cm="1">
        <f t="array" ref="I440">_xll.BDH($D440,"MTG_GEN_CPR_6M","20090610","20090610","Dts=H")</f>
        <v>#N/A Invalid Field</v>
      </c>
      <c r="J440" t="str" cm="1">
        <f t="array" ref="J440">_xll.BDH($D440,"MTG_GEN_CPR_12M","20090610","20090610","Dts=H")</f>
        <v>#N/A Invalid Field</v>
      </c>
      <c r="K440" t="str" cm="1">
        <f t="array" ref="K440">_xll.BDP(D440,"MTG_PREPAY_TYP")</f>
        <v>PSA</v>
      </c>
      <c r="L440" cm="1">
        <f t="array" ref="L440">_xll.BDP(D440,"MTG_PREPAY_SPEED")</f>
        <v>182</v>
      </c>
      <c r="M440" cm="1">
        <f t="array" ref="M440">_xll.BDP(D440,"MTG_PL_PSA_1M ")</f>
        <v>0.2</v>
      </c>
      <c r="N440" cm="1">
        <f t="array" ref="N440">_xll.BDP(D440,"MTG_PL_PSA_3M ")</f>
        <v>0.2</v>
      </c>
      <c r="O440" cm="1">
        <f t="array" ref="O440">_xll.BDP(D440,"MTG_PL_PSA_6M ")</f>
        <v>0.2</v>
      </c>
    </row>
    <row r="441" spans="1:15" x14ac:dyDescent="0.25">
      <c r="A441" t="s">
        <v>1335</v>
      </c>
      <c r="B441" t="s">
        <v>1336</v>
      </c>
      <c r="C441" t="s">
        <v>100</v>
      </c>
      <c r="D441" t="s">
        <v>1337</v>
      </c>
      <c r="E441" t="str" cm="1">
        <f t="array" ref="E441">_xll.BDH($D441,"MTG_GEN_CPR_3M","20090331","20090331","Dts=H")</f>
        <v>#N/A Invalid Field</v>
      </c>
      <c r="F441" t="str" cm="1">
        <f t="array" ref="F441">_xll.BDH($D441,"MTG_GEN_CPR_6M","20090331","20090331","Dts=H")</f>
        <v>#N/A Invalid Field</v>
      </c>
      <c r="G441" t="str" cm="1">
        <f t="array" ref="G441">_xll.BDH($D441,"MTG_GEN_CPR_12M","20090331","20090331","Dts=H")</f>
        <v>#N/A Invalid Field</v>
      </c>
      <c r="H441" t="str" cm="1">
        <f t="array" ref="H441">_xll.BDH($D441,"MTG_GEN_CPR_3M","20090610","20090610","Dts=H")</f>
        <v>#N/A Invalid Field</v>
      </c>
      <c r="I441" t="str" cm="1">
        <f t="array" ref="I441">_xll.BDH($D441,"MTG_GEN_CPR_6M","20090610","20090610","Dts=H")</f>
        <v>#N/A Invalid Field</v>
      </c>
      <c r="J441" t="str" cm="1">
        <f t="array" ref="J441">_xll.BDH($D441,"MTG_GEN_CPR_12M","20090610","20090610","Dts=H")</f>
        <v>#N/A Invalid Field</v>
      </c>
      <c r="K441" t="str" cm="1">
        <f t="array" ref="K441">_xll.BDP(D441,"MTG_PREPAY_TYP")</f>
        <v>PSA</v>
      </c>
      <c r="L441" cm="1">
        <f t="array" ref="L441">_xll.BDP(D441,"MTG_PREPAY_SPEED")</f>
        <v>161</v>
      </c>
      <c r="M441" cm="1">
        <f t="array" ref="M441">_xll.BDP(D441,"MTG_PL_PSA_1M ")</f>
        <v>19.100000000000001</v>
      </c>
      <c r="N441" cm="1">
        <f t="array" ref="N441">_xll.BDP(D441,"MTG_PL_PSA_3M ")</f>
        <v>428.7</v>
      </c>
      <c r="O441" cm="1">
        <f t="array" ref="O441">_xll.BDP(D441,"MTG_PL_PSA_6M ")</f>
        <v>238.8</v>
      </c>
    </row>
    <row r="442" spans="1:15" x14ac:dyDescent="0.25">
      <c r="A442" t="s">
        <v>1338</v>
      </c>
      <c r="B442" t="s">
        <v>1339</v>
      </c>
      <c r="C442" t="s">
        <v>100</v>
      </c>
      <c r="D442" t="s">
        <v>1340</v>
      </c>
      <c r="E442" t="str" cm="1">
        <f t="array" ref="E442">_xll.BDH($D442,"MTG_GEN_CPR_3M","20090331","20090331","Dts=H")</f>
        <v>#N/A Invalid Field</v>
      </c>
      <c r="F442" t="str" cm="1">
        <f t="array" ref="F442">_xll.BDH($D442,"MTG_GEN_CPR_6M","20090331","20090331","Dts=H")</f>
        <v>#N/A Invalid Field</v>
      </c>
      <c r="G442" t="str" cm="1">
        <f t="array" ref="G442">_xll.BDH($D442,"MTG_GEN_CPR_12M","20090331","20090331","Dts=H")</f>
        <v>#N/A Invalid Field</v>
      </c>
      <c r="H442" t="str" cm="1">
        <f t="array" ref="H442">_xll.BDH($D442,"MTG_GEN_CPR_3M","20090610","20090610","Dts=H")</f>
        <v>#N/A Invalid Field</v>
      </c>
      <c r="I442" t="str" cm="1">
        <f t="array" ref="I442">_xll.BDH($D442,"MTG_GEN_CPR_6M","20090610","20090610","Dts=H")</f>
        <v>#N/A Invalid Field</v>
      </c>
      <c r="J442" t="str" cm="1">
        <f t="array" ref="J442">_xll.BDH($D442,"MTG_GEN_CPR_12M","20090610","20090610","Dts=H")</f>
        <v>#N/A Invalid Field</v>
      </c>
      <c r="K442" t="str" cm="1">
        <f t="array" ref="K442">_xll.BDP(D442,"MTG_PREPAY_TYP")</f>
        <v>#N/A N/A</v>
      </c>
      <c r="L442" t="str" cm="1">
        <f t="array" ref="L442">_xll.BDP(D442,"MTG_PREPAY_SPEED")</f>
        <v>#N/A N/A</v>
      </c>
      <c r="M442" cm="1">
        <f t="array" ref="M442">_xll.BDP(D442,"MTG_PL_PSA_1M ")</f>
        <v>1666.7</v>
      </c>
      <c r="N442" cm="1">
        <f t="array" ref="N442">_xll.BDP(D442,"MTG_PL_PSA_3M ")</f>
        <v>1666.7</v>
      </c>
      <c r="O442" cm="1">
        <f t="array" ref="O442">_xll.BDP(D442,"MTG_PL_PSA_6M ")</f>
        <v>1666.7</v>
      </c>
    </row>
    <row r="443" spans="1:15" x14ac:dyDescent="0.25">
      <c r="A443" t="s">
        <v>1341</v>
      </c>
      <c r="B443" t="s">
        <v>1342</v>
      </c>
      <c r="C443" t="s">
        <v>100</v>
      </c>
      <c r="D443" t="s">
        <v>1343</v>
      </c>
      <c r="E443" t="str" cm="1">
        <f t="array" ref="E443">_xll.BDH($D443,"MTG_GEN_CPR_3M","20090331","20090331","Dts=H")</f>
        <v>#N/A Invalid Field</v>
      </c>
      <c r="F443" t="str" cm="1">
        <f t="array" ref="F443">_xll.BDH($D443,"MTG_GEN_CPR_6M","20090331","20090331","Dts=H")</f>
        <v>#N/A Invalid Field</v>
      </c>
      <c r="G443" t="str" cm="1">
        <f t="array" ref="G443">_xll.BDH($D443,"MTG_GEN_CPR_12M","20090331","20090331","Dts=H")</f>
        <v>#N/A Invalid Field</v>
      </c>
      <c r="H443" t="str" cm="1">
        <f t="array" ref="H443">_xll.BDH($D443,"MTG_GEN_CPR_3M","20090610","20090610","Dts=H")</f>
        <v>#N/A Invalid Field</v>
      </c>
      <c r="I443" t="str" cm="1">
        <f t="array" ref="I443">_xll.BDH($D443,"MTG_GEN_CPR_6M","20090610","20090610","Dts=H")</f>
        <v>#N/A Invalid Field</v>
      </c>
      <c r="J443" t="str" cm="1">
        <f t="array" ref="J443">_xll.BDH($D443,"MTG_GEN_CPR_12M","20090610","20090610","Dts=H")</f>
        <v>#N/A Invalid Field</v>
      </c>
      <c r="K443" t="str" cm="1">
        <f t="array" ref="K443">_xll.BDP(D443,"MTG_PREPAY_TYP")</f>
        <v>PSA</v>
      </c>
      <c r="L443" cm="1">
        <f t="array" ref="L443">_xll.BDP(D443,"MTG_PREPAY_SPEED")</f>
        <v>161</v>
      </c>
      <c r="M443" cm="1">
        <f t="array" ref="M443">_xll.BDP(D443,"MTG_PL_PSA_1M ")</f>
        <v>46.3</v>
      </c>
      <c r="N443" cm="1">
        <f t="array" ref="N443">_xll.BDP(D443,"MTG_PL_PSA_3M ")</f>
        <v>47.4</v>
      </c>
      <c r="O443" cm="1">
        <f t="array" ref="O443">_xll.BDP(D443,"MTG_PL_PSA_6M ")</f>
        <v>46.5</v>
      </c>
    </row>
    <row r="444" spans="1:15" x14ac:dyDescent="0.25">
      <c r="A444" t="s">
        <v>1344</v>
      </c>
      <c r="B444" t="s">
        <v>1345</v>
      </c>
      <c r="C444" t="s">
        <v>100</v>
      </c>
      <c r="D444" t="s">
        <v>1346</v>
      </c>
      <c r="E444" t="str" cm="1">
        <f t="array" ref="E444">_xll.BDH($D444,"MTG_GEN_CPR_3M","20090331","20090331","Dts=H")</f>
        <v>#N/A Invalid Field</v>
      </c>
      <c r="F444" t="str" cm="1">
        <f t="array" ref="F444">_xll.BDH($D444,"MTG_GEN_CPR_6M","20090331","20090331","Dts=H")</f>
        <v>#N/A Invalid Field</v>
      </c>
      <c r="G444" t="str" cm="1">
        <f t="array" ref="G444">_xll.BDH($D444,"MTG_GEN_CPR_12M","20090331","20090331","Dts=H")</f>
        <v>#N/A Invalid Field</v>
      </c>
      <c r="H444" t="str" cm="1">
        <f t="array" ref="H444">_xll.BDH($D444,"MTG_GEN_CPR_3M","20090610","20090610","Dts=H")</f>
        <v>#N/A Invalid Field</v>
      </c>
      <c r="I444" t="str" cm="1">
        <f t="array" ref="I444">_xll.BDH($D444,"MTG_GEN_CPR_6M","20090610","20090610","Dts=H")</f>
        <v>#N/A Invalid Field</v>
      </c>
      <c r="J444" t="str" cm="1">
        <f t="array" ref="J444">_xll.BDH($D444,"MTG_GEN_CPR_12M","20090610","20090610","Dts=H")</f>
        <v>#N/A Invalid Field</v>
      </c>
      <c r="K444" t="str" cm="1">
        <f t="array" ref="K444">_xll.BDP(D444,"MTG_PREPAY_TYP")</f>
        <v>PSA</v>
      </c>
      <c r="L444" cm="1">
        <f t="array" ref="L444">_xll.BDP(D444,"MTG_PREPAY_SPEED")</f>
        <v>169</v>
      </c>
      <c r="M444" cm="1">
        <f t="array" ref="M444">_xll.BDP(D444,"MTG_PL_PSA_1M ")</f>
        <v>42.6</v>
      </c>
      <c r="N444" cm="1">
        <f t="array" ref="N444">_xll.BDP(D444,"MTG_PL_PSA_3M ")</f>
        <v>352.2</v>
      </c>
      <c r="O444" cm="1">
        <f t="array" ref="O444">_xll.BDP(D444,"MTG_PL_PSA_6M ")</f>
        <v>237.2</v>
      </c>
    </row>
    <row r="445" spans="1:15" x14ac:dyDescent="0.25">
      <c r="A445" t="s">
        <v>1347</v>
      </c>
      <c r="B445" t="s">
        <v>1348</v>
      </c>
      <c r="C445" t="s">
        <v>100</v>
      </c>
      <c r="D445" t="s">
        <v>1349</v>
      </c>
      <c r="E445" t="str" cm="1">
        <f t="array" ref="E445">_xll.BDH($D445,"MTG_GEN_CPR_3M","20090331","20090331","Dts=H")</f>
        <v>#N/A Invalid Field</v>
      </c>
      <c r="F445" t="str" cm="1">
        <f t="array" ref="F445">_xll.BDH($D445,"MTG_GEN_CPR_6M","20090331","20090331","Dts=H")</f>
        <v>#N/A Invalid Field</v>
      </c>
      <c r="G445" t="str" cm="1">
        <f t="array" ref="G445">_xll.BDH($D445,"MTG_GEN_CPR_12M","20090331","20090331","Dts=H")</f>
        <v>#N/A Invalid Field</v>
      </c>
      <c r="H445" t="str" cm="1">
        <f t="array" ref="H445">_xll.BDH($D445,"MTG_GEN_CPR_3M","20090610","20090610","Dts=H")</f>
        <v>#N/A Invalid Field</v>
      </c>
      <c r="I445" t="str" cm="1">
        <f t="array" ref="I445">_xll.BDH($D445,"MTG_GEN_CPR_6M","20090610","20090610","Dts=H")</f>
        <v>#N/A Invalid Field</v>
      </c>
      <c r="J445" t="str" cm="1">
        <f t="array" ref="J445">_xll.BDH($D445,"MTG_GEN_CPR_12M","20090610","20090610","Dts=H")</f>
        <v>#N/A Invalid Field</v>
      </c>
      <c r="K445" t="str" cm="1">
        <f t="array" ref="K445">_xll.BDP(D445,"MTG_PREPAY_TYP")</f>
        <v>PSA</v>
      </c>
      <c r="L445" cm="1">
        <f t="array" ref="L445">_xll.BDP(D445,"MTG_PREPAY_SPEED")</f>
        <v>182</v>
      </c>
      <c r="M445" cm="1">
        <f t="array" ref="M445">_xll.BDP(D445,"MTG_PL_PSA_1M ")</f>
        <v>125.8</v>
      </c>
      <c r="N445" cm="1">
        <f t="array" ref="N445">_xll.BDP(D445,"MTG_PL_PSA_3M ")</f>
        <v>123.2</v>
      </c>
      <c r="O445" cm="1">
        <f t="array" ref="O445">_xll.BDP(D445,"MTG_PL_PSA_6M ")</f>
        <v>119.9</v>
      </c>
    </row>
    <row r="446" spans="1:15" x14ac:dyDescent="0.25">
      <c r="A446" t="s">
        <v>1350</v>
      </c>
      <c r="B446" t="s">
        <v>1351</v>
      </c>
      <c r="C446" t="s">
        <v>100</v>
      </c>
      <c r="D446" t="s">
        <v>1352</v>
      </c>
      <c r="E446" t="str" cm="1">
        <f t="array" ref="E446">_xll.BDH($D446,"MTG_GEN_CPR_3M","20090331","20090331","Dts=H")</f>
        <v>#N/A Invalid Field</v>
      </c>
      <c r="F446" t="str" cm="1">
        <f t="array" ref="F446">_xll.BDH($D446,"MTG_GEN_CPR_6M","20090331","20090331","Dts=H")</f>
        <v>#N/A Invalid Field</v>
      </c>
      <c r="G446" t="str" cm="1">
        <f t="array" ref="G446">_xll.BDH($D446,"MTG_GEN_CPR_12M","20090331","20090331","Dts=H")</f>
        <v>#N/A Invalid Field</v>
      </c>
      <c r="H446" t="str" cm="1">
        <f t="array" ref="H446">_xll.BDH($D446,"MTG_GEN_CPR_3M","20090610","20090610","Dts=H")</f>
        <v>#N/A Invalid Field</v>
      </c>
      <c r="I446" t="str" cm="1">
        <f t="array" ref="I446">_xll.BDH($D446,"MTG_GEN_CPR_6M","20090610","20090610","Dts=H")</f>
        <v>#N/A Invalid Field</v>
      </c>
      <c r="J446" t="str" cm="1">
        <f t="array" ref="J446">_xll.BDH($D446,"MTG_GEN_CPR_12M","20090610","20090610","Dts=H")</f>
        <v>#N/A Invalid Field</v>
      </c>
      <c r="K446" t="str" cm="1">
        <f t="array" ref="K446">_xll.BDP(D446,"MTG_PREPAY_TYP")</f>
        <v>PSA</v>
      </c>
      <c r="L446" cm="1">
        <f t="array" ref="L446">_xll.BDP(D446,"MTG_PREPAY_SPEED")</f>
        <v>169</v>
      </c>
      <c r="M446" cm="1">
        <f t="array" ref="M446">_xll.BDP(D446,"MTG_PL_PSA_1M ")</f>
        <v>0</v>
      </c>
      <c r="N446" cm="1">
        <f t="array" ref="N446">_xll.BDP(D446,"MTG_PL_PSA_3M ")</f>
        <v>0</v>
      </c>
      <c r="O446" cm="1">
        <f t="array" ref="O446">_xll.BDP(D446,"MTG_PL_PSA_6M ")</f>
        <v>0</v>
      </c>
    </row>
    <row r="447" spans="1:15" x14ac:dyDescent="0.25">
      <c r="A447" t="s">
        <v>1353</v>
      </c>
      <c r="B447" t="s">
        <v>1354</v>
      </c>
      <c r="C447" t="s">
        <v>100</v>
      </c>
      <c r="D447" t="s">
        <v>1355</v>
      </c>
      <c r="E447" t="str" cm="1">
        <f t="array" ref="E447">_xll.BDH($D447,"MTG_GEN_CPR_3M","20090331","20090331","Dts=H")</f>
        <v>#N/A Invalid Field</v>
      </c>
      <c r="F447" t="str" cm="1">
        <f t="array" ref="F447">_xll.BDH($D447,"MTG_GEN_CPR_6M","20090331","20090331","Dts=H")</f>
        <v>#N/A Invalid Field</v>
      </c>
      <c r="G447" t="str" cm="1">
        <f t="array" ref="G447">_xll.BDH($D447,"MTG_GEN_CPR_12M","20090331","20090331","Dts=H")</f>
        <v>#N/A Invalid Field</v>
      </c>
      <c r="H447" t="str" cm="1">
        <f t="array" ref="H447">_xll.BDH($D447,"MTG_GEN_CPR_3M","20090610","20090610","Dts=H")</f>
        <v>#N/A Invalid Field</v>
      </c>
      <c r="I447" t="str" cm="1">
        <f t="array" ref="I447">_xll.BDH($D447,"MTG_GEN_CPR_6M","20090610","20090610","Dts=H")</f>
        <v>#N/A Invalid Field</v>
      </c>
      <c r="J447" t="str" cm="1">
        <f t="array" ref="J447">_xll.BDH($D447,"MTG_GEN_CPR_12M","20090610","20090610","Dts=H")</f>
        <v>#N/A Invalid Field</v>
      </c>
      <c r="K447" t="str" cm="1">
        <f t="array" ref="K447">_xll.BDP(D447,"MTG_PREPAY_TYP")</f>
        <v>PSA</v>
      </c>
      <c r="L447" cm="1">
        <f t="array" ref="L447">_xll.BDP(D447,"MTG_PREPAY_SPEED")</f>
        <v>169</v>
      </c>
      <c r="M447" cm="1">
        <f t="array" ref="M447">_xll.BDP(D447,"MTG_PL_PSA_1M ")</f>
        <v>15.8</v>
      </c>
      <c r="N447" cm="1">
        <f t="array" ref="N447">_xll.BDP(D447,"MTG_PL_PSA_3M ")</f>
        <v>15.6</v>
      </c>
      <c r="O447" cm="1">
        <f t="array" ref="O447">_xll.BDP(D447,"MTG_PL_PSA_6M ")</f>
        <v>15.2</v>
      </c>
    </row>
    <row r="448" spans="1:15" x14ac:dyDescent="0.25">
      <c r="A448" t="s">
        <v>1356</v>
      </c>
      <c r="B448" t="s">
        <v>1357</v>
      </c>
      <c r="C448" t="s">
        <v>100</v>
      </c>
      <c r="D448" t="s">
        <v>1358</v>
      </c>
      <c r="E448" t="str" cm="1">
        <f t="array" ref="E448">_xll.BDH($D448,"MTG_GEN_CPR_3M","20090331","20090331","Dts=H")</f>
        <v>#N/A Invalid Field</v>
      </c>
      <c r="F448" t="str" cm="1">
        <f t="array" ref="F448">_xll.BDH($D448,"MTG_GEN_CPR_6M","20090331","20090331","Dts=H")</f>
        <v>#N/A Invalid Field</v>
      </c>
      <c r="G448" t="str" cm="1">
        <f t="array" ref="G448">_xll.BDH($D448,"MTG_GEN_CPR_12M","20090331","20090331","Dts=H")</f>
        <v>#N/A Invalid Field</v>
      </c>
      <c r="H448" t="str" cm="1">
        <f t="array" ref="H448">_xll.BDH($D448,"MTG_GEN_CPR_3M","20090610","20090610","Dts=H")</f>
        <v>#N/A Invalid Field</v>
      </c>
      <c r="I448" t="str" cm="1">
        <f t="array" ref="I448">_xll.BDH($D448,"MTG_GEN_CPR_6M","20090610","20090610","Dts=H")</f>
        <v>#N/A Invalid Field</v>
      </c>
      <c r="J448" t="str" cm="1">
        <f t="array" ref="J448">_xll.BDH($D448,"MTG_GEN_CPR_12M","20090610","20090610","Dts=H")</f>
        <v>#N/A Invalid Field</v>
      </c>
      <c r="K448" t="str" cm="1">
        <f t="array" ref="K448">_xll.BDP(D448,"MTG_PREPAY_TYP")</f>
        <v>PSA</v>
      </c>
      <c r="L448" cm="1">
        <f t="array" ref="L448">_xll.BDP(D448,"MTG_PREPAY_SPEED")</f>
        <v>169</v>
      </c>
      <c r="M448" cm="1">
        <f t="array" ref="M448">_xll.BDP(D448,"MTG_PL_PSA_1M ")</f>
        <v>0.6</v>
      </c>
      <c r="N448" cm="1">
        <f t="array" ref="N448">_xll.BDP(D448,"MTG_PL_PSA_3M ")</f>
        <v>0.6</v>
      </c>
      <c r="O448" cm="1">
        <f t="array" ref="O448">_xll.BDP(D448,"MTG_PL_PSA_6M ")</f>
        <v>0.6</v>
      </c>
    </row>
    <row r="449" spans="1:15" x14ac:dyDescent="0.25">
      <c r="A449" t="s">
        <v>1359</v>
      </c>
      <c r="B449" t="s">
        <v>1360</v>
      </c>
      <c r="C449" t="s">
        <v>100</v>
      </c>
      <c r="D449" t="s">
        <v>1361</v>
      </c>
      <c r="E449" t="str" cm="1">
        <f t="array" ref="E449">_xll.BDH($D449,"MTG_GEN_CPR_3M","20090331","20090331","Dts=H")</f>
        <v>#N/A Invalid Field</v>
      </c>
      <c r="F449" t="str" cm="1">
        <f t="array" ref="F449">_xll.BDH($D449,"MTG_GEN_CPR_6M","20090331","20090331","Dts=H")</f>
        <v>#N/A Invalid Field</v>
      </c>
      <c r="G449" t="str" cm="1">
        <f t="array" ref="G449">_xll.BDH($D449,"MTG_GEN_CPR_12M","20090331","20090331","Dts=H")</f>
        <v>#N/A Invalid Field</v>
      </c>
      <c r="H449" t="str" cm="1">
        <f t="array" ref="H449">_xll.BDH($D449,"MTG_GEN_CPR_3M","20090610","20090610","Dts=H")</f>
        <v>#N/A Invalid Field</v>
      </c>
      <c r="I449" t="str" cm="1">
        <f t="array" ref="I449">_xll.BDH($D449,"MTG_GEN_CPR_6M","20090610","20090610","Dts=H")</f>
        <v>#N/A Invalid Field</v>
      </c>
      <c r="J449" t="str" cm="1">
        <f t="array" ref="J449">_xll.BDH($D449,"MTG_GEN_CPR_12M","20090610","20090610","Dts=H")</f>
        <v>#N/A Invalid Field</v>
      </c>
      <c r="K449" t="str" cm="1">
        <f t="array" ref="K449">_xll.BDP(D449,"MTG_PREPAY_TYP")</f>
        <v>PSA</v>
      </c>
      <c r="L449" cm="1">
        <f t="array" ref="L449">_xll.BDP(D449,"MTG_PREPAY_SPEED")</f>
        <v>169</v>
      </c>
      <c r="M449" cm="1">
        <f t="array" ref="M449">_xll.BDP(D449,"MTG_PL_PSA_1M ")</f>
        <v>0</v>
      </c>
      <c r="N449" cm="1">
        <f t="array" ref="N449">_xll.BDP(D449,"MTG_PL_PSA_3M ")</f>
        <v>0</v>
      </c>
      <c r="O449" cm="1">
        <f t="array" ref="O449">_xll.BDP(D449,"MTG_PL_PSA_6M ")</f>
        <v>0</v>
      </c>
    </row>
    <row r="450" spans="1:15" x14ac:dyDescent="0.25">
      <c r="A450" t="s">
        <v>1362</v>
      </c>
      <c r="B450" t="s">
        <v>1363</v>
      </c>
      <c r="C450" t="s">
        <v>100</v>
      </c>
      <c r="D450" t="s">
        <v>1364</v>
      </c>
      <c r="E450" t="str" cm="1">
        <f t="array" ref="E450">_xll.BDH($D450,"MTG_GEN_CPR_3M","20090331","20090331","Dts=H")</f>
        <v>#N/A Invalid Field</v>
      </c>
      <c r="F450" t="str" cm="1">
        <f t="array" ref="F450">_xll.BDH($D450,"MTG_GEN_CPR_6M","20090331","20090331","Dts=H")</f>
        <v>#N/A Invalid Field</v>
      </c>
      <c r="G450" t="str" cm="1">
        <f t="array" ref="G450">_xll.BDH($D450,"MTG_GEN_CPR_12M","20090331","20090331","Dts=H")</f>
        <v>#N/A Invalid Field</v>
      </c>
      <c r="H450" t="str" cm="1">
        <f t="array" ref="H450">_xll.BDH($D450,"MTG_GEN_CPR_3M","20090610","20090610","Dts=H")</f>
        <v>#N/A Invalid Field</v>
      </c>
      <c r="I450" t="str" cm="1">
        <f t="array" ref="I450">_xll.BDH($D450,"MTG_GEN_CPR_6M","20090610","20090610","Dts=H")</f>
        <v>#N/A Invalid Field</v>
      </c>
      <c r="J450" t="str" cm="1">
        <f t="array" ref="J450">_xll.BDH($D450,"MTG_GEN_CPR_12M","20090610","20090610","Dts=H")</f>
        <v>#N/A Invalid Field</v>
      </c>
      <c r="K450" t="str" cm="1">
        <f t="array" ref="K450">_xll.BDP(D450,"MTG_PREPAY_TYP")</f>
        <v>PSA</v>
      </c>
      <c r="L450" cm="1">
        <f t="array" ref="L450">_xll.BDP(D450,"MTG_PREPAY_SPEED")</f>
        <v>169</v>
      </c>
      <c r="M450" cm="1">
        <f t="array" ref="M450">_xll.BDP(D450,"MTG_PL_PSA_1M ")</f>
        <v>86.4</v>
      </c>
      <c r="N450" cm="1">
        <f t="array" ref="N450">_xll.BDP(D450,"MTG_PL_PSA_3M ")</f>
        <v>85</v>
      </c>
      <c r="O450" cm="1">
        <f t="array" ref="O450">_xll.BDP(D450,"MTG_PL_PSA_6M ")</f>
        <v>83.1</v>
      </c>
    </row>
    <row r="451" spans="1:15" x14ac:dyDescent="0.25">
      <c r="A451" t="s">
        <v>1365</v>
      </c>
      <c r="B451" t="s">
        <v>1366</v>
      </c>
      <c r="C451" t="s">
        <v>100</v>
      </c>
      <c r="D451" t="s">
        <v>1367</v>
      </c>
      <c r="E451" t="str" cm="1">
        <f t="array" ref="E451">_xll.BDH($D451,"MTG_GEN_CPR_3M","20090331","20090331","Dts=H")</f>
        <v>#N/A Invalid Field</v>
      </c>
      <c r="F451" t="str" cm="1">
        <f t="array" ref="F451">_xll.BDH($D451,"MTG_GEN_CPR_6M","20090331","20090331","Dts=H")</f>
        <v>#N/A Invalid Field</v>
      </c>
      <c r="G451" t="str" cm="1">
        <f t="array" ref="G451">_xll.BDH($D451,"MTG_GEN_CPR_12M","20090331","20090331","Dts=H")</f>
        <v>#N/A Invalid Field</v>
      </c>
      <c r="H451" t="str" cm="1">
        <f t="array" ref="H451">_xll.BDH($D451,"MTG_GEN_CPR_3M","20090610","20090610","Dts=H")</f>
        <v>#N/A Invalid Field</v>
      </c>
      <c r="I451" t="str" cm="1">
        <f t="array" ref="I451">_xll.BDH($D451,"MTG_GEN_CPR_6M","20090610","20090610","Dts=H")</f>
        <v>#N/A Invalid Field</v>
      </c>
      <c r="J451" t="str" cm="1">
        <f t="array" ref="J451">_xll.BDH($D451,"MTG_GEN_CPR_12M","20090610","20090610","Dts=H")</f>
        <v>#N/A Invalid Field</v>
      </c>
      <c r="K451" t="str" cm="1">
        <f t="array" ref="K451">_xll.BDP(D451,"MTG_PREPAY_TYP")</f>
        <v>PSA</v>
      </c>
      <c r="L451" cm="1">
        <f t="array" ref="L451">_xll.BDP(D451,"MTG_PREPAY_SPEED")</f>
        <v>169</v>
      </c>
      <c r="M451" cm="1">
        <f t="array" ref="M451">_xll.BDP(D451,"MTG_PL_PSA_1M ")</f>
        <v>0.3</v>
      </c>
      <c r="N451" cm="1">
        <f t="array" ref="N451">_xll.BDP(D451,"MTG_PL_PSA_3M ")</f>
        <v>0.3</v>
      </c>
      <c r="O451" cm="1">
        <f t="array" ref="O451">_xll.BDP(D451,"MTG_PL_PSA_6M ")</f>
        <v>0.3</v>
      </c>
    </row>
    <row r="452" spans="1:15" x14ac:dyDescent="0.25">
      <c r="A452" t="s">
        <v>1368</v>
      </c>
      <c r="B452" t="s">
        <v>1369</v>
      </c>
      <c r="C452" t="s">
        <v>100</v>
      </c>
      <c r="D452" t="s">
        <v>1370</v>
      </c>
      <c r="E452" t="str" cm="1">
        <f t="array" ref="E452">_xll.BDH($D452,"MTG_GEN_CPR_3M","20090331","20090331","Dts=H")</f>
        <v>#N/A Invalid Field</v>
      </c>
      <c r="F452" t="str" cm="1">
        <f t="array" ref="F452">_xll.BDH($D452,"MTG_GEN_CPR_6M","20090331","20090331","Dts=H")</f>
        <v>#N/A Invalid Field</v>
      </c>
      <c r="G452" t="str" cm="1">
        <f t="array" ref="G452">_xll.BDH($D452,"MTG_GEN_CPR_12M","20090331","20090331","Dts=H")</f>
        <v>#N/A Invalid Field</v>
      </c>
      <c r="H452" t="str" cm="1">
        <f t="array" ref="H452">_xll.BDH($D452,"MTG_GEN_CPR_3M","20090610","20090610","Dts=H")</f>
        <v>#N/A Invalid Field</v>
      </c>
      <c r="I452" t="str" cm="1">
        <f t="array" ref="I452">_xll.BDH($D452,"MTG_GEN_CPR_6M","20090610","20090610","Dts=H")</f>
        <v>#N/A Invalid Field</v>
      </c>
      <c r="J452" t="str" cm="1">
        <f t="array" ref="J452">_xll.BDH($D452,"MTG_GEN_CPR_12M","20090610","20090610","Dts=H")</f>
        <v>#N/A Invalid Field</v>
      </c>
      <c r="K452" t="str" cm="1">
        <f t="array" ref="K452">_xll.BDP(D452,"MTG_PREPAY_TYP")</f>
        <v>PSA</v>
      </c>
      <c r="L452" cm="1">
        <f t="array" ref="L452">_xll.BDP(D452,"MTG_PREPAY_SPEED")</f>
        <v>161</v>
      </c>
      <c r="M452" cm="1">
        <f t="array" ref="M452">_xll.BDP(D452,"MTG_PL_PSA_1M ")</f>
        <v>7.6</v>
      </c>
      <c r="N452" cm="1">
        <f t="array" ref="N452">_xll.BDP(D452,"MTG_PL_PSA_3M ")</f>
        <v>7.5</v>
      </c>
      <c r="O452" cm="1">
        <f t="array" ref="O452">_xll.BDP(D452,"MTG_PL_PSA_6M ")</f>
        <v>6.5</v>
      </c>
    </row>
    <row r="453" spans="1:15" x14ac:dyDescent="0.25">
      <c r="A453" t="s">
        <v>1371</v>
      </c>
      <c r="B453" t="s">
        <v>1372</v>
      </c>
      <c r="C453" t="s">
        <v>100</v>
      </c>
      <c r="D453" t="s">
        <v>1373</v>
      </c>
      <c r="E453" t="str" cm="1">
        <f t="array" ref="E453">_xll.BDH($D453,"MTG_GEN_CPR_3M","20090331","20090331","Dts=H")</f>
        <v>#N/A Invalid Field</v>
      </c>
      <c r="F453" t="str" cm="1">
        <f t="array" ref="F453">_xll.BDH($D453,"MTG_GEN_CPR_6M","20090331","20090331","Dts=H")</f>
        <v>#N/A Invalid Field</v>
      </c>
      <c r="G453" t="str" cm="1">
        <f t="array" ref="G453">_xll.BDH($D453,"MTG_GEN_CPR_12M","20090331","20090331","Dts=H")</f>
        <v>#N/A Invalid Field</v>
      </c>
      <c r="H453" t="str" cm="1">
        <f t="array" ref="H453">_xll.BDH($D453,"MTG_GEN_CPR_3M","20090610","20090610","Dts=H")</f>
        <v>#N/A Invalid Field</v>
      </c>
      <c r="I453" t="str" cm="1">
        <f t="array" ref="I453">_xll.BDH($D453,"MTG_GEN_CPR_6M","20090610","20090610","Dts=H")</f>
        <v>#N/A Invalid Field</v>
      </c>
      <c r="J453" t="str" cm="1">
        <f t="array" ref="J453">_xll.BDH($D453,"MTG_GEN_CPR_12M","20090610","20090610","Dts=H")</f>
        <v>#N/A Invalid Field</v>
      </c>
      <c r="K453" t="str" cm="1">
        <f t="array" ref="K453">_xll.BDP(D453,"MTG_PREPAY_TYP")</f>
        <v>PSA</v>
      </c>
      <c r="L453" cm="1">
        <f t="array" ref="L453">_xll.BDP(D453,"MTG_PREPAY_SPEED")</f>
        <v>169</v>
      </c>
      <c r="M453" cm="1">
        <f t="array" ref="M453">_xll.BDP(D453,"MTG_PL_PSA_1M ")</f>
        <v>106.5</v>
      </c>
      <c r="N453" cm="1">
        <f t="array" ref="N453">_xll.BDP(D453,"MTG_PL_PSA_3M ")</f>
        <v>103.7</v>
      </c>
      <c r="O453" cm="1">
        <f t="array" ref="O453">_xll.BDP(D453,"MTG_PL_PSA_6M ")</f>
        <v>98.8</v>
      </c>
    </row>
    <row r="454" spans="1:15" x14ac:dyDescent="0.25">
      <c r="A454" t="s">
        <v>1374</v>
      </c>
      <c r="B454" t="s">
        <v>1375</v>
      </c>
      <c r="C454" t="s">
        <v>100</v>
      </c>
      <c r="D454" t="s">
        <v>1376</v>
      </c>
      <c r="E454" t="str" cm="1">
        <f t="array" ref="E454">_xll.BDH($D454,"MTG_GEN_CPR_3M","20090331","20090331","Dts=H")</f>
        <v>#N/A Invalid Field</v>
      </c>
      <c r="F454" t="str" cm="1">
        <f t="array" ref="F454">_xll.BDH($D454,"MTG_GEN_CPR_6M","20090331","20090331","Dts=H")</f>
        <v>#N/A Invalid Field</v>
      </c>
      <c r="G454" t="str" cm="1">
        <f t="array" ref="G454">_xll.BDH($D454,"MTG_GEN_CPR_12M","20090331","20090331","Dts=H")</f>
        <v>#N/A Invalid Field</v>
      </c>
      <c r="H454" t="str" cm="1">
        <f t="array" ref="H454">_xll.BDH($D454,"MTG_GEN_CPR_3M","20090610","20090610","Dts=H")</f>
        <v>#N/A Invalid Field</v>
      </c>
      <c r="I454" t="str" cm="1">
        <f t="array" ref="I454">_xll.BDH($D454,"MTG_GEN_CPR_6M","20090610","20090610","Dts=H")</f>
        <v>#N/A Invalid Field</v>
      </c>
      <c r="J454" t="str" cm="1">
        <f t="array" ref="J454">_xll.BDH($D454,"MTG_GEN_CPR_12M","20090610","20090610","Dts=H")</f>
        <v>#N/A Invalid Field</v>
      </c>
      <c r="K454" t="str" cm="1">
        <f t="array" ref="K454">_xll.BDP(D454,"MTG_PREPAY_TYP")</f>
        <v>#N/A N/A</v>
      </c>
      <c r="L454" t="str" cm="1">
        <f t="array" ref="L454">_xll.BDP(D454,"MTG_PREPAY_SPEED")</f>
        <v>#N/A N/A</v>
      </c>
      <c r="M454" cm="1">
        <f t="array" ref="M454">_xll.BDP(D454,"MTG_PL_PSA_1M ")</f>
        <v>1666.7</v>
      </c>
      <c r="N454" cm="1">
        <f t="array" ref="N454">_xll.BDP(D454,"MTG_PL_PSA_3M ")</f>
        <v>1666.7</v>
      </c>
      <c r="O454" cm="1">
        <f t="array" ref="O454">_xll.BDP(D454,"MTG_PL_PSA_6M ")</f>
        <v>1666.7</v>
      </c>
    </row>
    <row r="455" spans="1:15" x14ac:dyDescent="0.25">
      <c r="A455" t="s">
        <v>1377</v>
      </c>
      <c r="B455" t="s">
        <v>1378</v>
      </c>
      <c r="C455" t="s">
        <v>100</v>
      </c>
      <c r="D455" t="s">
        <v>1379</v>
      </c>
      <c r="E455" t="str" cm="1">
        <f t="array" ref="E455">_xll.BDH($D455,"MTG_GEN_CPR_3M","20090331","20090331","Dts=H")</f>
        <v>#N/A Invalid Field</v>
      </c>
      <c r="F455" t="str" cm="1">
        <f t="array" ref="F455">_xll.BDH($D455,"MTG_GEN_CPR_6M","20090331","20090331","Dts=H")</f>
        <v>#N/A Invalid Field</v>
      </c>
      <c r="G455" t="str" cm="1">
        <f t="array" ref="G455">_xll.BDH($D455,"MTG_GEN_CPR_12M","20090331","20090331","Dts=H")</f>
        <v>#N/A Invalid Field</v>
      </c>
      <c r="H455" t="str" cm="1">
        <f t="array" ref="H455">_xll.BDH($D455,"MTG_GEN_CPR_3M","20090610","20090610","Dts=H")</f>
        <v>#N/A Invalid Field</v>
      </c>
      <c r="I455" t="str" cm="1">
        <f t="array" ref="I455">_xll.BDH($D455,"MTG_GEN_CPR_6M","20090610","20090610","Dts=H")</f>
        <v>#N/A Invalid Field</v>
      </c>
      <c r="J455" t="str" cm="1">
        <f t="array" ref="J455">_xll.BDH($D455,"MTG_GEN_CPR_12M","20090610","20090610","Dts=H")</f>
        <v>#N/A Invalid Field</v>
      </c>
      <c r="K455" t="str" cm="1">
        <f t="array" ref="K455">_xll.BDP(D455,"MTG_PREPAY_TYP")</f>
        <v>#N/A N/A</v>
      </c>
      <c r="L455" t="str" cm="1">
        <f t="array" ref="L455">_xll.BDP(D455,"MTG_PREPAY_SPEED")</f>
        <v>#N/A N/A</v>
      </c>
      <c r="M455" cm="1">
        <f t="array" ref="M455">_xll.BDP(D455,"MTG_PL_PSA_1M ")</f>
        <v>1666.7</v>
      </c>
      <c r="N455" cm="1">
        <f t="array" ref="N455">_xll.BDP(D455,"MTG_PL_PSA_3M ")</f>
        <v>1666.7</v>
      </c>
      <c r="O455" cm="1">
        <f t="array" ref="O455">_xll.BDP(D455,"MTG_PL_PSA_6M ")</f>
        <v>1666.7</v>
      </c>
    </row>
    <row r="456" spans="1:15" x14ac:dyDescent="0.25">
      <c r="A456" t="s">
        <v>1380</v>
      </c>
      <c r="B456" t="s">
        <v>1381</v>
      </c>
      <c r="C456" t="s">
        <v>100</v>
      </c>
      <c r="D456" t="s">
        <v>1382</v>
      </c>
      <c r="E456" t="str" cm="1">
        <f t="array" ref="E456">_xll.BDH($D456,"MTG_GEN_CPR_3M","20090331","20090331","Dts=H")</f>
        <v>#N/A Invalid Field</v>
      </c>
      <c r="F456" t="str" cm="1">
        <f t="array" ref="F456">_xll.BDH($D456,"MTG_GEN_CPR_6M","20090331","20090331","Dts=H")</f>
        <v>#N/A Invalid Field</v>
      </c>
      <c r="G456" t="str" cm="1">
        <f t="array" ref="G456">_xll.BDH($D456,"MTG_GEN_CPR_12M","20090331","20090331","Dts=H")</f>
        <v>#N/A Invalid Field</v>
      </c>
      <c r="H456" t="str" cm="1">
        <f t="array" ref="H456">_xll.BDH($D456,"MTG_GEN_CPR_3M","20090610","20090610","Dts=H")</f>
        <v>#N/A Invalid Field</v>
      </c>
      <c r="I456" t="str" cm="1">
        <f t="array" ref="I456">_xll.BDH($D456,"MTG_GEN_CPR_6M","20090610","20090610","Dts=H")</f>
        <v>#N/A Invalid Field</v>
      </c>
      <c r="J456" t="str" cm="1">
        <f t="array" ref="J456">_xll.BDH($D456,"MTG_GEN_CPR_12M","20090610","20090610","Dts=H")</f>
        <v>#N/A Invalid Field</v>
      </c>
      <c r="K456" t="str" cm="1">
        <f t="array" ref="K456">_xll.BDP(D456,"MTG_PREPAY_TYP")</f>
        <v>PSA</v>
      </c>
      <c r="L456" cm="1">
        <f t="array" ref="L456">_xll.BDP(D456,"MTG_PREPAY_SPEED")</f>
        <v>169</v>
      </c>
      <c r="M456" cm="1">
        <f t="array" ref="M456">_xll.BDP(D456,"MTG_PL_PSA_1M ")</f>
        <v>5.9</v>
      </c>
      <c r="N456" cm="1">
        <f t="array" ref="N456">_xll.BDP(D456,"MTG_PL_PSA_3M ")</f>
        <v>6.2</v>
      </c>
      <c r="O456" cm="1">
        <f t="array" ref="O456">_xll.BDP(D456,"MTG_PL_PSA_6M ")</f>
        <v>5.8</v>
      </c>
    </row>
    <row r="457" spans="1:15" x14ac:dyDescent="0.25">
      <c r="A457" t="s">
        <v>1383</v>
      </c>
      <c r="B457" t="s">
        <v>1384</v>
      </c>
      <c r="C457" t="s">
        <v>100</v>
      </c>
      <c r="D457" t="s">
        <v>1385</v>
      </c>
      <c r="E457" t="str" cm="1">
        <f t="array" ref="E457">_xll.BDH($D457,"MTG_GEN_CPR_3M","20090331","20090331","Dts=H")</f>
        <v>#N/A Invalid Field</v>
      </c>
      <c r="F457" t="str" cm="1">
        <f t="array" ref="F457">_xll.BDH($D457,"MTG_GEN_CPR_6M","20090331","20090331","Dts=H")</f>
        <v>#N/A Invalid Field</v>
      </c>
      <c r="G457" t="str" cm="1">
        <f t="array" ref="G457">_xll.BDH($D457,"MTG_GEN_CPR_12M","20090331","20090331","Dts=H")</f>
        <v>#N/A Invalid Field</v>
      </c>
      <c r="H457" t="str" cm="1">
        <f t="array" ref="H457">_xll.BDH($D457,"MTG_GEN_CPR_3M","20090610","20090610","Dts=H")</f>
        <v>#N/A Invalid Field</v>
      </c>
      <c r="I457" t="str" cm="1">
        <f t="array" ref="I457">_xll.BDH($D457,"MTG_GEN_CPR_6M","20090610","20090610","Dts=H")</f>
        <v>#N/A Invalid Field</v>
      </c>
      <c r="J457" t="str" cm="1">
        <f t="array" ref="J457">_xll.BDH($D457,"MTG_GEN_CPR_12M","20090610","20090610","Dts=H")</f>
        <v>#N/A Invalid Field</v>
      </c>
      <c r="K457" t="str" cm="1">
        <f t="array" ref="K457">_xll.BDP(D457,"MTG_PREPAY_TYP")</f>
        <v>PSA</v>
      </c>
      <c r="L457" cm="1">
        <f t="array" ref="L457">_xll.BDP(D457,"MTG_PREPAY_SPEED")</f>
        <v>169</v>
      </c>
      <c r="M457" cm="1">
        <f t="array" ref="M457">_xll.BDP(D457,"MTG_PL_PSA_1M ")</f>
        <v>4.3</v>
      </c>
      <c r="N457" cm="1">
        <f t="array" ref="N457">_xll.BDP(D457,"MTG_PL_PSA_3M ")</f>
        <v>120</v>
      </c>
      <c r="O457" cm="1">
        <f t="array" ref="O457">_xll.BDP(D457,"MTG_PL_PSA_6M ")</f>
        <v>65.099999999999994</v>
      </c>
    </row>
    <row r="458" spans="1:15" x14ac:dyDescent="0.25">
      <c r="A458" t="s">
        <v>1386</v>
      </c>
      <c r="B458" t="s">
        <v>1387</v>
      </c>
      <c r="C458" t="s">
        <v>100</v>
      </c>
      <c r="D458" t="s">
        <v>1388</v>
      </c>
      <c r="E458" t="str" cm="1">
        <f t="array" ref="E458">_xll.BDH($D458,"MTG_GEN_CPR_3M","20090331","20090331","Dts=H")</f>
        <v>#N/A Invalid Field</v>
      </c>
      <c r="F458" t="str" cm="1">
        <f t="array" ref="F458">_xll.BDH($D458,"MTG_GEN_CPR_6M","20090331","20090331","Dts=H")</f>
        <v>#N/A Invalid Field</v>
      </c>
      <c r="G458" t="str" cm="1">
        <f t="array" ref="G458">_xll.BDH($D458,"MTG_GEN_CPR_12M","20090331","20090331","Dts=H")</f>
        <v>#N/A Invalid Field</v>
      </c>
      <c r="H458" t="str" cm="1">
        <f t="array" ref="H458">_xll.BDH($D458,"MTG_GEN_CPR_3M","20090610","20090610","Dts=H")</f>
        <v>#N/A Invalid Field</v>
      </c>
      <c r="I458" t="str" cm="1">
        <f t="array" ref="I458">_xll.BDH($D458,"MTG_GEN_CPR_6M","20090610","20090610","Dts=H")</f>
        <v>#N/A Invalid Field</v>
      </c>
      <c r="J458" t="str" cm="1">
        <f t="array" ref="J458">_xll.BDH($D458,"MTG_GEN_CPR_12M","20090610","20090610","Dts=H")</f>
        <v>#N/A Invalid Field</v>
      </c>
      <c r="K458" t="str" cm="1">
        <f t="array" ref="K458">_xll.BDP(D458,"MTG_PREPAY_TYP")</f>
        <v>PSA</v>
      </c>
      <c r="L458" cm="1">
        <f t="array" ref="L458">_xll.BDP(D458,"MTG_PREPAY_SPEED")</f>
        <v>115</v>
      </c>
      <c r="M458" cm="1">
        <f t="array" ref="M458">_xll.BDP(D458,"MTG_PL_PSA_1M ")</f>
        <v>56.1</v>
      </c>
      <c r="N458" cm="1">
        <f t="array" ref="N458">_xll.BDP(D458,"MTG_PL_PSA_3M ")</f>
        <v>55.1</v>
      </c>
      <c r="O458" cm="1">
        <f t="array" ref="O458">_xll.BDP(D458,"MTG_PL_PSA_6M ")</f>
        <v>51</v>
      </c>
    </row>
    <row r="459" spans="1:15" x14ac:dyDescent="0.25">
      <c r="A459" t="s">
        <v>1389</v>
      </c>
      <c r="B459" t="s">
        <v>1390</v>
      </c>
      <c r="C459" t="s">
        <v>100</v>
      </c>
      <c r="D459" t="s">
        <v>1391</v>
      </c>
      <c r="E459" t="str" cm="1">
        <f t="array" ref="E459">_xll.BDH($D459,"MTG_GEN_CPR_3M","20090331","20090331","Dts=H")</f>
        <v>#N/A Invalid Field</v>
      </c>
      <c r="F459" t="str" cm="1">
        <f t="array" ref="F459">_xll.BDH($D459,"MTG_GEN_CPR_6M","20090331","20090331","Dts=H")</f>
        <v>#N/A Invalid Field</v>
      </c>
      <c r="G459" t="str" cm="1">
        <f t="array" ref="G459">_xll.BDH($D459,"MTG_GEN_CPR_12M","20090331","20090331","Dts=H")</f>
        <v>#N/A Invalid Field</v>
      </c>
      <c r="H459" t="str" cm="1">
        <f t="array" ref="H459">_xll.BDH($D459,"MTG_GEN_CPR_3M","20090610","20090610","Dts=H")</f>
        <v>#N/A Invalid Field</v>
      </c>
      <c r="I459" t="str" cm="1">
        <f t="array" ref="I459">_xll.BDH($D459,"MTG_GEN_CPR_6M","20090610","20090610","Dts=H")</f>
        <v>#N/A Invalid Field</v>
      </c>
      <c r="J459" t="str" cm="1">
        <f t="array" ref="J459">_xll.BDH($D459,"MTG_GEN_CPR_12M","20090610","20090610","Dts=H")</f>
        <v>#N/A Invalid Field</v>
      </c>
      <c r="K459" t="str" cm="1">
        <f t="array" ref="K459">_xll.BDP(D459,"MTG_PREPAY_TYP")</f>
        <v>PSA</v>
      </c>
      <c r="L459" cm="1">
        <f t="array" ref="L459">_xll.BDP(D459,"MTG_PREPAY_SPEED")</f>
        <v>161</v>
      </c>
      <c r="M459" cm="1">
        <f t="array" ref="M459">_xll.BDP(D459,"MTG_PL_PSA_1M ")</f>
        <v>0.7</v>
      </c>
      <c r="N459" cm="1">
        <f t="array" ref="N459">_xll.BDP(D459,"MTG_PL_PSA_3M ")</f>
        <v>0.6</v>
      </c>
      <c r="O459" cm="1">
        <f t="array" ref="O459">_xll.BDP(D459,"MTG_PL_PSA_6M ")</f>
        <v>0.6</v>
      </c>
    </row>
    <row r="460" spans="1:15" x14ac:dyDescent="0.25">
      <c r="A460" t="s">
        <v>1392</v>
      </c>
      <c r="B460" t="s">
        <v>1393</v>
      </c>
      <c r="C460" t="s">
        <v>100</v>
      </c>
      <c r="D460" t="s">
        <v>1394</v>
      </c>
      <c r="E460" t="str" cm="1">
        <f t="array" ref="E460">_xll.BDH($D460,"MTG_GEN_CPR_3M","20090331","20090331","Dts=H")</f>
        <v>#N/A Invalid Field</v>
      </c>
      <c r="F460" t="str" cm="1">
        <f t="array" ref="F460">_xll.BDH($D460,"MTG_GEN_CPR_6M","20090331","20090331","Dts=H")</f>
        <v>#N/A Invalid Field</v>
      </c>
      <c r="G460" t="str" cm="1">
        <f t="array" ref="G460">_xll.BDH($D460,"MTG_GEN_CPR_12M","20090331","20090331","Dts=H")</f>
        <v>#N/A Invalid Field</v>
      </c>
      <c r="H460" t="str" cm="1">
        <f t="array" ref="H460">_xll.BDH($D460,"MTG_GEN_CPR_3M","20090610","20090610","Dts=H")</f>
        <v>#N/A Invalid Field</v>
      </c>
      <c r="I460" t="str" cm="1">
        <f t="array" ref="I460">_xll.BDH($D460,"MTG_GEN_CPR_6M","20090610","20090610","Dts=H")</f>
        <v>#N/A Invalid Field</v>
      </c>
      <c r="J460" t="str" cm="1">
        <f t="array" ref="J460">_xll.BDH($D460,"MTG_GEN_CPR_12M","20090610","20090610","Dts=H")</f>
        <v>#N/A Invalid Field</v>
      </c>
      <c r="K460" t="str" cm="1">
        <f t="array" ref="K460">_xll.BDP(D460,"MTG_PREPAY_TYP")</f>
        <v>#N/A N/A</v>
      </c>
      <c r="L460" t="str" cm="1">
        <f t="array" ref="L460">_xll.BDP(D460,"MTG_PREPAY_SPEED")</f>
        <v>#N/A N/A</v>
      </c>
      <c r="M460" cm="1">
        <f t="array" ref="M460">_xll.BDP(D460,"MTG_PL_PSA_1M ")</f>
        <v>0</v>
      </c>
      <c r="N460" cm="1">
        <f t="array" ref="N460">_xll.BDP(D460,"MTG_PL_PSA_3M ")</f>
        <v>1615.9</v>
      </c>
      <c r="O460" cm="1">
        <f t="array" ref="O460">_xll.BDP(D460,"MTG_PL_PSA_6M ")</f>
        <v>1610.9</v>
      </c>
    </row>
    <row r="461" spans="1:15" x14ac:dyDescent="0.25">
      <c r="A461" t="s">
        <v>1395</v>
      </c>
      <c r="B461" t="s">
        <v>1396</v>
      </c>
      <c r="C461" t="s">
        <v>100</v>
      </c>
      <c r="D461" t="s">
        <v>1397</v>
      </c>
      <c r="E461" t="str" cm="1">
        <f t="array" ref="E461">_xll.BDH($D461,"MTG_GEN_CPR_3M","20090331","20090331","Dts=H")</f>
        <v>#N/A Invalid Field</v>
      </c>
      <c r="F461" t="str" cm="1">
        <f t="array" ref="F461">_xll.BDH($D461,"MTG_GEN_CPR_6M","20090331","20090331","Dts=H")</f>
        <v>#N/A Invalid Field</v>
      </c>
      <c r="G461" t="str" cm="1">
        <f t="array" ref="G461">_xll.BDH($D461,"MTG_GEN_CPR_12M","20090331","20090331","Dts=H")</f>
        <v>#N/A Invalid Field</v>
      </c>
      <c r="H461" t="str" cm="1">
        <f t="array" ref="H461">_xll.BDH($D461,"MTG_GEN_CPR_3M","20090610","20090610","Dts=H")</f>
        <v>#N/A Invalid Field</v>
      </c>
      <c r="I461" t="str" cm="1">
        <f t="array" ref="I461">_xll.BDH($D461,"MTG_GEN_CPR_6M","20090610","20090610","Dts=H")</f>
        <v>#N/A Invalid Field</v>
      </c>
      <c r="J461" t="str" cm="1">
        <f t="array" ref="J461">_xll.BDH($D461,"MTG_GEN_CPR_12M","20090610","20090610","Dts=H")</f>
        <v>#N/A Invalid Field</v>
      </c>
      <c r="K461" t="str" cm="1">
        <f t="array" ref="K461">_xll.BDP(D461,"MTG_PREPAY_TYP")</f>
        <v>#N/A N/A</v>
      </c>
      <c r="L461" t="str" cm="1">
        <f t="array" ref="L461">_xll.BDP(D461,"MTG_PREPAY_SPEED")</f>
        <v>#N/A N/A</v>
      </c>
      <c r="M461" cm="1">
        <f t="array" ref="M461">_xll.BDP(D461,"MTG_PL_PSA_1M ")</f>
        <v>0</v>
      </c>
      <c r="N461" cm="1">
        <f t="array" ref="N461">_xll.BDP(D461,"MTG_PL_PSA_3M ")</f>
        <v>1641.3</v>
      </c>
      <c r="O461" cm="1">
        <f t="array" ref="O461">_xll.BDP(D461,"MTG_PL_PSA_6M ")</f>
        <v>1606</v>
      </c>
    </row>
    <row r="462" spans="1:15" x14ac:dyDescent="0.25">
      <c r="A462" t="s">
        <v>1398</v>
      </c>
      <c r="B462" t="s">
        <v>1399</v>
      </c>
      <c r="C462" t="s">
        <v>100</v>
      </c>
      <c r="D462" t="s">
        <v>1400</v>
      </c>
      <c r="E462" t="str" cm="1">
        <f t="array" ref="E462">_xll.BDH($D462,"MTG_GEN_CPR_3M","20090331","20090331","Dts=H")</f>
        <v>#N/A Invalid Field</v>
      </c>
      <c r="F462" t="str" cm="1">
        <f t="array" ref="F462">_xll.BDH($D462,"MTG_GEN_CPR_6M","20090331","20090331","Dts=H")</f>
        <v>#N/A Invalid Field</v>
      </c>
      <c r="G462" t="str" cm="1">
        <f t="array" ref="G462">_xll.BDH($D462,"MTG_GEN_CPR_12M","20090331","20090331","Dts=H")</f>
        <v>#N/A Invalid Field</v>
      </c>
      <c r="H462" t="str" cm="1">
        <f t="array" ref="H462">_xll.BDH($D462,"MTG_GEN_CPR_3M","20090610","20090610","Dts=H")</f>
        <v>#N/A Invalid Field</v>
      </c>
      <c r="I462" t="str" cm="1">
        <f t="array" ref="I462">_xll.BDH($D462,"MTG_GEN_CPR_6M","20090610","20090610","Dts=H")</f>
        <v>#N/A Invalid Field</v>
      </c>
      <c r="J462" t="str" cm="1">
        <f t="array" ref="J462">_xll.BDH($D462,"MTG_GEN_CPR_12M","20090610","20090610","Dts=H")</f>
        <v>#N/A Invalid Field</v>
      </c>
      <c r="K462" t="str" cm="1">
        <f t="array" ref="K462">_xll.BDP(D462,"MTG_PREPAY_TYP")</f>
        <v>PSA</v>
      </c>
      <c r="L462" cm="1">
        <f t="array" ref="L462">_xll.BDP(D462,"MTG_PREPAY_SPEED")</f>
        <v>169</v>
      </c>
      <c r="M462" cm="1">
        <f t="array" ref="M462">_xll.BDP(D462,"MTG_PL_PSA_1M ")</f>
        <v>154.9</v>
      </c>
      <c r="N462" cm="1">
        <f t="array" ref="N462">_xll.BDP(D462,"MTG_PL_PSA_3M ")</f>
        <v>198.9</v>
      </c>
      <c r="O462" cm="1">
        <f t="array" ref="O462">_xll.BDP(D462,"MTG_PL_PSA_6M ")</f>
        <v>186.6</v>
      </c>
    </row>
    <row r="463" spans="1:15" x14ac:dyDescent="0.25">
      <c r="A463" t="s">
        <v>1401</v>
      </c>
      <c r="B463" t="s">
        <v>1402</v>
      </c>
      <c r="C463" t="s">
        <v>100</v>
      </c>
      <c r="D463" t="s">
        <v>1403</v>
      </c>
      <c r="E463" t="str" cm="1">
        <f t="array" ref="E463">_xll.BDH($D463,"MTG_GEN_CPR_3M","20090331","20090331","Dts=H")</f>
        <v>#N/A Invalid Field</v>
      </c>
      <c r="F463" t="str" cm="1">
        <f t="array" ref="F463">_xll.BDH($D463,"MTG_GEN_CPR_6M","20090331","20090331","Dts=H")</f>
        <v>#N/A Invalid Field</v>
      </c>
      <c r="G463" t="str" cm="1">
        <f t="array" ref="G463">_xll.BDH($D463,"MTG_GEN_CPR_12M","20090331","20090331","Dts=H")</f>
        <v>#N/A Invalid Field</v>
      </c>
      <c r="H463" t="str" cm="1">
        <f t="array" ref="H463">_xll.BDH($D463,"MTG_GEN_CPR_3M","20090610","20090610","Dts=H")</f>
        <v>#N/A Invalid Field</v>
      </c>
      <c r="I463" t="str" cm="1">
        <f t="array" ref="I463">_xll.BDH($D463,"MTG_GEN_CPR_6M","20090610","20090610","Dts=H")</f>
        <v>#N/A Invalid Field</v>
      </c>
      <c r="J463" t="str" cm="1">
        <f t="array" ref="J463">_xll.BDH($D463,"MTG_GEN_CPR_12M","20090610","20090610","Dts=H")</f>
        <v>#N/A Invalid Field</v>
      </c>
      <c r="K463" t="str" cm="1">
        <f t="array" ref="K463">_xll.BDP(D463,"MTG_PREPAY_TYP")</f>
        <v>PSA</v>
      </c>
      <c r="L463" cm="1">
        <f t="array" ref="L463">_xll.BDP(D463,"MTG_PREPAY_SPEED")</f>
        <v>123</v>
      </c>
      <c r="M463" cm="1">
        <f t="array" ref="M463">_xll.BDP(D463,"MTG_PL_PSA_1M ")</f>
        <v>41.1</v>
      </c>
      <c r="N463" cm="1">
        <f t="array" ref="N463">_xll.BDP(D463,"MTG_PL_PSA_3M ")</f>
        <v>36.299999999999997</v>
      </c>
      <c r="O463" cm="1">
        <f t="array" ref="O463">_xll.BDP(D463,"MTG_PL_PSA_6M ")</f>
        <v>37.9</v>
      </c>
    </row>
    <row r="464" spans="1:15" x14ac:dyDescent="0.25">
      <c r="A464" t="s">
        <v>1404</v>
      </c>
      <c r="B464" t="s">
        <v>1405</v>
      </c>
      <c r="C464" t="s">
        <v>100</v>
      </c>
      <c r="D464" t="s">
        <v>1406</v>
      </c>
      <c r="E464" t="str" cm="1">
        <f t="array" ref="E464">_xll.BDH($D464,"MTG_GEN_CPR_3M","20090331","20090331","Dts=H")</f>
        <v>#N/A Invalid Field</v>
      </c>
      <c r="F464" t="str" cm="1">
        <f t="array" ref="F464">_xll.BDH($D464,"MTG_GEN_CPR_6M","20090331","20090331","Dts=H")</f>
        <v>#N/A Invalid Field</v>
      </c>
      <c r="G464" t="str" cm="1">
        <f t="array" ref="G464">_xll.BDH($D464,"MTG_GEN_CPR_12M","20090331","20090331","Dts=H")</f>
        <v>#N/A Invalid Field</v>
      </c>
      <c r="H464" t="str" cm="1">
        <f t="array" ref="H464">_xll.BDH($D464,"MTG_GEN_CPR_3M","20090610","20090610","Dts=H")</f>
        <v>#N/A Invalid Field</v>
      </c>
      <c r="I464" t="str" cm="1">
        <f t="array" ref="I464">_xll.BDH($D464,"MTG_GEN_CPR_6M","20090610","20090610","Dts=H")</f>
        <v>#N/A Invalid Field</v>
      </c>
      <c r="J464" t="str" cm="1">
        <f t="array" ref="J464">_xll.BDH($D464,"MTG_GEN_CPR_12M","20090610","20090610","Dts=H")</f>
        <v>#N/A Invalid Field</v>
      </c>
      <c r="K464" t="str" cm="1">
        <f t="array" ref="K464">_xll.BDP(D464,"MTG_PREPAY_TYP")</f>
        <v>#N/A N/A</v>
      </c>
      <c r="L464" t="str" cm="1">
        <f t="array" ref="L464">_xll.BDP(D464,"MTG_PREPAY_SPEED")</f>
        <v>#N/A N/A</v>
      </c>
      <c r="M464" cm="1">
        <f t="array" ref="M464">_xll.BDP(D464,"MTG_PL_PSA_1M ")</f>
        <v>1666.7</v>
      </c>
      <c r="N464" cm="1">
        <f t="array" ref="N464">_xll.BDP(D464,"MTG_PL_PSA_3M ")</f>
        <v>1666.7</v>
      </c>
      <c r="O464" cm="1">
        <f t="array" ref="O464">_xll.BDP(D464,"MTG_PL_PSA_6M ")</f>
        <v>1666.7</v>
      </c>
    </row>
    <row r="465" spans="1:15" x14ac:dyDescent="0.25">
      <c r="A465" t="s">
        <v>1407</v>
      </c>
      <c r="B465" t="s">
        <v>1408</v>
      </c>
      <c r="C465" t="s">
        <v>100</v>
      </c>
      <c r="D465" t="s">
        <v>1409</v>
      </c>
      <c r="E465" t="str" cm="1">
        <f t="array" ref="E465">_xll.BDH($D465,"MTG_GEN_CPR_3M","20090331","20090331","Dts=H")</f>
        <v>#N/A Invalid Field</v>
      </c>
      <c r="F465" t="str" cm="1">
        <f t="array" ref="F465">_xll.BDH($D465,"MTG_GEN_CPR_6M","20090331","20090331","Dts=H")</f>
        <v>#N/A Invalid Field</v>
      </c>
      <c r="G465" t="str" cm="1">
        <f t="array" ref="G465">_xll.BDH($D465,"MTG_GEN_CPR_12M","20090331","20090331","Dts=H")</f>
        <v>#N/A Invalid Field</v>
      </c>
      <c r="H465" t="str" cm="1">
        <f t="array" ref="H465">_xll.BDH($D465,"MTG_GEN_CPR_3M","20090610","20090610","Dts=H")</f>
        <v>#N/A Invalid Field</v>
      </c>
      <c r="I465" t="str" cm="1">
        <f t="array" ref="I465">_xll.BDH($D465,"MTG_GEN_CPR_6M","20090610","20090610","Dts=H")</f>
        <v>#N/A Invalid Field</v>
      </c>
      <c r="J465" t="str" cm="1">
        <f t="array" ref="J465">_xll.BDH($D465,"MTG_GEN_CPR_12M","20090610","20090610","Dts=H")</f>
        <v>#N/A Invalid Field</v>
      </c>
      <c r="K465" t="str" cm="1">
        <f t="array" ref="K465">_xll.BDP(D465,"MTG_PREPAY_TYP")</f>
        <v>PSA</v>
      </c>
      <c r="L465" cm="1">
        <f t="array" ref="L465">_xll.BDP(D465,"MTG_PREPAY_SPEED")</f>
        <v>123</v>
      </c>
      <c r="M465" cm="1">
        <f t="array" ref="M465">_xll.BDP(D465,"MTG_PL_PSA_1M ")</f>
        <v>33.4</v>
      </c>
      <c r="N465" cm="1">
        <f t="array" ref="N465">_xll.BDP(D465,"MTG_PL_PSA_3M ")</f>
        <v>195.5</v>
      </c>
      <c r="O465" cm="1">
        <f t="array" ref="O465">_xll.BDP(D465,"MTG_PL_PSA_6M ")</f>
        <v>114.6</v>
      </c>
    </row>
    <row r="466" spans="1:15" x14ac:dyDescent="0.25">
      <c r="A466" t="s">
        <v>1410</v>
      </c>
      <c r="B466" t="s">
        <v>1411</v>
      </c>
      <c r="C466" t="s">
        <v>100</v>
      </c>
      <c r="D466" t="s">
        <v>1412</v>
      </c>
      <c r="E466" t="str" cm="1">
        <f t="array" ref="E466">_xll.BDH($D466,"MTG_GEN_CPR_3M","20090331","20090331","Dts=H")</f>
        <v>#N/A Invalid Field</v>
      </c>
      <c r="F466" t="str" cm="1">
        <f t="array" ref="F466">_xll.BDH($D466,"MTG_GEN_CPR_6M","20090331","20090331","Dts=H")</f>
        <v>#N/A Invalid Field</v>
      </c>
      <c r="G466" t="str" cm="1">
        <f t="array" ref="G466">_xll.BDH($D466,"MTG_GEN_CPR_12M","20090331","20090331","Dts=H")</f>
        <v>#N/A Invalid Field</v>
      </c>
      <c r="H466" t="str" cm="1">
        <f t="array" ref="H466">_xll.BDH($D466,"MTG_GEN_CPR_3M","20090610","20090610","Dts=H")</f>
        <v>#N/A Invalid Field</v>
      </c>
      <c r="I466" t="str" cm="1">
        <f t="array" ref="I466">_xll.BDH($D466,"MTG_GEN_CPR_6M","20090610","20090610","Dts=H")</f>
        <v>#N/A Invalid Field</v>
      </c>
      <c r="J466" t="str" cm="1">
        <f t="array" ref="J466">_xll.BDH($D466,"MTG_GEN_CPR_12M","20090610","20090610","Dts=H")</f>
        <v>#N/A Invalid Field</v>
      </c>
      <c r="K466" t="str" cm="1">
        <f t="array" ref="K466">_xll.BDP(D466,"MTG_PREPAY_TYP")</f>
        <v>PSA</v>
      </c>
      <c r="L466" cm="1">
        <f t="array" ref="L466">_xll.BDP(D466,"MTG_PREPAY_SPEED")</f>
        <v>123</v>
      </c>
      <c r="M466" cm="1">
        <f t="array" ref="M466">_xll.BDP(D466,"MTG_PL_PSA_1M ")</f>
        <v>460.2</v>
      </c>
      <c r="N466" cm="1">
        <f t="array" ref="N466">_xll.BDP(D466,"MTG_PL_PSA_3M ")</f>
        <v>200.1</v>
      </c>
      <c r="O466" cm="1">
        <f t="array" ref="O466">_xll.BDP(D466,"MTG_PL_PSA_6M ")</f>
        <v>170.7</v>
      </c>
    </row>
    <row r="467" spans="1:15" x14ac:dyDescent="0.25">
      <c r="A467" t="s">
        <v>1413</v>
      </c>
      <c r="B467" t="s">
        <v>1414</v>
      </c>
      <c r="C467" t="s">
        <v>100</v>
      </c>
      <c r="D467" t="s">
        <v>1415</v>
      </c>
      <c r="E467" t="str" cm="1">
        <f t="array" ref="E467">_xll.BDH($D467,"MTG_GEN_CPR_3M","20090331","20090331","Dts=H")</f>
        <v>#N/A Invalid Field</v>
      </c>
      <c r="F467" t="str" cm="1">
        <f t="array" ref="F467">_xll.BDH($D467,"MTG_GEN_CPR_6M","20090331","20090331","Dts=H")</f>
        <v>#N/A Invalid Field</v>
      </c>
      <c r="G467" t="str" cm="1">
        <f t="array" ref="G467">_xll.BDH($D467,"MTG_GEN_CPR_12M","20090331","20090331","Dts=H")</f>
        <v>#N/A Invalid Field</v>
      </c>
      <c r="H467" t="str" cm="1">
        <f t="array" ref="H467">_xll.BDH($D467,"MTG_GEN_CPR_3M","20090610","20090610","Dts=H")</f>
        <v>#N/A Invalid Field</v>
      </c>
      <c r="I467" t="str" cm="1">
        <f t="array" ref="I467">_xll.BDH($D467,"MTG_GEN_CPR_6M","20090610","20090610","Dts=H")</f>
        <v>#N/A Invalid Field</v>
      </c>
      <c r="J467" t="str" cm="1">
        <f t="array" ref="J467">_xll.BDH($D467,"MTG_GEN_CPR_12M","20090610","20090610","Dts=H")</f>
        <v>#N/A Invalid Field</v>
      </c>
      <c r="K467" t="str" cm="1">
        <f t="array" ref="K467">_xll.BDP(D467,"MTG_PREPAY_TYP")</f>
        <v>PSA</v>
      </c>
      <c r="L467" cm="1">
        <f t="array" ref="L467">_xll.BDP(D467,"MTG_PREPAY_SPEED")</f>
        <v>160</v>
      </c>
      <c r="M467" cm="1">
        <f t="array" ref="M467">_xll.BDP(D467,"MTG_PL_PSA_1M ")</f>
        <v>5.0999999999999996</v>
      </c>
      <c r="N467" cm="1">
        <f t="array" ref="N467">_xll.BDP(D467,"MTG_PL_PSA_3M ")</f>
        <v>16.399999999999999</v>
      </c>
      <c r="O467" cm="1">
        <f t="array" ref="O467">_xll.BDP(D467,"MTG_PL_PSA_6M ")</f>
        <v>12.3</v>
      </c>
    </row>
    <row r="468" spans="1:15" x14ac:dyDescent="0.25">
      <c r="A468" t="s">
        <v>1416</v>
      </c>
      <c r="B468" t="s">
        <v>1417</v>
      </c>
      <c r="C468" t="s">
        <v>100</v>
      </c>
      <c r="D468" t="s">
        <v>1418</v>
      </c>
      <c r="E468" t="str" cm="1">
        <f t="array" ref="E468">_xll.BDH($D468,"MTG_GEN_CPR_3M","20090331","20090331","Dts=H")</f>
        <v>#N/A Invalid Field</v>
      </c>
      <c r="F468" t="str" cm="1">
        <f t="array" ref="F468">_xll.BDH($D468,"MTG_GEN_CPR_6M","20090331","20090331","Dts=H")</f>
        <v>#N/A Invalid Field</v>
      </c>
      <c r="G468" t="str" cm="1">
        <f t="array" ref="G468">_xll.BDH($D468,"MTG_GEN_CPR_12M","20090331","20090331","Dts=H")</f>
        <v>#N/A Invalid Field</v>
      </c>
      <c r="H468" t="str" cm="1">
        <f t="array" ref="H468">_xll.BDH($D468,"MTG_GEN_CPR_3M","20090610","20090610","Dts=H")</f>
        <v>#N/A Invalid Field</v>
      </c>
      <c r="I468" t="str" cm="1">
        <f t="array" ref="I468">_xll.BDH($D468,"MTG_GEN_CPR_6M","20090610","20090610","Dts=H")</f>
        <v>#N/A Invalid Field</v>
      </c>
      <c r="J468" t="str" cm="1">
        <f t="array" ref="J468">_xll.BDH($D468,"MTG_GEN_CPR_12M","20090610","20090610","Dts=H")</f>
        <v>#N/A Invalid Field</v>
      </c>
      <c r="K468" t="str" cm="1">
        <f t="array" ref="K468">_xll.BDP(D468,"MTG_PREPAY_TYP")</f>
        <v>PSA</v>
      </c>
      <c r="L468" cm="1">
        <f t="array" ref="L468">_xll.BDP(D468,"MTG_PREPAY_SPEED")</f>
        <v>160</v>
      </c>
      <c r="M468" cm="1">
        <f t="array" ref="M468">_xll.BDP(D468,"MTG_PL_PSA_1M ")</f>
        <v>110.9</v>
      </c>
      <c r="N468" cm="1">
        <f t="array" ref="N468">_xll.BDP(D468,"MTG_PL_PSA_3M ")</f>
        <v>106.2</v>
      </c>
      <c r="O468" cm="1">
        <f t="array" ref="O468">_xll.BDP(D468,"MTG_PL_PSA_6M ")</f>
        <v>82.6</v>
      </c>
    </row>
    <row r="469" spans="1:15" x14ac:dyDescent="0.25">
      <c r="A469" t="s">
        <v>1419</v>
      </c>
      <c r="B469" t="s">
        <v>1420</v>
      </c>
      <c r="C469" t="s">
        <v>100</v>
      </c>
      <c r="D469" t="s">
        <v>1421</v>
      </c>
      <c r="E469" t="str" cm="1">
        <f t="array" ref="E469">_xll.BDH($D469,"MTG_GEN_CPR_3M","20090331","20090331","Dts=H")</f>
        <v>#N/A Invalid Field</v>
      </c>
      <c r="F469" t="str" cm="1">
        <f t="array" ref="F469">_xll.BDH($D469,"MTG_GEN_CPR_6M","20090331","20090331","Dts=H")</f>
        <v>#N/A Invalid Field</v>
      </c>
      <c r="G469" t="str" cm="1">
        <f t="array" ref="G469">_xll.BDH($D469,"MTG_GEN_CPR_12M","20090331","20090331","Dts=H")</f>
        <v>#N/A Invalid Field</v>
      </c>
      <c r="H469" t="str" cm="1">
        <f t="array" ref="H469">_xll.BDH($D469,"MTG_GEN_CPR_3M","20090610","20090610","Dts=H")</f>
        <v>#N/A Invalid Field</v>
      </c>
      <c r="I469" t="str" cm="1">
        <f t="array" ref="I469">_xll.BDH($D469,"MTG_GEN_CPR_6M","20090610","20090610","Dts=H")</f>
        <v>#N/A Invalid Field</v>
      </c>
      <c r="J469" t="str" cm="1">
        <f t="array" ref="J469">_xll.BDH($D469,"MTG_GEN_CPR_12M","20090610","20090610","Dts=H")</f>
        <v>#N/A Invalid Field</v>
      </c>
      <c r="K469" t="str" cm="1">
        <f t="array" ref="K469">_xll.BDP(D469,"MTG_PREPAY_TYP")</f>
        <v>#N/A N/A</v>
      </c>
      <c r="L469" t="str" cm="1">
        <f t="array" ref="L469">_xll.BDP(D469,"MTG_PREPAY_SPEED")</f>
        <v>#N/A N/A</v>
      </c>
      <c r="M469" cm="1">
        <f t="array" ref="M469">_xll.BDP(D469,"MTG_PL_PSA_1M ")</f>
        <v>1666.7</v>
      </c>
      <c r="N469" cm="1">
        <f t="array" ref="N469">_xll.BDP(D469,"MTG_PL_PSA_3M ")</f>
        <v>1666.7</v>
      </c>
      <c r="O469" cm="1">
        <f t="array" ref="O469">_xll.BDP(D469,"MTG_PL_PSA_6M ")</f>
        <v>1666.7</v>
      </c>
    </row>
    <row r="470" spans="1:15" x14ac:dyDescent="0.25">
      <c r="A470" t="s">
        <v>1422</v>
      </c>
      <c r="B470" t="s">
        <v>1423</v>
      </c>
      <c r="C470" t="s">
        <v>100</v>
      </c>
      <c r="D470" t="s">
        <v>1424</v>
      </c>
      <c r="E470" t="str" cm="1">
        <f t="array" ref="E470">_xll.BDH($D470,"MTG_GEN_CPR_3M","20090331","20090331","Dts=H")</f>
        <v>#N/A Invalid Field</v>
      </c>
      <c r="F470" t="str" cm="1">
        <f t="array" ref="F470">_xll.BDH($D470,"MTG_GEN_CPR_6M","20090331","20090331","Dts=H")</f>
        <v>#N/A Invalid Field</v>
      </c>
      <c r="G470" t="str" cm="1">
        <f t="array" ref="G470">_xll.BDH($D470,"MTG_GEN_CPR_12M","20090331","20090331","Dts=H")</f>
        <v>#N/A Invalid Field</v>
      </c>
      <c r="H470" t="str" cm="1">
        <f t="array" ref="H470">_xll.BDH($D470,"MTG_GEN_CPR_3M","20090610","20090610","Dts=H")</f>
        <v>#N/A Invalid Field</v>
      </c>
      <c r="I470" t="str" cm="1">
        <f t="array" ref="I470">_xll.BDH($D470,"MTG_GEN_CPR_6M","20090610","20090610","Dts=H")</f>
        <v>#N/A Invalid Field</v>
      </c>
      <c r="J470" t="str" cm="1">
        <f t="array" ref="J470">_xll.BDH($D470,"MTG_GEN_CPR_12M","20090610","20090610","Dts=H")</f>
        <v>#N/A Invalid Field</v>
      </c>
      <c r="K470" t="str" cm="1">
        <f t="array" ref="K470">_xll.BDP(D470,"MTG_PREPAY_TYP")</f>
        <v>PSA</v>
      </c>
      <c r="L470" cm="1">
        <f t="array" ref="L470">_xll.BDP(D470,"MTG_PREPAY_SPEED")</f>
        <v>123</v>
      </c>
      <c r="M470" cm="1">
        <f t="array" ref="M470">_xll.BDP(D470,"MTG_PL_PSA_1M ")</f>
        <v>11.9</v>
      </c>
      <c r="N470" cm="1">
        <f t="array" ref="N470">_xll.BDP(D470,"MTG_PL_PSA_3M ")</f>
        <v>978.4</v>
      </c>
      <c r="O470" cm="1">
        <f t="array" ref="O470">_xll.BDP(D470,"MTG_PL_PSA_6M ")</f>
        <v>598.6</v>
      </c>
    </row>
    <row r="471" spans="1:15" x14ac:dyDescent="0.25">
      <c r="A471" t="s">
        <v>1425</v>
      </c>
      <c r="B471" t="s">
        <v>1426</v>
      </c>
      <c r="C471" t="s">
        <v>100</v>
      </c>
      <c r="D471" t="s">
        <v>1427</v>
      </c>
      <c r="E471" t="str" cm="1">
        <f t="array" ref="E471">_xll.BDH($D471,"MTG_GEN_CPR_3M","20090331","20090331","Dts=H")</f>
        <v>#N/A Invalid Field</v>
      </c>
      <c r="F471" t="str" cm="1">
        <f t="array" ref="F471">_xll.BDH($D471,"MTG_GEN_CPR_6M","20090331","20090331","Dts=H")</f>
        <v>#N/A Invalid Field</v>
      </c>
      <c r="G471" t="str" cm="1">
        <f t="array" ref="G471">_xll.BDH($D471,"MTG_GEN_CPR_12M","20090331","20090331","Dts=H")</f>
        <v>#N/A Invalid Field</v>
      </c>
      <c r="H471" t="str" cm="1">
        <f t="array" ref="H471">_xll.BDH($D471,"MTG_GEN_CPR_3M","20090610","20090610","Dts=H")</f>
        <v>#N/A Invalid Field</v>
      </c>
      <c r="I471" t="str" cm="1">
        <f t="array" ref="I471">_xll.BDH($D471,"MTG_GEN_CPR_6M","20090610","20090610","Dts=H")</f>
        <v>#N/A Invalid Field</v>
      </c>
      <c r="J471" t="str" cm="1">
        <f t="array" ref="J471">_xll.BDH($D471,"MTG_GEN_CPR_12M","20090610","20090610","Dts=H")</f>
        <v>#N/A Invalid Field</v>
      </c>
      <c r="K471" t="str" cm="1">
        <f t="array" ref="K471">_xll.BDP(D471,"MTG_PREPAY_TYP")</f>
        <v>#N/A N/A</v>
      </c>
      <c r="L471" t="str" cm="1">
        <f t="array" ref="L471">_xll.BDP(D471,"MTG_PREPAY_SPEED")</f>
        <v>#N/A N/A</v>
      </c>
      <c r="M471" cm="1">
        <f t="array" ref="M471">_xll.BDP(D471,"MTG_PL_PSA_1M ")</f>
        <v>1666.7</v>
      </c>
      <c r="N471" cm="1">
        <f t="array" ref="N471">_xll.BDP(D471,"MTG_PL_PSA_3M ")</f>
        <v>1666.7</v>
      </c>
      <c r="O471" cm="1">
        <f t="array" ref="O471">_xll.BDP(D471,"MTG_PL_PSA_6M ")</f>
        <v>1666.7</v>
      </c>
    </row>
    <row r="472" spans="1:15" x14ac:dyDescent="0.25">
      <c r="A472" t="s">
        <v>1428</v>
      </c>
      <c r="B472" t="s">
        <v>1429</v>
      </c>
      <c r="C472" t="s">
        <v>100</v>
      </c>
      <c r="D472" t="s">
        <v>1430</v>
      </c>
      <c r="E472" t="str" cm="1">
        <f t="array" ref="E472">_xll.BDH($D472,"MTG_GEN_CPR_3M","20090331","20090331","Dts=H")</f>
        <v>#N/A Invalid Field</v>
      </c>
      <c r="F472" t="str" cm="1">
        <f t="array" ref="F472">_xll.BDH($D472,"MTG_GEN_CPR_6M","20090331","20090331","Dts=H")</f>
        <v>#N/A Invalid Field</v>
      </c>
      <c r="G472" t="str" cm="1">
        <f t="array" ref="G472">_xll.BDH($D472,"MTG_GEN_CPR_12M","20090331","20090331","Dts=H")</f>
        <v>#N/A Invalid Field</v>
      </c>
      <c r="H472" t="str" cm="1">
        <f t="array" ref="H472">_xll.BDH($D472,"MTG_GEN_CPR_3M","20090610","20090610","Dts=H")</f>
        <v>#N/A Invalid Field</v>
      </c>
      <c r="I472" t="str" cm="1">
        <f t="array" ref="I472">_xll.BDH($D472,"MTG_GEN_CPR_6M","20090610","20090610","Dts=H")</f>
        <v>#N/A Invalid Field</v>
      </c>
      <c r="J472" t="str" cm="1">
        <f t="array" ref="J472">_xll.BDH($D472,"MTG_GEN_CPR_12M","20090610","20090610","Dts=H")</f>
        <v>#N/A Invalid Field</v>
      </c>
      <c r="K472" t="str" cm="1">
        <f t="array" ref="K472">_xll.BDP(D472,"MTG_PREPAY_TYP")</f>
        <v>#N/A N/A</v>
      </c>
      <c r="L472" t="str" cm="1">
        <f t="array" ref="L472">_xll.BDP(D472,"MTG_PREPAY_SPEED")</f>
        <v>#N/A N/A</v>
      </c>
      <c r="M472" cm="1">
        <f t="array" ref="M472">_xll.BDP(D472,"MTG_PL_PSA_1M ")</f>
        <v>1666.7</v>
      </c>
      <c r="N472" cm="1">
        <f t="array" ref="N472">_xll.BDP(D472,"MTG_PL_PSA_3M ")</f>
        <v>1666.7</v>
      </c>
      <c r="O472" cm="1">
        <f t="array" ref="O472">_xll.BDP(D472,"MTG_PL_PSA_6M ")</f>
        <v>1666.7</v>
      </c>
    </row>
    <row r="473" spans="1:15" x14ac:dyDescent="0.25">
      <c r="A473" t="s">
        <v>1431</v>
      </c>
      <c r="B473" t="s">
        <v>1432</v>
      </c>
      <c r="C473" t="s">
        <v>100</v>
      </c>
      <c r="D473" t="s">
        <v>1433</v>
      </c>
      <c r="E473" t="str" cm="1">
        <f t="array" ref="E473">_xll.BDH($D473,"MTG_GEN_CPR_3M","20090331","20090331","Dts=H")</f>
        <v>#N/A Invalid Field</v>
      </c>
      <c r="F473" t="str" cm="1">
        <f t="array" ref="F473">_xll.BDH($D473,"MTG_GEN_CPR_6M","20090331","20090331","Dts=H")</f>
        <v>#N/A Invalid Field</v>
      </c>
      <c r="G473" t="str" cm="1">
        <f t="array" ref="G473">_xll.BDH($D473,"MTG_GEN_CPR_12M","20090331","20090331","Dts=H")</f>
        <v>#N/A Invalid Field</v>
      </c>
      <c r="H473" t="str" cm="1">
        <f t="array" ref="H473">_xll.BDH($D473,"MTG_GEN_CPR_3M","20090610","20090610","Dts=H")</f>
        <v>#N/A Invalid Field</v>
      </c>
      <c r="I473" t="str" cm="1">
        <f t="array" ref="I473">_xll.BDH($D473,"MTG_GEN_CPR_6M","20090610","20090610","Dts=H")</f>
        <v>#N/A Invalid Field</v>
      </c>
      <c r="J473" t="str" cm="1">
        <f t="array" ref="J473">_xll.BDH($D473,"MTG_GEN_CPR_12M","20090610","20090610","Dts=H")</f>
        <v>#N/A Invalid Field</v>
      </c>
      <c r="K473" t="str" cm="1">
        <f t="array" ref="K473">_xll.BDP(D473,"MTG_PREPAY_TYP")</f>
        <v>PSA</v>
      </c>
      <c r="L473" cm="1">
        <f t="array" ref="L473">_xll.BDP(D473,"MTG_PREPAY_SPEED")</f>
        <v>150</v>
      </c>
      <c r="M473" cm="1">
        <f t="array" ref="M473">_xll.BDP(D473,"MTG_PL_PSA_1M ")</f>
        <v>123.4</v>
      </c>
      <c r="N473" cm="1">
        <f t="array" ref="N473">_xll.BDP(D473,"MTG_PL_PSA_3M ")</f>
        <v>118.5</v>
      </c>
      <c r="O473" cm="1">
        <f t="array" ref="O473">_xll.BDP(D473,"MTG_PL_PSA_6M ")</f>
        <v>101.3</v>
      </c>
    </row>
    <row r="474" spans="1:15" x14ac:dyDescent="0.25">
      <c r="A474" t="s">
        <v>1434</v>
      </c>
      <c r="B474" t="s">
        <v>1435</v>
      </c>
      <c r="C474" t="s">
        <v>100</v>
      </c>
      <c r="D474" t="s">
        <v>1436</v>
      </c>
      <c r="E474" t="str" cm="1">
        <f t="array" ref="E474">_xll.BDH($D474,"MTG_GEN_CPR_3M","20090331","20090331","Dts=H")</f>
        <v>#N/A Invalid Field</v>
      </c>
      <c r="F474" t="str" cm="1">
        <f t="array" ref="F474">_xll.BDH($D474,"MTG_GEN_CPR_6M","20090331","20090331","Dts=H")</f>
        <v>#N/A Invalid Field</v>
      </c>
      <c r="G474" t="str" cm="1">
        <f t="array" ref="G474">_xll.BDH($D474,"MTG_GEN_CPR_12M","20090331","20090331","Dts=H")</f>
        <v>#N/A Invalid Field</v>
      </c>
      <c r="H474" t="str" cm="1">
        <f t="array" ref="H474">_xll.BDH($D474,"MTG_GEN_CPR_3M","20090610","20090610","Dts=H")</f>
        <v>#N/A Invalid Field</v>
      </c>
      <c r="I474" t="str" cm="1">
        <f t="array" ref="I474">_xll.BDH($D474,"MTG_GEN_CPR_6M","20090610","20090610","Dts=H")</f>
        <v>#N/A Invalid Field</v>
      </c>
      <c r="J474" t="str" cm="1">
        <f t="array" ref="J474">_xll.BDH($D474,"MTG_GEN_CPR_12M","20090610","20090610","Dts=H")</f>
        <v>#N/A Invalid Field</v>
      </c>
      <c r="K474" t="str" cm="1">
        <f t="array" ref="K474">_xll.BDP(D474,"MTG_PREPAY_TYP")</f>
        <v>PSA</v>
      </c>
      <c r="L474" cm="1">
        <f t="array" ref="L474">_xll.BDP(D474,"MTG_PREPAY_SPEED")</f>
        <v>123</v>
      </c>
      <c r="M474" cm="1">
        <f t="array" ref="M474">_xll.BDP(D474,"MTG_PL_PSA_1M ")</f>
        <v>511.8</v>
      </c>
      <c r="N474" cm="1">
        <f t="array" ref="N474">_xll.BDP(D474,"MTG_PL_PSA_3M ")</f>
        <v>312.60000000000002</v>
      </c>
      <c r="O474" cm="1">
        <f t="array" ref="O474">_xll.BDP(D474,"MTG_PL_PSA_6M ")</f>
        <v>202.3</v>
      </c>
    </row>
    <row r="475" spans="1:15" x14ac:dyDescent="0.25">
      <c r="A475" t="s">
        <v>1437</v>
      </c>
      <c r="B475" t="s">
        <v>1438</v>
      </c>
      <c r="C475" t="s">
        <v>100</v>
      </c>
      <c r="D475" t="s">
        <v>1439</v>
      </c>
      <c r="E475" t="str" cm="1">
        <f t="array" ref="E475">_xll.BDH($D475,"MTG_GEN_CPR_3M","20090331","20090331","Dts=H")</f>
        <v>#N/A Invalid Field</v>
      </c>
      <c r="F475" t="str" cm="1">
        <f t="array" ref="F475">_xll.BDH($D475,"MTG_GEN_CPR_6M","20090331","20090331","Dts=H")</f>
        <v>#N/A Invalid Field</v>
      </c>
      <c r="G475" t="str" cm="1">
        <f t="array" ref="G475">_xll.BDH($D475,"MTG_GEN_CPR_12M","20090331","20090331","Dts=H")</f>
        <v>#N/A Invalid Field</v>
      </c>
      <c r="H475" t="str" cm="1">
        <f t="array" ref="H475">_xll.BDH($D475,"MTG_GEN_CPR_3M","20090610","20090610","Dts=H")</f>
        <v>#N/A Invalid Field</v>
      </c>
      <c r="I475" t="str" cm="1">
        <f t="array" ref="I475">_xll.BDH($D475,"MTG_GEN_CPR_6M","20090610","20090610","Dts=H")</f>
        <v>#N/A Invalid Field</v>
      </c>
      <c r="J475" t="str" cm="1">
        <f t="array" ref="J475">_xll.BDH($D475,"MTG_GEN_CPR_12M","20090610","20090610","Dts=H")</f>
        <v>#N/A Invalid Field</v>
      </c>
      <c r="K475" t="str" cm="1">
        <f t="array" ref="K475">_xll.BDP(D475,"MTG_PREPAY_TYP")</f>
        <v>PSA</v>
      </c>
      <c r="L475" cm="1">
        <f t="array" ref="L475">_xll.BDP(D475,"MTG_PREPAY_SPEED")</f>
        <v>150</v>
      </c>
      <c r="M475" cm="1">
        <f t="array" ref="M475">_xll.BDP(D475,"MTG_PL_PSA_1M ")</f>
        <v>0.2</v>
      </c>
      <c r="N475" cm="1">
        <f t="array" ref="N475">_xll.BDP(D475,"MTG_PL_PSA_3M ")</f>
        <v>0.2</v>
      </c>
      <c r="O475" cm="1">
        <f t="array" ref="O475">_xll.BDP(D475,"MTG_PL_PSA_6M ")</f>
        <v>0.2</v>
      </c>
    </row>
    <row r="476" spans="1:15" x14ac:dyDescent="0.25">
      <c r="A476" t="s">
        <v>1440</v>
      </c>
      <c r="B476" t="s">
        <v>1441</v>
      </c>
      <c r="C476" t="s">
        <v>100</v>
      </c>
      <c r="D476" t="s">
        <v>1442</v>
      </c>
      <c r="E476" t="str" cm="1">
        <f t="array" ref="E476">_xll.BDH($D476,"MTG_GEN_CPR_3M","20090331","20090331","Dts=H")</f>
        <v>#N/A Invalid Field</v>
      </c>
      <c r="F476" t="str" cm="1">
        <f t="array" ref="F476">_xll.BDH($D476,"MTG_GEN_CPR_6M","20090331","20090331","Dts=H")</f>
        <v>#N/A Invalid Field</v>
      </c>
      <c r="G476" t="str" cm="1">
        <f t="array" ref="G476">_xll.BDH($D476,"MTG_GEN_CPR_12M","20090331","20090331","Dts=H")</f>
        <v>#N/A Invalid Field</v>
      </c>
      <c r="H476" t="str" cm="1">
        <f t="array" ref="H476">_xll.BDH($D476,"MTG_GEN_CPR_3M","20090610","20090610","Dts=H")</f>
        <v>#N/A Invalid Field</v>
      </c>
      <c r="I476" t="str" cm="1">
        <f t="array" ref="I476">_xll.BDH($D476,"MTG_GEN_CPR_6M","20090610","20090610","Dts=H")</f>
        <v>#N/A Invalid Field</v>
      </c>
      <c r="J476" t="str" cm="1">
        <f t="array" ref="J476">_xll.BDH($D476,"MTG_GEN_CPR_12M","20090610","20090610","Dts=H")</f>
        <v>#N/A Invalid Field</v>
      </c>
      <c r="K476" t="str" cm="1">
        <f t="array" ref="K476">_xll.BDP(D476,"MTG_PREPAY_TYP")</f>
        <v>#N/A N/A</v>
      </c>
      <c r="L476" t="str" cm="1">
        <f t="array" ref="L476">_xll.BDP(D476,"MTG_PREPAY_SPEED")</f>
        <v>#N/A N/A</v>
      </c>
      <c r="M476" cm="1">
        <f t="array" ref="M476">_xll.BDP(D476,"MTG_PL_PSA_1M ")</f>
        <v>1666.7</v>
      </c>
      <c r="N476" cm="1">
        <f t="array" ref="N476">_xll.BDP(D476,"MTG_PL_PSA_3M ")</f>
        <v>1666.7</v>
      </c>
      <c r="O476" cm="1">
        <f t="array" ref="O476">_xll.BDP(D476,"MTG_PL_PSA_6M ")</f>
        <v>1666.7</v>
      </c>
    </row>
    <row r="477" spans="1:15" x14ac:dyDescent="0.25">
      <c r="A477" t="s">
        <v>1443</v>
      </c>
      <c r="B477" t="s">
        <v>1444</v>
      </c>
      <c r="C477" t="s">
        <v>100</v>
      </c>
      <c r="D477" t="s">
        <v>1445</v>
      </c>
      <c r="E477" t="str" cm="1">
        <f t="array" ref="E477">_xll.BDH($D477,"MTG_GEN_CPR_3M","20090331","20090331","Dts=H")</f>
        <v>#N/A Invalid Field</v>
      </c>
      <c r="F477" t="str" cm="1">
        <f t="array" ref="F477">_xll.BDH($D477,"MTG_GEN_CPR_6M","20090331","20090331","Dts=H")</f>
        <v>#N/A Invalid Field</v>
      </c>
      <c r="G477" t="str" cm="1">
        <f t="array" ref="G477">_xll.BDH($D477,"MTG_GEN_CPR_12M","20090331","20090331","Dts=H")</f>
        <v>#N/A Invalid Field</v>
      </c>
      <c r="H477" t="str" cm="1">
        <f t="array" ref="H477">_xll.BDH($D477,"MTG_GEN_CPR_3M","20090610","20090610","Dts=H")</f>
        <v>#N/A Invalid Field</v>
      </c>
      <c r="I477" t="str" cm="1">
        <f t="array" ref="I477">_xll.BDH($D477,"MTG_GEN_CPR_6M","20090610","20090610","Dts=H")</f>
        <v>#N/A Invalid Field</v>
      </c>
      <c r="J477" t="str" cm="1">
        <f t="array" ref="J477">_xll.BDH($D477,"MTG_GEN_CPR_12M","20090610","20090610","Dts=H")</f>
        <v>#N/A Invalid Field</v>
      </c>
      <c r="K477" t="str" cm="1">
        <f t="array" ref="K477">_xll.BDP(D477,"MTG_PREPAY_TYP")</f>
        <v>PSA</v>
      </c>
      <c r="L477" cm="1">
        <f t="array" ref="L477">_xll.BDP(D477,"MTG_PREPAY_SPEED")</f>
        <v>160</v>
      </c>
      <c r="M477" cm="1">
        <f t="array" ref="M477">_xll.BDP(D477,"MTG_PL_PSA_1M ")</f>
        <v>0.2</v>
      </c>
      <c r="N477" cm="1">
        <f t="array" ref="N477">_xll.BDP(D477,"MTG_PL_PSA_3M ")</f>
        <v>9.1</v>
      </c>
      <c r="O477" cm="1">
        <f t="array" ref="O477">_xll.BDP(D477,"MTG_PL_PSA_6M ")</f>
        <v>4.3</v>
      </c>
    </row>
    <row r="478" spans="1:15" x14ac:dyDescent="0.25">
      <c r="A478" t="s">
        <v>1446</v>
      </c>
      <c r="B478" t="s">
        <v>1447</v>
      </c>
      <c r="C478" t="s">
        <v>100</v>
      </c>
      <c r="D478" t="s">
        <v>1448</v>
      </c>
      <c r="E478" t="str" cm="1">
        <f t="array" ref="E478">_xll.BDH($D478,"MTG_GEN_CPR_3M","20090331","20090331","Dts=H")</f>
        <v>#N/A Invalid Field</v>
      </c>
      <c r="F478" t="str" cm="1">
        <f t="array" ref="F478">_xll.BDH($D478,"MTG_GEN_CPR_6M","20090331","20090331","Dts=H")</f>
        <v>#N/A Invalid Field</v>
      </c>
      <c r="G478" t="str" cm="1">
        <f t="array" ref="G478">_xll.BDH($D478,"MTG_GEN_CPR_12M","20090331","20090331","Dts=H")</f>
        <v>#N/A Invalid Field</v>
      </c>
      <c r="H478" t="str" cm="1">
        <f t="array" ref="H478">_xll.BDH($D478,"MTG_GEN_CPR_3M","20090610","20090610","Dts=H")</f>
        <v>#N/A Invalid Field</v>
      </c>
      <c r="I478" t="str" cm="1">
        <f t="array" ref="I478">_xll.BDH($D478,"MTG_GEN_CPR_6M","20090610","20090610","Dts=H")</f>
        <v>#N/A Invalid Field</v>
      </c>
      <c r="J478" t="str" cm="1">
        <f t="array" ref="J478">_xll.BDH($D478,"MTG_GEN_CPR_12M","20090610","20090610","Dts=H")</f>
        <v>#N/A Invalid Field</v>
      </c>
      <c r="K478" t="str" cm="1">
        <f t="array" ref="K478">_xll.BDP(D478,"MTG_PREPAY_TYP")</f>
        <v>#N/A N/A</v>
      </c>
      <c r="L478" t="str" cm="1">
        <f t="array" ref="L478">_xll.BDP(D478,"MTG_PREPAY_SPEED")</f>
        <v>#N/A N/A</v>
      </c>
      <c r="M478" cm="1">
        <f t="array" ref="M478">_xll.BDP(D478,"MTG_PL_PSA_1M ")</f>
        <v>1666.7</v>
      </c>
      <c r="N478" cm="1">
        <f t="array" ref="N478">_xll.BDP(D478,"MTG_PL_PSA_3M ")</f>
        <v>1666.7</v>
      </c>
      <c r="O478" cm="1">
        <f t="array" ref="O478">_xll.BDP(D478,"MTG_PL_PSA_6M ")</f>
        <v>1666.7</v>
      </c>
    </row>
    <row r="479" spans="1:15" x14ac:dyDescent="0.25">
      <c r="A479" t="s">
        <v>1449</v>
      </c>
      <c r="B479" t="s">
        <v>1450</v>
      </c>
      <c r="C479" t="s">
        <v>100</v>
      </c>
      <c r="D479" t="s">
        <v>1451</v>
      </c>
      <c r="E479" t="str" cm="1">
        <f t="array" ref="E479">_xll.BDH($D479,"MTG_GEN_CPR_3M","20090331","20090331","Dts=H")</f>
        <v>#N/A Invalid Field</v>
      </c>
      <c r="F479" t="str" cm="1">
        <f t="array" ref="F479">_xll.BDH($D479,"MTG_GEN_CPR_6M","20090331","20090331","Dts=H")</f>
        <v>#N/A Invalid Field</v>
      </c>
      <c r="G479" t="str" cm="1">
        <f t="array" ref="G479">_xll.BDH($D479,"MTG_GEN_CPR_12M","20090331","20090331","Dts=H")</f>
        <v>#N/A Invalid Field</v>
      </c>
      <c r="H479" t="str" cm="1">
        <f t="array" ref="H479">_xll.BDH($D479,"MTG_GEN_CPR_3M","20090610","20090610","Dts=H")</f>
        <v>#N/A Invalid Field</v>
      </c>
      <c r="I479" t="str" cm="1">
        <f t="array" ref="I479">_xll.BDH($D479,"MTG_GEN_CPR_6M","20090610","20090610","Dts=H")</f>
        <v>#N/A Invalid Field</v>
      </c>
      <c r="J479" t="str" cm="1">
        <f t="array" ref="J479">_xll.BDH($D479,"MTG_GEN_CPR_12M","20090610","20090610","Dts=H")</f>
        <v>#N/A Invalid Field</v>
      </c>
      <c r="K479" t="str" cm="1">
        <f t="array" ref="K479">_xll.BDP(D479,"MTG_PREPAY_TYP")</f>
        <v>#N/A N/A</v>
      </c>
      <c r="L479" t="str" cm="1">
        <f t="array" ref="L479">_xll.BDP(D479,"MTG_PREPAY_SPEED")</f>
        <v>#N/A N/A</v>
      </c>
      <c r="M479" cm="1">
        <f t="array" ref="M479">_xll.BDP(D479,"MTG_PL_PSA_1M ")</f>
        <v>0</v>
      </c>
      <c r="N479" cm="1">
        <f t="array" ref="N479">_xll.BDP(D479,"MTG_PL_PSA_3M ")</f>
        <v>1346.5</v>
      </c>
      <c r="O479" cm="1">
        <f t="array" ref="O479">_xll.BDP(D479,"MTG_PL_PSA_6M ")</f>
        <v>1125.3</v>
      </c>
    </row>
    <row r="480" spans="1:15" x14ac:dyDescent="0.25">
      <c r="A480" t="s">
        <v>1452</v>
      </c>
      <c r="B480" t="s">
        <v>1453</v>
      </c>
      <c r="C480" t="s">
        <v>100</v>
      </c>
      <c r="D480" t="s">
        <v>1454</v>
      </c>
      <c r="E480" t="str" cm="1">
        <f t="array" ref="E480">_xll.BDH($D480,"MTG_GEN_CPR_3M","20090331","20090331","Dts=H")</f>
        <v>#N/A Invalid Field</v>
      </c>
      <c r="F480" t="str" cm="1">
        <f t="array" ref="F480">_xll.BDH($D480,"MTG_GEN_CPR_6M","20090331","20090331","Dts=H")</f>
        <v>#N/A Invalid Field</v>
      </c>
      <c r="G480" t="str" cm="1">
        <f t="array" ref="G480">_xll.BDH($D480,"MTG_GEN_CPR_12M","20090331","20090331","Dts=H")</f>
        <v>#N/A Invalid Field</v>
      </c>
      <c r="H480" t="str" cm="1">
        <f t="array" ref="H480">_xll.BDH($D480,"MTG_GEN_CPR_3M","20090610","20090610","Dts=H")</f>
        <v>#N/A Invalid Field</v>
      </c>
      <c r="I480" t="str" cm="1">
        <f t="array" ref="I480">_xll.BDH($D480,"MTG_GEN_CPR_6M","20090610","20090610","Dts=H")</f>
        <v>#N/A Invalid Field</v>
      </c>
      <c r="J480" t="str" cm="1">
        <f t="array" ref="J480">_xll.BDH($D480,"MTG_GEN_CPR_12M","20090610","20090610","Dts=H")</f>
        <v>#N/A Invalid Field</v>
      </c>
      <c r="K480" t="str" cm="1">
        <f t="array" ref="K480">_xll.BDP(D480,"MTG_PREPAY_TYP")</f>
        <v>PSA</v>
      </c>
      <c r="L480" cm="1">
        <f t="array" ref="L480">_xll.BDP(D480,"MTG_PREPAY_SPEED")</f>
        <v>150</v>
      </c>
      <c r="M480" cm="1">
        <f t="array" ref="M480">_xll.BDP(D480,"MTG_PL_PSA_1M ")</f>
        <v>-12.1</v>
      </c>
      <c r="N480" cm="1">
        <f t="array" ref="N480">_xll.BDP(D480,"MTG_PL_PSA_3M ")</f>
        <v>-10.9</v>
      </c>
      <c r="O480" cm="1">
        <f t="array" ref="O480">_xll.BDP(D480,"MTG_PL_PSA_6M ")</f>
        <v>1192.7</v>
      </c>
    </row>
    <row r="481" spans="1:15" x14ac:dyDescent="0.25">
      <c r="A481" t="s">
        <v>1455</v>
      </c>
      <c r="B481" t="s">
        <v>1456</v>
      </c>
      <c r="C481" t="s">
        <v>100</v>
      </c>
      <c r="D481" t="s">
        <v>1457</v>
      </c>
      <c r="E481" t="str" cm="1">
        <f t="array" ref="E481">_xll.BDH($D481,"MTG_GEN_CPR_3M","20090331","20090331","Dts=H")</f>
        <v>#N/A Invalid Field</v>
      </c>
      <c r="F481" t="str" cm="1">
        <f t="array" ref="F481">_xll.BDH($D481,"MTG_GEN_CPR_6M","20090331","20090331","Dts=H")</f>
        <v>#N/A Invalid Field</v>
      </c>
      <c r="G481" t="str" cm="1">
        <f t="array" ref="G481">_xll.BDH($D481,"MTG_GEN_CPR_12M","20090331","20090331","Dts=H")</f>
        <v>#N/A Invalid Field</v>
      </c>
      <c r="H481" t="str" cm="1">
        <f t="array" ref="H481">_xll.BDH($D481,"MTG_GEN_CPR_3M","20090610","20090610","Dts=H")</f>
        <v>#N/A Invalid Field</v>
      </c>
      <c r="I481" t="str" cm="1">
        <f t="array" ref="I481">_xll.BDH($D481,"MTG_GEN_CPR_6M","20090610","20090610","Dts=H")</f>
        <v>#N/A Invalid Field</v>
      </c>
      <c r="J481" t="str" cm="1">
        <f t="array" ref="J481">_xll.BDH($D481,"MTG_GEN_CPR_12M","20090610","20090610","Dts=H")</f>
        <v>#N/A Invalid Field</v>
      </c>
      <c r="K481" t="str" cm="1">
        <f t="array" ref="K481">_xll.BDP(D481,"MTG_PREPAY_TYP")</f>
        <v>PSA</v>
      </c>
      <c r="L481" cm="1">
        <f t="array" ref="L481">_xll.BDP(D481,"MTG_PREPAY_SPEED")</f>
        <v>160</v>
      </c>
      <c r="M481" cm="1">
        <f t="array" ref="M481">_xll.BDP(D481,"MTG_PL_PSA_1M ")</f>
        <v>30.8</v>
      </c>
      <c r="N481" cm="1">
        <f t="array" ref="N481">_xll.BDP(D481,"MTG_PL_PSA_3M ")</f>
        <v>32.1</v>
      </c>
      <c r="O481" cm="1">
        <f t="array" ref="O481">_xll.BDP(D481,"MTG_PL_PSA_6M ")</f>
        <v>28.3</v>
      </c>
    </row>
    <row r="482" spans="1:15" x14ac:dyDescent="0.25">
      <c r="A482" t="s">
        <v>1458</v>
      </c>
      <c r="B482" t="s">
        <v>1459</v>
      </c>
      <c r="C482" t="s">
        <v>100</v>
      </c>
      <c r="D482" t="s">
        <v>1460</v>
      </c>
      <c r="E482" t="str" cm="1">
        <f t="array" ref="E482">_xll.BDH($D482,"MTG_GEN_CPR_3M","20090331","20090331","Dts=H")</f>
        <v>#N/A Invalid Field</v>
      </c>
      <c r="F482" t="str" cm="1">
        <f t="array" ref="F482">_xll.BDH($D482,"MTG_GEN_CPR_6M","20090331","20090331","Dts=H")</f>
        <v>#N/A Invalid Field</v>
      </c>
      <c r="G482" t="str" cm="1">
        <f t="array" ref="G482">_xll.BDH($D482,"MTG_GEN_CPR_12M","20090331","20090331","Dts=H")</f>
        <v>#N/A Invalid Field</v>
      </c>
      <c r="H482" t="str" cm="1">
        <f t="array" ref="H482">_xll.BDH($D482,"MTG_GEN_CPR_3M","20090610","20090610","Dts=H")</f>
        <v>#N/A Invalid Field</v>
      </c>
      <c r="I482" t="str" cm="1">
        <f t="array" ref="I482">_xll.BDH($D482,"MTG_GEN_CPR_6M","20090610","20090610","Dts=H")</f>
        <v>#N/A Invalid Field</v>
      </c>
      <c r="J482" t="str" cm="1">
        <f t="array" ref="J482">_xll.BDH($D482,"MTG_GEN_CPR_12M","20090610","20090610","Dts=H")</f>
        <v>#N/A Invalid Field</v>
      </c>
      <c r="K482" t="str" cm="1">
        <f t="array" ref="K482">_xll.BDP(D482,"MTG_PREPAY_TYP")</f>
        <v>PSA</v>
      </c>
      <c r="L482" cm="1">
        <f t="array" ref="L482">_xll.BDP(D482,"MTG_PREPAY_SPEED")</f>
        <v>236</v>
      </c>
      <c r="M482" cm="1">
        <f t="array" ref="M482">_xll.BDP(D482,"MTG_PL_PSA_1M ")</f>
        <v>0</v>
      </c>
      <c r="N482" cm="1">
        <f t="array" ref="N482">_xll.BDP(D482,"MTG_PL_PSA_3M ")</f>
        <v>0</v>
      </c>
      <c r="O482" cm="1">
        <f t="array" ref="O482">_xll.BDP(D482,"MTG_PL_PSA_6M ")</f>
        <v>0</v>
      </c>
    </row>
    <row r="483" spans="1:15" x14ac:dyDescent="0.25">
      <c r="A483" t="s">
        <v>1461</v>
      </c>
      <c r="B483" t="s">
        <v>1462</v>
      </c>
      <c r="C483" t="s">
        <v>100</v>
      </c>
      <c r="D483" t="s">
        <v>1463</v>
      </c>
      <c r="E483" t="str" cm="1">
        <f t="array" ref="E483">_xll.BDH($D483,"MTG_GEN_CPR_3M","20090331","20090331","Dts=H")</f>
        <v>#N/A Invalid Field</v>
      </c>
      <c r="F483" t="str" cm="1">
        <f t="array" ref="F483">_xll.BDH($D483,"MTG_GEN_CPR_6M","20090331","20090331","Dts=H")</f>
        <v>#N/A Invalid Field</v>
      </c>
      <c r="G483" t="str" cm="1">
        <f t="array" ref="G483">_xll.BDH($D483,"MTG_GEN_CPR_12M","20090331","20090331","Dts=H")</f>
        <v>#N/A Invalid Field</v>
      </c>
      <c r="H483" t="str" cm="1">
        <f t="array" ref="H483">_xll.BDH($D483,"MTG_GEN_CPR_3M","20090610","20090610","Dts=H")</f>
        <v>#N/A Invalid Field</v>
      </c>
      <c r="I483" t="str" cm="1">
        <f t="array" ref="I483">_xll.BDH($D483,"MTG_GEN_CPR_6M","20090610","20090610","Dts=H")</f>
        <v>#N/A Invalid Field</v>
      </c>
      <c r="J483" t="str" cm="1">
        <f t="array" ref="J483">_xll.BDH($D483,"MTG_GEN_CPR_12M","20090610","20090610","Dts=H")</f>
        <v>#N/A Invalid Field</v>
      </c>
      <c r="K483" t="str" cm="1">
        <f t="array" ref="K483">_xll.BDP(D483,"MTG_PREPAY_TYP")</f>
        <v>PSA</v>
      </c>
      <c r="L483" cm="1">
        <f t="array" ref="L483">_xll.BDP(D483,"MTG_PREPAY_SPEED")</f>
        <v>150</v>
      </c>
      <c r="M483" cm="1">
        <f t="array" ref="M483">_xll.BDP(D483,"MTG_PL_PSA_1M ")</f>
        <v>13.3</v>
      </c>
      <c r="N483" cm="1">
        <f t="array" ref="N483">_xll.BDP(D483,"MTG_PL_PSA_3M ")</f>
        <v>12.4</v>
      </c>
      <c r="O483" cm="1">
        <f t="array" ref="O483">_xll.BDP(D483,"MTG_PL_PSA_6M ")</f>
        <v>11.3</v>
      </c>
    </row>
    <row r="484" spans="1:15" x14ac:dyDescent="0.25">
      <c r="A484" t="s">
        <v>1464</v>
      </c>
      <c r="B484" t="s">
        <v>1465</v>
      </c>
      <c r="C484" t="s">
        <v>100</v>
      </c>
      <c r="D484" t="s">
        <v>1466</v>
      </c>
      <c r="E484" t="str" cm="1">
        <f t="array" ref="E484">_xll.BDH($D484,"MTG_GEN_CPR_3M","20090331","20090331","Dts=H")</f>
        <v>#N/A Invalid Field</v>
      </c>
      <c r="F484" t="str" cm="1">
        <f t="array" ref="F484">_xll.BDH($D484,"MTG_GEN_CPR_6M","20090331","20090331","Dts=H")</f>
        <v>#N/A Invalid Field</v>
      </c>
      <c r="G484" t="str" cm="1">
        <f t="array" ref="G484">_xll.BDH($D484,"MTG_GEN_CPR_12M","20090331","20090331","Dts=H")</f>
        <v>#N/A Invalid Field</v>
      </c>
      <c r="H484" t="str" cm="1">
        <f t="array" ref="H484">_xll.BDH($D484,"MTG_GEN_CPR_3M","20090610","20090610","Dts=H")</f>
        <v>#N/A Invalid Field</v>
      </c>
      <c r="I484" t="str" cm="1">
        <f t="array" ref="I484">_xll.BDH($D484,"MTG_GEN_CPR_6M","20090610","20090610","Dts=H")</f>
        <v>#N/A Invalid Field</v>
      </c>
      <c r="J484" t="str" cm="1">
        <f t="array" ref="J484">_xll.BDH($D484,"MTG_GEN_CPR_12M","20090610","20090610","Dts=H")</f>
        <v>#N/A Invalid Field</v>
      </c>
      <c r="K484" t="str" cm="1">
        <f t="array" ref="K484">_xll.BDP(D484,"MTG_PREPAY_TYP")</f>
        <v>#N/A N/A</v>
      </c>
      <c r="L484" t="str" cm="1">
        <f t="array" ref="L484">_xll.BDP(D484,"MTG_PREPAY_SPEED")</f>
        <v>#N/A N/A</v>
      </c>
      <c r="M484" cm="1">
        <f t="array" ref="M484">_xll.BDP(D484,"MTG_PL_PSA_1M ")</f>
        <v>1666.7</v>
      </c>
      <c r="N484" cm="1">
        <f t="array" ref="N484">_xll.BDP(D484,"MTG_PL_PSA_3M ")</f>
        <v>1666.7</v>
      </c>
      <c r="O484" cm="1">
        <f t="array" ref="O484">_xll.BDP(D484,"MTG_PL_PSA_6M ")</f>
        <v>1666.7</v>
      </c>
    </row>
    <row r="485" spans="1:15" x14ac:dyDescent="0.25">
      <c r="A485" t="s">
        <v>1467</v>
      </c>
      <c r="B485" t="s">
        <v>1468</v>
      </c>
      <c r="C485" t="s">
        <v>100</v>
      </c>
      <c r="D485" t="s">
        <v>1469</v>
      </c>
      <c r="E485" t="str" cm="1">
        <f t="array" ref="E485">_xll.BDH($D485,"MTG_GEN_CPR_3M","20090331","20090331","Dts=H")</f>
        <v>#N/A Invalid Field</v>
      </c>
      <c r="F485" t="str" cm="1">
        <f t="array" ref="F485">_xll.BDH($D485,"MTG_GEN_CPR_6M","20090331","20090331","Dts=H")</f>
        <v>#N/A Invalid Field</v>
      </c>
      <c r="G485" t="str" cm="1">
        <f t="array" ref="G485">_xll.BDH($D485,"MTG_GEN_CPR_12M","20090331","20090331","Dts=H")</f>
        <v>#N/A Invalid Field</v>
      </c>
      <c r="H485" t="str" cm="1">
        <f t="array" ref="H485">_xll.BDH($D485,"MTG_GEN_CPR_3M","20090610","20090610","Dts=H")</f>
        <v>#N/A Invalid Field</v>
      </c>
      <c r="I485" t="str" cm="1">
        <f t="array" ref="I485">_xll.BDH($D485,"MTG_GEN_CPR_6M","20090610","20090610","Dts=H")</f>
        <v>#N/A Invalid Field</v>
      </c>
      <c r="J485" t="str" cm="1">
        <f t="array" ref="J485">_xll.BDH($D485,"MTG_GEN_CPR_12M","20090610","20090610","Dts=H")</f>
        <v>#N/A Invalid Field</v>
      </c>
      <c r="K485" t="str" cm="1">
        <f t="array" ref="K485">_xll.BDP(D485,"MTG_PREPAY_TYP")</f>
        <v>#N/A N/A</v>
      </c>
      <c r="L485" t="str" cm="1">
        <f t="array" ref="L485">_xll.BDP(D485,"MTG_PREPAY_SPEED")</f>
        <v>#N/A N/A</v>
      </c>
      <c r="M485" cm="1">
        <f t="array" ref="M485">_xll.BDP(D485,"MTG_PL_PSA_1M ")</f>
        <v>1666.7</v>
      </c>
      <c r="N485" cm="1">
        <f t="array" ref="N485">_xll.BDP(D485,"MTG_PL_PSA_3M ")</f>
        <v>1666.7</v>
      </c>
      <c r="O485" cm="1">
        <f t="array" ref="O485">_xll.BDP(D485,"MTG_PL_PSA_6M ")</f>
        <v>1666.7</v>
      </c>
    </row>
    <row r="486" spans="1:15" x14ac:dyDescent="0.25">
      <c r="A486" t="s">
        <v>1470</v>
      </c>
      <c r="B486" t="s">
        <v>1471</v>
      </c>
      <c r="C486" t="s">
        <v>100</v>
      </c>
      <c r="D486" t="s">
        <v>1472</v>
      </c>
      <c r="E486" t="str" cm="1">
        <f t="array" ref="E486">_xll.BDH($D486,"MTG_GEN_CPR_3M","20090331","20090331","Dts=H")</f>
        <v>#N/A Invalid Field</v>
      </c>
      <c r="F486" t="str" cm="1">
        <f t="array" ref="F486">_xll.BDH($D486,"MTG_GEN_CPR_6M","20090331","20090331","Dts=H")</f>
        <v>#N/A Invalid Field</v>
      </c>
      <c r="G486" t="str" cm="1">
        <f t="array" ref="G486">_xll.BDH($D486,"MTG_GEN_CPR_12M","20090331","20090331","Dts=H")</f>
        <v>#N/A Invalid Field</v>
      </c>
      <c r="H486" t="str" cm="1">
        <f t="array" ref="H486">_xll.BDH($D486,"MTG_GEN_CPR_3M","20090610","20090610","Dts=H")</f>
        <v>#N/A Invalid Field</v>
      </c>
      <c r="I486" t="str" cm="1">
        <f t="array" ref="I486">_xll.BDH($D486,"MTG_GEN_CPR_6M","20090610","20090610","Dts=H")</f>
        <v>#N/A Invalid Field</v>
      </c>
      <c r="J486" t="str" cm="1">
        <f t="array" ref="J486">_xll.BDH($D486,"MTG_GEN_CPR_12M","20090610","20090610","Dts=H")</f>
        <v>#N/A Invalid Field</v>
      </c>
      <c r="K486" t="str" cm="1">
        <f t="array" ref="K486">_xll.BDP(D486,"MTG_PREPAY_TYP")</f>
        <v>PSA</v>
      </c>
      <c r="L486" cm="1">
        <f t="array" ref="L486">_xll.BDP(D486,"MTG_PREPAY_SPEED")</f>
        <v>139</v>
      </c>
      <c r="M486" cm="1">
        <f t="array" ref="M486">_xll.BDP(D486,"MTG_PL_PSA_1M ")</f>
        <v>0.7</v>
      </c>
      <c r="N486" cm="1">
        <f t="array" ref="N486">_xll.BDP(D486,"MTG_PL_PSA_3M ")</f>
        <v>0.7</v>
      </c>
      <c r="O486" cm="1">
        <f t="array" ref="O486">_xll.BDP(D486,"MTG_PL_PSA_6M ")</f>
        <v>0.7</v>
      </c>
    </row>
    <row r="487" spans="1:15" x14ac:dyDescent="0.25">
      <c r="A487" t="s">
        <v>1473</v>
      </c>
      <c r="B487" t="s">
        <v>1474</v>
      </c>
      <c r="C487" t="s">
        <v>100</v>
      </c>
      <c r="D487" t="s">
        <v>1475</v>
      </c>
      <c r="E487" t="str" cm="1">
        <f t="array" ref="E487">_xll.BDH($D487,"MTG_GEN_CPR_3M","20090331","20090331","Dts=H")</f>
        <v>#N/A Invalid Field</v>
      </c>
      <c r="F487" t="str" cm="1">
        <f t="array" ref="F487">_xll.BDH($D487,"MTG_GEN_CPR_6M","20090331","20090331","Dts=H")</f>
        <v>#N/A Invalid Field</v>
      </c>
      <c r="G487" t="str" cm="1">
        <f t="array" ref="G487">_xll.BDH($D487,"MTG_GEN_CPR_12M","20090331","20090331","Dts=H")</f>
        <v>#N/A Invalid Field</v>
      </c>
      <c r="H487" t="str" cm="1">
        <f t="array" ref="H487">_xll.BDH($D487,"MTG_GEN_CPR_3M","20090610","20090610","Dts=H")</f>
        <v>#N/A Invalid Field</v>
      </c>
      <c r="I487" t="str" cm="1">
        <f t="array" ref="I487">_xll.BDH($D487,"MTG_GEN_CPR_6M","20090610","20090610","Dts=H")</f>
        <v>#N/A Invalid Field</v>
      </c>
      <c r="J487" t="str" cm="1">
        <f t="array" ref="J487">_xll.BDH($D487,"MTG_GEN_CPR_12M","20090610","20090610","Dts=H")</f>
        <v>#N/A Invalid Field</v>
      </c>
      <c r="K487" t="str" cm="1">
        <f t="array" ref="K487">_xll.BDP(D487,"MTG_PREPAY_TYP")</f>
        <v>#N/A N/A</v>
      </c>
      <c r="L487" t="str" cm="1">
        <f t="array" ref="L487">_xll.BDP(D487,"MTG_PREPAY_SPEED")</f>
        <v>#N/A N/A</v>
      </c>
      <c r="M487" cm="1">
        <f t="array" ref="M487">_xll.BDP(D487,"MTG_PL_PSA_1M ")</f>
        <v>1666.7</v>
      </c>
      <c r="N487" cm="1">
        <f t="array" ref="N487">_xll.BDP(D487,"MTG_PL_PSA_3M ")</f>
        <v>1666.7</v>
      </c>
      <c r="O487" cm="1">
        <f t="array" ref="O487">_xll.BDP(D487,"MTG_PL_PSA_6M ")</f>
        <v>1666.7</v>
      </c>
    </row>
    <row r="488" spans="1:15" x14ac:dyDescent="0.25">
      <c r="A488" t="s">
        <v>1476</v>
      </c>
      <c r="B488" t="s">
        <v>1477</v>
      </c>
      <c r="C488" t="s">
        <v>100</v>
      </c>
      <c r="D488" t="s">
        <v>1478</v>
      </c>
      <c r="E488" t="str" cm="1">
        <f t="array" ref="E488">_xll.BDH($D488,"MTG_GEN_CPR_3M","20090331","20090331","Dts=H")</f>
        <v>#N/A Invalid Field</v>
      </c>
      <c r="F488" t="str" cm="1">
        <f t="array" ref="F488">_xll.BDH($D488,"MTG_GEN_CPR_6M","20090331","20090331","Dts=H")</f>
        <v>#N/A Invalid Field</v>
      </c>
      <c r="G488" t="str" cm="1">
        <f t="array" ref="G488">_xll.BDH($D488,"MTG_GEN_CPR_12M","20090331","20090331","Dts=H")</f>
        <v>#N/A Invalid Field</v>
      </c>
      <c r="H488" t="str" cm="1">
        <f t="array" ref="H488">_xll.BDH($D488,"MTG_GEN_CPR_3M","20090610","20090610","Dts=H")</f>
        <v>#N/A Invalid Field</v>
      </c>
      <c r="I488" t="str" cm="1">
        <f t="array" ref="I488">_xll.BDH($D488,"MTG_GEN_CPR_6M","20090610","20090610","Dts=H")</f>
        <v>#N/A Invalid Field</v>
      </c>
      <c r="J488" t="str" cm="1">
        <f t="array" ref="J488">_xll.BDH($D488,"MTG_GEN_CPR_12M","20090610","20090610","Dts=H")</f>
        <v>#N/A Invalid Field</v>
      </c>
      <c r="K488" t="str" cm="1">
        <f t="array" ref="K488">_xll.BDP(D488,"MTG_PREPAY_TYP")</f>
        <v>#N/A N/A</v>
      </c>
      <c r="L488" t="str" cm="1">
        <f t="array" ref="L488">_xll.BDP(D488,"MTG_PREPAY_SPEED")</f>
        <v>#N/A N/A</v>
      </c>
      <c r="M488" cm="1">
        <f t="array" ref="M488">_xll.BDP(D488,"MTG_PL_PSA_1M ")</f>
        <v>1666.7</v>
      </c>
      <c r="N488" cm="1">
        <f t="array" ref="N488">_xll.BDP(D488,"MTG_PL_PSA_3M ")</f>
        <v>1666.7</v>
      </c>
      <c r="O488" cm="1">
        <f t="array" ref="O488">_xll.BDP(D488,"MTG_PL_PSA_6M ")</f>
        <v>1666.7</v>
      </c>
    </row>
    <row r="489" spans="1:15" x14ac:dyDescent="0.25">
      <c r="A489" t="s">
        <v>1479</v>
      </c>
      <c r="B489" t="s">
        <v>1480</v>
      </c>
      <c r="C489" t="s">
        <v>100</v>
      </c>
      <c r="D489" t="s">
        <v>1481</v>
      </c>
      <c r="E489" t="str" cm="1">
        <f t="array" ref="E489">_xll.BDH($D489,"MTG_GEN_CPR_3M","20090331","20090331","Dts=H")</f>
        <v>#N/A Invalid Field</v>
      </c>
      <c r="F489" t="str" cm="1">
        <f t="array" ref="F489">_xll.BDH($D489,"MTG_GEN_CPR_6M","20090331","20090331","Dts=H")</f>
        <v>#N/A Invalid Field</v>
      </c>
      <c r="G489" t="str" cm="1">
        <f t="array" ref="G489">_xll.BDH($D489,"MTG_GEN_CPR_12M","20090331","20090331","Dts=H")</f>
        <v>#N/A Invalid Field</v>
      </c>
      <c r="H489" t="str" cm="1">
        <f t="array" ref="H489">_xll.BDH($D489,"MTG_GEN_CPR_3M","20090610","20090610","Dts=H")</f>
        <v>#N/A Invalid Field</v>
      </c>
      <c r="I489" t="str" cm="1">
        <f t="array" ref="I489">_xll.BDH($D489,"MTG_GEN_CPR_6M","20090610","20090610","Dts=H")</f>
        <v>#N/A Invalid Field</v>
      </c>
      <c r="J489" t="str" cm="1">
        <f t="array" ref="J489">_xll.BDH($D489,"MTG_GEN_CPR_12M","20090610","20090610","Dts=H")</f>
        <v>#N/A Invalid Field</v>
      </c>
      <c r="K489" t="str" cm="1">
        <f t="array" ref="K489">_xll.BDP(D489,"MTG_PREPAY_TYP")</f>
        <v>PSA</v>
      </c>
      <c r="L489" cm="1">
        <f t="array" ref="L489">_xll.BDP(D489,"MTG_PREPAY_SPEED")</f>
        <v>150</v>
      </c>
      <c r="M489" cm="1">
        <f t="array" ref="M489">_xll.BDP(D489,"MTG_PL_PSA_1M ")</f>
        <v>281.39999999999998</v>
      </c>
      <c r="N489" cm="1">
        <f t="array" ref="N489">_xll.BDP(D489,"MTG_PL_PSA_3M ")</f>
        <v>362.8</v>
      </c>
      <c r="O489" cm="1">
        <f t="array" ref="O489">_xll.BDP(D489,"MTG_PL_PSA_6M ")</f>
        <v>309.39999999999998</v>
      </c>
    </row>
    <row r="490" spans="1:15" x14ac:dyDescent="0.25">
      <c r="A490" t="s">
        <v>1482</v>
      </c>
      <c r="B490" t="s">
        <v>1483</v>
      </c>
      <c r="C490" t="s">
        <v>100</v>
      </c>
      <c r="D490" t="s">
        <v>1484</v>
      </c>
      <c r="E490" t="str" cm="1">
        <f t="array" ref="E490">_xll.BDH($D490,"MTG_GEN_CPR_3M","20090331","20090331","Dts=H")</f>
        <v>#N/A Invalid Field</v>
      </c>
      <c r="F490" t="str" cm="1">
        <f t="array" ref="F490">_xll.BDH($D490,"MTG_GEN_CPR_6M","20090331","20090331","Dts=H")</f>
        <v>#N/A Invalid Field</v>
      </c>
      <c r="G490" t="str" cm="1">
        <f t="array" ref="G490">_xll.BDH($D490,"MTG_GEN_CPR_12M","20090331","20090331","Dts=H")</f>
        <v>#N/A Invalid Field</v>
      </c>
      <c r="H490" t="str" cm="1">
        <f t="array" ref="H490">_xll.BDH($D490,"MTG_GEN_CPR_3M","20090610","20090610","Dts=H")</f>
        <v>#N/A Invalid Field</v>
      </c>
      <c r="I490" t="str" cm="1">
        <f t="array" ref="I490">_xll.BDH($D490,"MTG_GEN_CPR_6M","20090610","20090610","Dts=H")</f>
        <v>#N/A Invalid Field</v>
      </c>
      <c r="J490" t="str" cm="1">
        <f t="array" ref="J490">_xll.BDH($D490,"MTG_GEN_CPR_12M","20090610","20090610","Dts=H")</f>
        <v>#N/A Invalid Field</v>
      </c>
      <c r="K490" t="str" cm="1">
        <f t="array" ref="K490">_xll.BDP(D490,"MTG_PREPAY_TYP")</f>
        <v>PSA</v>
      </c>
      <c r="L490" cm="1">
        <f t="array" ref="L490">_xll.BDP(D490,"MTG_PREPAY_SPEED")</f>
        <v>139</v>
      </c>
      <c r="M490" cm="1">
        <f t="array" ref="M490">_xll.BDP(D490,"MTG_PL_PSA_1M ")</f>
        <v>839.8</v>
      </c>
      <c r="N490" cm="1">
        <f t="array" ref="N490">_xll.BDP(D490,"MTG_PL_PSA_3M ")</f>
        <v>605</v>
      </c>
      <c r="O490" cm="1">
        <f t="array" ref="O490">_xll.BDP(D490,"MTG_PL_PSA_6M ")</f>
        <v>475.4</v>
      </c>
    </row>
    <row r="491" spans="1:15" x14ac:dyDescent="0.25">
      <c r="A491" t="s">
        <v>1485</v>
      </c>
      <c r="B491" t="s">
        <v>1486</v>
      </c>
      <c r="C491" t="s">
        <v>100</v>
      </c>
      <c r="D491" t="s">
        <v>1487</v>
      </c>
      <c r="E491" t="str" cm="1">
        <f t="array" ref="E491">_xll.BDH($D491,"MTG_GEN_CPR_3M","20090331","20090331","Dts=H")</f>
        <v>#N/A Invalid Field</v>
      </c>
      <c r="F491" t="str" cm="1">
        <f t="array" ref="F491">_xll.BDH($D491,"MTG_GEN_CPR_6M","20090331","20090331","Dts=H")</f>
        <v>#N/A Invalid Field</v>
      </c>
      <c r="G491" t="str" cm="1">
        <f t="array" ref="G491">_xll.BDH($D491,"MTG_GEN_CPR_12M","20090331","20090331","Dts=H")</f>
        <v>#N/A Invalid Field</v>
      </c>
      <c r="H491" t="str" cm="1">
        <f t="array" ref="H491">_xll.BDH($D491,"MTG_GEN_CPR_3M","20090610","20090610","Dts=H")</f>
        <v>#N/A Invalid Field</v>
      </c>
      <c r="I491" t="str" cm="1">
        <f t="array" ref="I491">_xll.BDH($D491,"MTG_GEN_CPR_6M","20090610","20090610","Dts=H")</f>
        <v>#N/A Invalid Field</v>
      </c>
      <c r="J491" t="str" cm="1">
        <f t="array" ref="J491">_xll.BDH($D491,"MTG_GEN_CPR_12M","20090610","20090610","Dts=H")</f>
        <v>#N/A Invalid Field</v>
      </c>
      <c r="K491" t="str" cm="1">
        <f t="array" ref="K491">_xll.BDP(D491,"MTG_PREPAY_TYP")</f>
        <v>PSA</v>
      </c>
      <c r="L491" cm="1">
        <f t="array" ref="L491">_xll.BDP(D491,"MTG_PREPAY_SPEED")</f>
        <v>139</v>
      </c>
      <c r="M491" cm="1">
        <f t="array" ref="M491">_xll.BDP(D491,"MTG_PL_PSA_1M ")</f>
        <v>113.2</v>
      </c>
      <c r="N491" cm="1">
        <f t="array" ref="N491">_xll.BDP(D491,"MTG_PL_PSA_3M ")</f>
        <v>103.8</v>
      </c>
      <c r="O491" cm="1">
        <f t="array" ref="O491">_xll.BDP(D491,"MTG_PL_PSA_6M ")</f>
        <v>98.9</v>
      </c>
    </row>
    <row r="492" spans="1:15" x14ac:dyDescent="0.25">
      <c r="A492" t="s">
        <v>1488</v>
      </c>
      <c r="B492" t="s">
        <v>1489</v>
      </c>
      <c r="C492" t="s">
        <v>100</v>
      </c>
      <c r="D492" t="s">
        <v>1490</v>
      </c>
      <c r="E492" t="str" cm="1">
        <f t="array" ref="E492">_xll.BDH($D492,"MTG_GEN_CPR_3M","20090331","20090331","Dts=H")</f>
        <v>#N/A Invalid Field</v>
      </c>
      <c r="F492" t="str" cm="1">
        <f t="array" ref="F492">_xll.BDH($D492,"MTG_GEN_CPR_6M","20090331","20090331","Dts=H")</f>
        <v>#N/A Invalid Field</v>
      </c>
      <c r="G492" t="str" cm="1">
        <f t="array" ref="G492">_xll.BDH($D492,"MTG_GEN_CPR_12M","20090331","20090331","Dts=H")</f>
        <v>#N/A Invalid Field</v>
      </c>
      <c r="H492" t="str" cm="1">
        <f t="array" ref="H492">_xll.BDH($D492,"MTG_GEN_CPR_3M","20090610","20090610","Dts=H")</f>
        <v>#N/A Invalid Field</v>
      </c>
      <c r="I492" t="str" cm="1">
        <f t="array" ref="I492">_xll.BDH($D492,"MTG_GEN_CPR_6M","20090610","20090610","Dts=H")</f>
        <v>#N/A Invalid Field</v>
      </c>
      <c r="J492" t="str" cm="1">
        <f t="array" ref="J492">_xll.BDH($D492,"MTG_GEN_CPR_12M","20090610","20090610","Dts=H")</f>
        <v>#N/A Invalid Field</v>
      </c>
      <c r="K492" t="str" cm="1">
        <f t="array" ref="K492">_xll.BDP(D492,"MTG_PREPAY_TYP")</f>
        <v>PSA</v>
      </c>
      <c r="L492" cm="1">
        <f t="array" ref="L492">_xll.BDP(D492,"MTG_PREPAY_SPEED")</f>
        <v>160</v>
      </c>
      <c r="M492" cm="1">
        <f t="array" ref="M492">_xll.BDP(D492,"MTG_PL_PSA_1M ")</f>
        <v>136.4</v>
      </c>
      <c r="N492" cm="1">
        <f t="array" ref="N492">_xll.BDP(D492,"MTG_PL_PSA_3M ")</f>
        <v>231.7</v>
      </c>
      <c r="O492" cm="1">
        <f t="array" ref="O492">_xll.BDP(D492,"MTG_PL_PSA_6M ")</f>
        <v>234.6</v>
      </c>
    </row>
    <row r="493" spans="1:15" x14ac:dyDescent="0.25">
      <c r="A493" t="s">
        <v>1491</v>
      </c>
      <c r="B493" t="s">
        <v>1492</v>
      </c>
      <c r="C493" t="s">
        <v>100</v>
      </c>
      <c r="D493" t="s">
        <v>1493</v>
      </c>
      <c r="E493" t="str" cm="1">
        <f t="array" ref="E493">_xll.BDH($D493,"MTG_GEN_CPR_3M","20090331","20090331","Dts=H")</f>
        <v>#N/A Invalid Field</v>
      </c>
      <c r="F493" t="str" cm="1">
        <f t="array" ref="F493">_xll.BDH($D493,"MTG_GEN_CPR_6M","20090331","20090331","Dts=H")</f>
        <v>#N/A Invalid Field</v>
      </c>
      <c r="G493" t="str" cm="1">
        <f t="array" ref="G493">_xll.BDH($D493,"MTG_GEN_CPR_12M","20090331","20090331","Dts=H")</f>
        <v>#N/A Invalid Field</v>
      </c>
      <c r="H493" t="str" cm="1">
        <f t="array" ref="H493">_xll.BDH($D493,"MTG_GEN_CPR_3M","20090610","20090610","Dts=H")</f>
        <v>#N/A Invalid Field</v>
      </c>
      <c r="I493" t="str" cm="1">
        <f t="array" ref="I493">_xll.BDH($D493,"MTG_GEN_CPR_6M","20090610","20090610","Dts=H")</f>
        <v>#N/A Invalid Field</v>
      </c>
      <c r="J493" t="str" cm="1">
        <f t="array" ref="J493">_xll.BDH($D493,"MTG_GEN_CPR_12M","20090610","20090610","Dts=H")</f>
        <v>#N/A Invalid Field</v>
      </c>
      <c r="K493" t="str" cm="1">
        <f t="array" ref="K493">_xll.BDP(D493,"MTG_PREPAY_TYP")</f>
        <v>PSA</v>
      </c>
      <c r="L493" cm="1">
        <f t="array" ref="L493">_xll.BDP(D493,"MTG_PREPAY_SPEED")</f>
        <v>160</v>
      </c>
      <c r="M493" cm="1">
        <f t="array" ref="M493">_xll.BDP(D493,"MTG_PL_PSA_1M ")</f>
        <v>202.7</v>
      </c>
      <c r="N493" cm="1">
        <f t="array" ref="N493">_xll.BDP(D493,"MTG_PL_PSA_3M ")</f>
        <v>226.9</v>
      </c>
      <c r="O493" cm="1">
        <f t="array" ref="O493">_xll.BDP(D493,"MTG_PL_PSA_6M ")</f>
        <v>199.3</v>
      </c>
    </row>
    <row r="494" spans="1:15" x14ac:dyDescent="0.25">
      <c r="A494" t="s">
        <v>1494</v>
      </c>
      <c r="B494" t="s">
        <v>1495</v>
      </c>
      <c r="C494" t="s">
        <v>100</v>
      </c>
      <c r="D494" t="s">
        <v>1496</v>
      </c>
      <c r="E494" t="str" cm="1">
        <f t="array" ref="E494">_xll.BDH($D494,"MTG_GEN_CPR_3M","20090331","20090331","Dts=H")</f>
        <v>#N/A Invalid Field</v>
      </c>
      <c r="F494" t="str" cm="1">
        <f t="array" ref="F494">_xll.BDH($D494,"MTG_GEN_CPR_6M","20090331","20090331","Dts=H")</f>
        <v>#N/A Invalid Field</v>
      </c>
      <c r="G494" t="str" cm="1">
        <f t="array" ref="G494">_xll.BDH($D494,"MTG_GEN_CPR_12M","20090331","20090331","Dts=H")</f>
        <v>#N/A Invalid Field</v>
      </c>
      <c r="H494" t="str" cm="1">
        <f t="array" ref="H494">_xll.BDH($D494,"MTG_GEN_CPR_3M","20090610","20090610","Dts=H")</f>
        <v>#N/A Invalid Field</v>
      </c>
      <c r="I494" t="str" cm="1">
        <f t="array" ref="I494">_xll.BDH($D494,"MTG_GEN_CPR_6M","20090610","20090610","Dts=H")</f>
        <v>#N/A Invalid Field</v>
      </c>
      <c r="J494" t="str" cm="1">
        <f t="array" ref="J494">_xll.BDH($D494,"MTG_GEN_CPR_12M","20090610","20090610","Dts=H")</f>
        <v>#N/A Invalid Field</v>
      </c>
      <c r="K494" t="str" cm="1">
        <f t="array" ref="K494">_xll.BDP(D494,"MTG_PREPAY_TYP")</f>
        <v>PSA</v>
      </c>
      <c r="L494" cm="1">
        <f t="array" ref="L494">_xll.BDP(D494,"MTG_PREPAY_SPEED")</f>
        <v>160</v>
      </c>
      <c r="M494" cm="1">
        <f t="array" ref="M494">_xll.BDP(D494,"MTG_PL_PSA_1M ")</f>
        <v>177.6</v>
      </c>
      <c r="N494" cm="1">
        <f t="array" ref="N494">_xll.BDP(D494,"MTG_PL_PSA_3M ")</f>
        <v>234.2</v>
      </c>
      <c r="O494" cm="1">
        <f t="array" ref="O494">_xll.BDP(D494,"MTG_PL_PSA_6M ")</f>
        <v>273.10000000000002</v>
      </c>
    </row>
    <row r="495" spans="1:15" x14ac:dyDescent="0.25">
      <c r="A495" t="s">
        <v>1497</v>
      </c>
      <c r="B495" t="s">
        <v>1498</v>
      </c>
      <c r="C495" t="s">
        <v>100</v>
      </c>
      <c r="D495" t="s">
        <v>1499</v>
      </c>
      <c r="E495" t="str" cm="1">
        <f t="array" ref="E495">_xll.BDH($D495,"MTG_GEN_CPR_3M","20090331","20090331","Dts=H")</f>
        <v>#N/A Invalid Field</v>
      </c>
      <c r="F495" t="str" cm="1">
        <f t="array" ref="F495">_xll.BDH($D495,"MTG_GEN_CPR_6M","20090331","20090331","Dts=H")</f>
        <v>#N/A Invalid Field</v>
      </c>
      <c r="G495" t="str" cm="1">
        <f t="array" ref="G495">_xll.BDH($D495,"MTG_GEN_CPR_12M","20090331","20090331","Dts=H")</f>
        <v>#N/A Invalid Field</v>
      </c>
      <c r="H495" t="str" cm="1">
        <f t="array" ref="H495">_xll.BDH($D495,"MTG_GEN_CPR_3M","20090610","20090610","Dts=H")</f>
        <v>#N/A Invalid Field</v>
      </c>
      <c r="I495" t="str" cm="1">
        <f t="array" ref="I495">_xll.BDH($D495,"MTG_GEN_CPR_6M","20090610","20090610","Dts=H")</f>
        <v>#N/A Invalid Field</v>
      </c>
      <c r="J495" t="str" cm="1">
        <f t="array" ref="J495">_xll.BDH($D495,"MTG_GEN_CPR_12M","20090610","20090610","Dts=H")</f>
        <v>#N/A Invalid Field</v>
      </c>
      <c r="K495" t="str" cm="1">
        <f t="array" ref="K495">_xll.BDP(D495,"MTG_PREPAY_TYP")</f>
        <v>PSA</v>
      </c>
      <c r="L495" cm="1">
        <f t="array" ref="L495">_xll.BDP(D495,"MTG_PREPAY_SPEED")</f>
        <v>160</v>
      </c>
      <c r="M495" cm="1">
        <f t="array" ref="M495">_xll.BDP(D495,"MTG_PL_PSA_1M ")</f>
        <v>55</v>
      </c>
      <c r="N495" cm="1">
        <f t="array" ref="N495">_xll.BDP(D495,"MTG_PL_PSA_3M ")</f>
        <v>135.6</v>
      </c>
      <c r="O495" cm="1">
        <f t="array" ref="O495">_xll.BDP(D495,"MTG_PL_PSA_6M ")</f>
        <v>278.5</v>
      </c>
    </row>
    <row r="496" spans="1:15" x14ac:dyDescent="0.25">
      <c r="A496" t="s">
        <v>1500</v>
      </c>
      <c r="B496" t="s">
        <v>1501</v>
      </c>
      <c r="C496" t="s">
        <v>100</v>
      </c>
      <c r="D496" t="s">
        <v>1502</v>
      </c>
      <c r="E496" t="str" cm="1">
        <f t="array" ref="E496">_xll.BDH($D496,"MTG_GEN_CPR_3M","20090331","20090331","Dts=H")</f>
        <v>#N/A Invalid Field</v>
      </c>
      <c r="F496" t="str" cm="1">
        <f t="array" ref="F496">_xll.BDH($D496,"MTG_GEN_CPR_6M","20090331","20090331","Dts=H")</f>
        <v>#N/A Invalid Field</v>
      </c>
      <c r="G496" t="str" cm="1">
        <f t="array" ref="G496">_xll.BDH($D496,"MTG_GEN_CPR_12M","20090331","20090331","Dts=H")</f>
        <v>#N/A Invalid Field</v>
      </c>
      <c r="H496" t="str" cm="1">
        <f t="array" ref="H496">_xll.BDH($D496,"MTG_GEN_CPR_3M","20090610","20090610","Dts=H")</f>
        <v>#N/A Invalid Field</v>
      </c>
      <c r="I496" t="str" cm="1">
        <f t="array" ref="I496">_xll.BDH($D496,"MTG_GEN_CPR_6M","20090610","20090610","Dts=H")</f>
        <v>#N/A Invalid Field</v>
      </c>
      <c r="J496" t="str" cm="1">
        <f t="array" ref="J496">_xll.BDH($D496,"MTG_GEN_CPR_12M","20090610","20090610","Dts=H")</f>
        <v>#N/A Invalid Field</v>
      </c>
      <c r="K496" t="str" cm="1">
        <f t="array" ref="K496">_xll.BDP(D496,"MTG_PREPAY_TYP")</f>
        <v>PSA</v>
      </c>
      <c r="L496" cm="1">
        <f t="array" ref="L496">_xll.BDP(D496,"MTG_PREPAY_SPEED")</f>
        <v>139</v>
      </c>
      <c r="M496" cm="1">
        <f t="array" ref="M496">_xll.BDP(D496,"MTG_PL_PSA_1M ")</f>
        <v>4.9000000000000004</v>
      </c>
      <c r="N496" cm="1">
        <f t="array" ref="N496">_xll.BDP(D496,"MTG_PL_PSA_3M ")</f>
        <v>167.5</v>
      </c>
      <c r="O496" cm="1">
        <f t="array" ref="O496">_xll.BDP(D496,"MTG_PL_PSA_6M ")</f>
        <v>95.5</v>
      </c>
    </row>
    <row r="497" spans="1:15" x14ac:dyDescent="0.25">
      <c r="A497" t="s">
        <v>1503</v>
      </c>
      <c r="B497" t="s">
        <v>1504</v>
      </c>
      <c r="C497" t="s">
        <v>100</v>
      </c>
      <c r="D497" t="s">
        <v>1505</v>
      </c>
      <c r="E497" t="str" cm="1">
        <f t="array" ref="E497">_xll.BDH($D497,"MTG_GEN_CPR_3M","20090331","20090331","Dts=H")</f>
        <v>#N/A Invalid Field</v>
      </c>
      <c r="F497" t="str" cm="1">
        <f t="array" ref="F497">_xll.BDH($D497,"MTG_GEN_CPR_6M","20090331","20090331","Dts=H")</f>
        <v>#N/A Invalid Field</v>
      </c>
      <c r="G497" t="str" cm="1">
        <f t="array" ref="G497">_xll.BDH($D497,"MTG_GEN_CPR_12M","20090331","20090331","Dts=H")</f>
        <v>#N/A Invalid Field</v>
      </c>
      <c r="H497" t="str" cm="1">
        <f t="array" ref="H497">_xll.BDH($D497,"MTG_GEN_CPR_3M","20090610","20090610","Dts=H")</f>
        <v>#N/A Invalid Field</v>
      </c>
      <c r="I497" t="str" cm="1">
        <f t="array" ref="I497">_xll.BDH($D497,"MTG_GEN_CPR_6M","20090610","20090610","Dts=H")</f>
        <v>#N/A Invalid Field</v>
      </c>
      <c r="J497" t="str" cm="1">
        <f t="array" ref="J497">_xll.BDH($D497,"MTG_GEN_CPR_12M","20090610","20090610","Dts=H")</f>
        <v>#N/A Invalid Field</v>
      </c>
      <c r="K497" t="str" cm="1">
        <f t="array" ref="K497">_xll.BDP(D497,"MTG_PREPAY_TYP")</f>
        <v>PSA</v>
      </c>
      <c r="L497" cm="1">
        <f t="array" ref="L497">_xll.BDP(D497,"MTG_PREPAY_SPEED")</f>
        <v>123</v>
      </c>
      <c r="M497" cm="1">
        <f t="array" ref="M497">_xll.BDP(D497,"MTG_PL_PSA_1M ")</f>
        <v>149.5</v>
      </c>
      <c r="N497" cm="1">
        <f t="array" ref="N497">_xll.BDP(D497,"MTG_PL_PSA_3M ")</f>
        <v>213.7</v>
      </c>
      <c r="O497" cm="1">
        <f t="array" ref="O497">_xll.BDP(D497,"MTG_PL_PSA_6M ")</f>
        <v>188</v>
      </c>
    </row>
    <row r="498" spans="1:15" x14ac:dyDescent="0.25">
      <c r="A498" t="s">
        <v>1506</v>
      </c>
      <c r="B498" t="s">
        <v>1507</v>
      </c>
      <c r="C498" t="s">
        <v>100</v>
      </c>
      <c r="D498" t="s">
        <v>1508</v>
      </c>
      <c r="E498" t="str" cm="1">
        <f t="array" ref="E498">_xll.BDH($D498,"MTG_GEN_CPR_3M","20090331","20090331","Dts=H")</f>
        <v>#N/A Invalid Field</v>
      </c>
      <c r="F498" t="str" cm="1">
        <f t="array" ref="F498">_xll.BDH($D498,"MTG_GEN_CPR_6M","20090331","20090331","Dts=H")</f>
        <v>#N/A Invalid Field</v>
      </c>
      <c r="G498" t="str" cm="1">
        <f t="array" ref="G498">_xll.BDH($D498,"MTG_GEN_CPR_12M","20090331","20090331","Dts=H")</f>
        <v>#N/A Invalid Field</v>
      </c>
      <c r="H498" t="str" cm="1">
        <f t="array" ref="H498">_xll.BDH($D498,"MTG_GEN_CPR_3M","20090610","20090610","Dts=H")</f>
        <v>#N/A Invalid Field</v>
      </c>
      <c r="I498" t="str" cm="1">
        <f t="array" ref="I498">_xll.BDH($D498,"MTG_GEN_CPR_6M","20090610","20090610","Dts=H")</f>
        <v>#N/A Invalid Field</v>
      </c>
      <c r="J498" t="str" cm="1">
        <f t="array" ref="J498">_xll.BDH($D498,"MTG_GEN_CPR_12M","20090610","20090610","Dts=H")</f>
        <v>#N/A Invalid Field</v>
      </c>
      <c r="K498" t="str" cm="1">
        <f t="array" ref="K498">_xll.BDP(D498,"MTG_PREPAY_TYP")</f>
        <v>#N/A N/A</v>
      </c>
      <c r="L498" t="str" cm="1">
        <f t="array" ref="L498">_xll.BDP(D498,"MTG_PREPAY_SPEED")</f>
        <v>#N/A N/A</v>
      </c>
      <c r="M498" cm="1">
        <f t="array" ref="M498">_xll.BDP(D498,"MTG_PL_PSA_1M ")</f>
        <v>1666.7</v>
      </c>
      <c r="N498" cm="1">
        <f t="array" ref="N498">_xll.BDP(D498,"MTG_PL_PSA_3M ")</f>
        <v>1666.7</v>
      </c>
      <c r="O498" cm="1">
        <f t="array" ref="O498">_xll.BDP(D498,"MTG_PL_PSA_6M ")</f>
        <v>1666.7</v>
      </c>
    </row>
    <row r="499" spans="1:15" x14ac:dyDescent="0.25">
      <c r="A499" t="s">
        <v>1509</v>
      </c>
      <c r="B499" t="s">
        <v>1510</v>
      </c>
      <c r="C499" t="s">
        <v>100</v>
      </c>
      <c r="D499" t="s">
        <v>1511</v>
      </c>
      <c r="E499" t="str" cm="1">
        <f t="array" ref="E499">_xll.BDH($D499,"MTG_GEN_CPR_3M","20090331","20090331","Dts=H")</f>
        <v>#N/A Invalid Field</v>
      </c>
      <c r="F499" t="str" cm="1">
        <f t="array" ref="F499">_xll.BDH($D499,"MTG_GEN_CPR_6M","20090331","20090331","Dts=H")</f>
        <v>#N/A Invalid Field</v>
      </c>
      <c r="G499" t="str" cm="1">
        <f t="array" ref="G499">_xll.BDH($D499,"MTG_GEN_CPR_12M","20090331","20090331","Dts=H")</f>
        <v>#N/A Invalid Field</v>
      </c>
      <c r="H499" t="str" cm="1">
        <f t="array" ref="H499">_xll.BDH($D499,"MTG_GEN_CPR_3M","20090610","20090610","Dts=H")</f>
        <v>#N/A Invalid Field</v>
      </c>
      <c r="I499" t="str" cm="1">
        <f t="array" ref="I499">_xll.BDH($D499,"MTG_GEN_CPR_6M","20090610","20090610","Dts=H")</f>
        <v>#N/A Invalid Field</v>
      </c>
      <c r="J499" t="str" cm="1">
        <f t="array" ref="J499">_xll.BDH($D499,"MTG_GEN_CPR_12M","20090610","20090610","Dts=H")</f>
        <v>#N/A Invalid Field</v>
      </c>
      <c r="K499" t="str" cm="1">
        <f t="array" ref="K499">_xll.BDP(D499,"MTG_PREPAY_TYP")</f>
        <v>PSA</v>
      </c>
      <c r="L499" cm="1">
        <f t="array" ref="L499">_xll.BDP(D499,"MTG_PREPAY_SPEED")</f>
        <v>123</v>
      </c>
      <c r="M499" cm="1">
        <f t="array" ref="M499">_xll.BDP(D499,"MTG_PL_PSA_1M ")</f>
        <v>1.1000000000000001</v>
      </c>
      <c r="N499" cm="1">
        <f t="array" ref="N499">_xll.BDP(D499,"MTG_PL_PSA_3M ")</f>
        <v>1</v>
      </c>
      <c r="O499" cm="1">
        <f t="array" ref="O499">_xll.BDP(D499,"MTG_PL_PSA_6M ")</f>
        <v>1</v>
      </c>
    </row>
    <row r="500" spans="1:15" x14ac:dyDescent="0.25">
      <c r="A500" t="s">
        <v>1512</v>
      </c>
      <c r="B500" t="s">
        <v>1513</v>
      </c>
      <c r="C500" t="s">
        <v>100</v>
      </c>
      <c r="D500" t="s">
        <v>1514</v>
      </c>
      <c r="E500" t="str" cm="1">
        <f t="array" ref="E500">_xll.BDH($D500,"MTG_GEN_CPR_3M","20090331","20090331","Dts=H")</f>
        <v>#N/A Invalid Field</v>
      </c>
      <c r="F500" t="str" cm="1">
        <f t="array" ref="F500">_xll.BDH($D500,"MTG_GEN_CPR_6M","20090331","20090331","Dts=H")</f>
        <v>#N/A Invalid Field</v>
      </c>
      <c r="G500" t="str" cm="1">
        <f t="array" ref="G500">_xll.BDH($D500,"MTG_GEN_CPR_12M","20090331","20090331","Dts=H")</f>
        <v>#N/A Invalid Field</v>
      </c>
      <c r="H500" t="str" cm="1">
        <f t="array" ref="H500">_xll.BDH($D500,"MTG_GEN_CPR_3M","20090610","20090610","Dts=H")</f>
        <v>#N/A Invalid Field</v>
      </c>
      <c r="I500" t="str" cm="1">
        <f t="array" ref="I500">_xll.BDH($D500,"MTG_GEN_CPR_6M","20090610","20090610","Dts=H")</f>
        <v>#N/A Invalid Field</v>
      </c>
      <c r="J500" t="str" cm="1">
        <f t="array" ref="J500">_xll.BDH($D500,"MTG_GEN_CPR_12M","20090610","20090610","Dts=H")</f>
        <v>#N/A Invalid Field</v>
      </c>
      <c r="K500" t="str" cm="1">
        <f t="array" ref="K500">_xll.BDP(D500,"MTG_PREPAY_TYP")</f>
        <v>PSA</v>
      </c>
      <c r="L500" cm="1">
        <f t="array" ref="L500">_xll.BDP(D500,"MTG_PREPAY_SPEED")</f>
        <v>123</v>
      </c>
      <c r="M500" cm="1">
        <f t="array" ref="M500">_xll.BDP(D500,"MTG_PL_PSA_1M ")</f>
        <v>5</v>
      </c>
      <c r="N500" cm="1">
        <f t="array" ref="N500">_xll.BDP(D500,"MTG_PL_PSA_3M ")</f>
        <v>9.1999999999999993</v>
      </c>
      <c r="O500" cm="1">
        <f t="array" ref="O500">_xll.BDP(D500,"MTG_PL_PSA_6M ")</f>
        <v>10.1</v>
      </c>
    </row>
    <row r="501" spans="1:15" x14ac:dyDescent="0.25">
      <c r="A501" t="s">
        <v>1515</v>
      </c>
      <c r="B501" t="s">
        <v>1516</v>
      </c>
      <c r="C501" t="s">
        <v>100</v>
      </c>
      <c r="D501" t="s">
        <v>1517</v>
      </c>
      <c r="E501" t="str" cm="1">
        <f t="array" ref="E501">_xll.BDH($D501,"MTG_GEN_CPR_3M","20090331","20090331","Dts=H")</f>
        <v>#N/A Invalid Field</v>
      </c>
      <c r="F501" t="str" cm="1">
        <f t="array" ref="F501">_xll.BDH($D501,"MTG_GEN_CPR_6M","20090331","20090331","Dts=H")</f>
        <v>#N/A Invalid Field</v>
      </c>
      <c r="G501" t="str" cm="1">
        <f t="array" ref="G501">_xll.BDH($D501,"MTG_GEN_CPR_12M","20090331","20090331","Dts=H")</f>
        <v>#N/A Invalid Field</v>
      </c>
      <c r="H501" t="str" cm="1">
        <f t="array" ref="H501">_xll.BDH($D501,"MTG_GEN_CPR_3M","20090610","20090610","Dts=H")</f>
        <v>#N/A Invalid Field</v>
      </c>
      <c r="I501" t="str" cm="1">
        <f t="array" ref="I501">_xll.BDH($D501,"MTG_GEN_CPR_6M","20090610","20090610","Dts=H")</f>
        <v>#N/A Invalid Field</v>
      </c>
      <c r="J501" t="str" cm="1">
        <f t="array" ref="J501">_xll.BDH($D501,"MTG_GEN_CPR_12M","20090610","20090610","Dts=H")</f>
        <v>#N/A Invalid Field</v>
      </c>
      <c r="K501" t="str" cm="1">
        <f t="array" ref="K501">_xll.BDP(D501,"MTG_PREPAY_TYP")</f>
        <v>PSA</v>
      </c>
      <c r="L501" cm="1">
        <f t="array" ref="L501">_xll.BDP(D501,"MTG_PREPAY_SPEED")</f>
        <v>123</v>
      </c>
      <c r="M501" cm="1">
        <f t="array" ref="M501">_xll.BDP(D501,"MTG_PL_PSA_1M ")</f>
        <v>6.1</v>
      </c>
      <c r="N501" cm="1">
        <f t="array" ref="N501">_xll.BDP(D501,"MTG_PL_PSA_3M ")</f>
        <v>5.9</v>
      </c>
      <c r="O501" cm="1">
        <f t="array" ref="O501">_xll.BDP(D501,"MTG_PL_PSA_6M ")</f>
        <v>5.7</v>
      </c>
    </row>
    <row r="502" spans="1:15" x14ac:dyDescent="0.25">
      <c r="A502" t="s">
        <v>1518</v>
      </c>
      <c r="B502" t="s">
        <v>1519</v>
      </c>
      <c r="C502" t="s">
        <v>100</v>
      </c>
      <c r="D502" t="s">
        <v>1520</v>
      </c>
      <c r="E502" t="str" cm="1">
        <f t="array" ref="E502">_xll.BDH($D502,"MTG_GEN_CPR_3M","20090331","20090331","Dts=H")</f>
        <v>#N/A Invalid Field</v>
      </c>
      <c r="F502" t="str" cm="1">
        <f t="array" ref="F502">_xll.BDH($D502,"MTG_GEN_CPR_6M","20090331","20090331","Dts=H")</f>
        <v>#N/A Invalid Field</v>
      </c>
      <c r="G502" t="str" cm="1">
        <f t="array" ref="G502">_xll.BDH($D502,"MTG_GEN_CPR_12M","20090331","20090331","Dts=H")</f>
        <v>#N/A Invalid Field</v>
      </c>
      <c r="H502" t="str" cm="1">
        <f t="array" ref="H502">_xll.BDH($D502,"MTG_GEN_CPR_3M","20090610","20090610","Dts=H")</f>
        <v>#N/A Invalid Field</v>
      </c>
      <c r="I502" t="str" cm="1">
        <f t="array" ref="I502">_xll.BDH($D502,"MTG_GEN_CPR_6M","20090610","20090610","Dts=H")</f>
        <v>#N/A Invalid Field</v>
      </c>
      <c r="J502" t="str" cm="1">
        <f t="array" ref="J502">_xll.BDH($D502,"MTG_GEN_CPR_12M","20090610","20090610","Dts=H")</f>
        <v>#N/A Invalid Field</v>
      </c>
      <c r="K502" t="str" cm="1">
        <f t="array" ref="K502">_xll.BDP(D502,"MTG_PREPAY_TYP")</f>
        <v>#N/A N/A</v>
      </c>
      <c r="L502" t="str" cm="1">
        <f t="array" ref="L502">_xll.BDP(D502,"MTG_PREPAY_SPEED")</f>
        <v>#N/A N/A</v>
      </c>
      <c r="M502" cm="1">
        <f t="array" ref="M502">_xll.BDP(D502,"MTG_PL_PSA_1M ")</f>
        <v>1666.7</v>
      </c>
      <c r="N502" cm="1">
        <f t="array" ref="N502">_xll.BDP(D502,"MTG_PL_PSA_3M ")</f>
        <v>1666.7</v>
      </c>
      <c r="O502" cm="1">
        <f t="array" ref="O502">_xll.BDP(D502,"MTG_PL_PSA_6M ")</f>
        <v>1666.7</v>
      </c>
    </row>
    <row r="503" spans="1:15" x14ac:dyDescent="0.25">
      <c r="A503" t="s">
        <v>1521</v>
      </c>
      <c r="B503" t="s">
        <v>1522</v>
      </c>
      <c r="C503" t="s">
        <v>100</v>
      </c>
      <c r="D503" t="s">
        <v>1523</v>
      </c>
      <c r="E503" t="str" cm="1">
        <f t="array" ref="E503">_xll.BDH($D503,"MTG_GEN_CPR_3M","20090331","20090331","Dts=H")</f>
        <v>#N/A Invalid Field</v>
      </c>
      <c r="F503" t="str" cm="1">
        <f t="array" ref="F503">_xll.BDH($D503,"MTG_GEN_CPR_6M","20090331","20090331","Dts=H")</f>
        <v>#N/A Invalid Field</v>
      </c>
      <c r="G503" t="str" cm="1">
        <f t="array" ref="G503">_xll.BDH($D503,"MTG_GEN_CPR_12M","20090331","20090331","Dts=H")</f>
        <v>#N/A Invalid Field</v>
      </c>
      <c r="H503" t="str" cm="1">
        <f t="array" ref="H503">_xll.BDH($D503,"MTG_GEN_CPR_3M","20090610","20090610","Dts=H")</f>
        <v>#N/A Invalid Field</v>
      </c>
      <c r="I503" t="str" cm="1">
        <f t="array" ref="I503">_xll.BDH($D503,"MTG_GEN_CPR_6M","20090610","20090610","Dts=H")</f>
        <v>#N/A Invalid Field</v>
      </c>
      <c r="J503" t="str" cm="1">
        <f t="array" ref="J503">_xll.BDH($D503,"MTG_GEN_CPR_12M","20090610","20090610","Dts=H")</f>
        <v>#N/A Invalid Field</v>
      </c>
      <c r="K503" t="str" cm="1">
        <f t="array" ref="K503">_xll.BDP(D503,"MTG_PREPAY_TYP")</f>
        <v>PSA</v>
      </c>
      <c r="L503" cm="1">
        <f t="array" ref="L503">_xll.BDP(D503,"MTG_PREPAY_SPEED")</f>
        <v>123</v>
      </c>
      <c r="M503" cm="1">
        <f t="array" ref="M503">_xll.BDP(D503,"MTG_PL_PSA_1M ")</f>
        <v>21.7</v>
      </c>
      <c r="N503" cm="1">
        <f t="array" ref="N503">_xll.BDP(D503,"MTG_PL_PSA_3M ")</f>
        <v>20.5</v>
      </c>
      <c r="O503" cm="1">
        <f t="array" ref="O503">_xll.BDP(D503,"MTG_PL_PSA_6M ")</f>
        <v>34.4</v>
      </c>
    </row>
    <row r="504" spans="1:15" x14ac:dyDescent="0.25">
      <c r="A504" t="s">
        <v>1524</v>
      </c>
      <c r="B504" t="s">
        <v>1525</v>
      </c>
      <c r="C504" t="s">
        <v>100</v>
      </c>
      <c r="D504" t="s">
        <v>1526</v>
      </c>
      <c r="E504" t="str" cm="1">
        <f t="array" ref="E504">_xll.BDH($D504,"MTG_GEN_CPR_3M","20090331","20090331","Dts=H")</f>
        <v>#N/A Invalid Field</v>
      </c>
      <c r="F504" t="str" cm="1">
        <f t="array" ref="F504">_xll.BDH($D504,"MTG_GEN_CPR_6M","20090331","20090331","Dts=H")</f>
        <v>#N/A Invalid Field</v>
      </c>
      <c r="G504" t="str" cm="1">
        <f t="array" ref="G504">_xll.BDH($D504,"MTG_GEN_CPR_12M","20090331","20090331","Dts=H")</f>
        <v>#N/A Invalid Field</v>
      </c>
      <c r="H504" t="str" cm="1">
        <f t="array" ref="H504">_xll.BDH($D504,"MTG_GEN_CPR_3M","20090610","20090610","Dts=H")</f>
        <v>#N/A Invalid Field</v>
      </c>
      <c r="I504" t="str" cm="1">
        <f t="array" ref="I504">_xll.BDH($D504,"MTG_GEN_CPR_6M","20090610","20090610","Dts=H")</f>
        <v>#N/A Invalid Field</v>
      </c>
      <c r="J504" t="str" cm="1">
        <f t="array" ref="J504">_xll.BDH($D504,"MTG_GEN_CPR_12M","20090610","20090610","Dts=H")</f>
        <v>#N/A Invalid Field</v>
      </c>
      <c r="K504" t="str" cm="1">
        <f t="array" ref="K504">_xll.BDP(D504,"MTG_PREPAY_TYP")</f>
        <v>PSA</v>
      </c>
      <c r="L504" cm="1">
        <f t="array" ref="L504">_xll.BDP(D504,"MTG_PREPAY_SPEED")</f>
        <v>123</v>
      </c>
      <c r="M504" cm="1">
        <f t="array" ref="M504">_xll.BDP(D504,"MTG_PL_PSA_1M ")</f>
        <v>0</v>
      </c>
      <c r="N504" cm="1">
        <f t="array" ref="N504">_xll.BDP(D504,"MTG_PL_PSA_3M ")</f>
        <v>0</v>
      </c>
      <c r="O504" cm="1">
        <f t="array" ref="O504">_xll.BDP(D504,"MTG_PL_PSA_6M ")</f>
        <v>0</v>
      </c>
    </row>
    <row r="505" spans="1:15" x14ac:dyDescent="0.25">
      <c r="A505" t="s">
        <v>1527</v>
      </c>
      <c r="B505" t="s">
        <v>1528</v>
      </c>
      <c r="C505" t="s">
        <v>100</v>
      </c>
      <c r="D505" t="s">
        <v>1529</v>
      </c>
      <c r="E505" t="str" cm="1">
        <f t="array" ref="E505">_xll.BDH($D505,"MTG_GEN_CPR_3M","20090331","20090331","Dts=H")</f>
        <v>#N/A Invalid Field</v>
      </c>
      <c r="F505" t="str" cm="1">
        <f t="array" ref="F505">_xll.BDH($D505,"MTG_GEN_CPR_6M","20090331","20090331","Dts=H")</f>
        <v>#N/A Invalid Field</v>
      </c>
      <c r="G505" t="str" cm="1">
        <f t="array" ref="G505">_xll.BDH($D505,"MTG_GEN_CPR_12M","20090331","20090331","Dts=H")</f>
        <v>#N/A Invalid Field</v>
      </c>
      <c r="H505" t="str" cm="1">
        <f t="array" ref="H505">_xll.BDH($D505,"MTG_GEN_CPR_3M","20090610","20090610","Dts=H")</f>
        <v>#N/A Invalid Field</v>
      </c>
      <c r="I505" t="str" cm="1">
        <f t="array" ref="I505">_xll.BDH($D505,"MTG_GEN_CPR_6M","20090610","20090610","Dts=H")</f>
        <v>#N/A Invalid Field</v>
      </c>
      <c r="J505" t="str" cm="1">
        <f t="array" ref="J505">_xll.BDH($D505,"MTG_GEN_CPR_12M","20090610","20090610","Dts=H")</f>
        <v>#N/A Invalid Field</v>
      </c>
      <c r="K505" t="str" cm="1">
        <f t="array" ref="K505">_xll.BDP(D505,"MTG_PREPAY_TYP")</f>
        <v>#N/A N/A</v>
      </c>
      <c r="L505" t="str" cm="1">
        <f t="array" ref="L505">_xll.BDP(D505,"MTG_PREPAY_SPEED")</f>
        <v>#N/A N/A</v>
      </c>
      <c r="M505" cm="1">
        <f t="array" ref="M505">_xll.BDP(D505,"MTG_PL_PSA_1M ")</f>
        <v>1666.7</v>
      </c>
      <c r="N505" cm="1">
        <f t="array" ref="N505">_xll.BDP(D505,"MTG_PL_PSA_3M ")</f>
        <v>1666.7</v>
      </c>
      <c r="O505" cm="1">
        <f t="array" ref="O505">_xll.BDP(D505,"MTG_PL_PSA_6M ")</f>
        <v>1666.7</v>
      </c>
    </row>
    <row r="506" spans="1:15" x14ac:dyDescent="0.25">
      <c r="A506" t="s">
        <v>1530</v>
      </c>
      <c r="B506" t="s">
        <v>1531</v>
      </c>
      <c r="C506" t="s">
        <v>100</v>
      </c>
      <c r="D506" t="s">
        <v>1532</v>
      </c>
      <c r="E506" t="str" cm="1">
        <f t="array" ref="E506">_xll.BDH($D506,"MTG_GEN_CPR_3M","20090331","20090331","Dts=H")</f>
        <v>#N/A Invalid Field</v>
      </c>
      <c r="F506" t="str" cm="1">
        <f t="array" ref="F506">_xll.BDH($D506,"MTG_GEN_CPR_6M","20090331","20090331","Dts=H")</f>
        <v>#N/A Invalid Field</v>
      </c>
      <c r="G506" t="str" cm="1">
        <f t="array" ref="G506">_xll.BDH($D506,"MTG_GEN_CPR_12M","20090331","20090331","Dts=H")</f>
        <v>#N/A Invalid Field</v>
      </c>
      <c r="H506" t="str" cm="1">
        <f t="array" ref="H506">_xll.BDH($D506,"MTG_GEN_CPR_3M","20090610","20090610","Dts=H")</f>
        <v>#N/A Invalid Field</v>
      </c>
      <c r="I506" t="str" cm="1">
        <f t="array" ref="I506">_xll.BDH($D506,"MTG_GEN_CPR_6M","20090610","20090610","Dts=H")</f>
        <v>#N/A Invalid Field</v>
      </c>
      <c r="J506" t="str" cm="1">
        <f t="array" ref="J506">_xll.BDH($D506,"MTG_GEN_CPR_12M","20090610","20090610","Dts=H")</f>
        <v>#N/A Invalid Field</v>
      </c>
      <c r="K506" t="str" cm="1">
        <f t="array" ref="K506">_xll.BDP(D506,"MTG_PREPAY_TYP")</f>
        <v>PSA</v>
      </c>
      <c r="L506" cm="1">
        <f t="array" ref="L506">_xll.BDP(D506,"MTG_PREPAY_SPEED")</f>
        <v>139</v>
      </c>
      <c r="M506" cm="1">
        <f t="array" ref="M506">_xll.BDP(D506,"MTG_PL_PSA_1M ")</f>
        <v>1.6</v>
      </c>
      <c r="N506" cm="1">
        <f t="array" ref="N506">_xll.BDP(D506,"MTG_PL_PSA_3M ")</f>
        <v>70.2</v>
      </c>
      <c r="O506" cm="1">
        <f t="array" ref="O506">_xll.BDP(D506,"MTG_PL_PSA_6M ")</f>
        <v>74.900000000000006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2D32-E069-4145-92B4-45C8C6B41E65}">
  <dimension ref="A1:P506"/>
  <sheetViews>
    <sheetView tabSelected="1" workbookViewId="0">
      <selection activeCell="T12" sqref="T12"/>
    </sheetView>
  </sheetViews>
  <sheetFormatPr defaultRowHeight="15" x14ac:dyDescent="0.25"/>
  <cols>
    <col min="1" max="1" width="22" customWidth="1"/>
    <col min="2" max="3" width="17" customWidth="1"/>
    <col min="4" max="4" width="17.85546875" bestFit="1" customWidth="1"/>
    <col min="5" max="6" width="28" hidden="1" customWidth="1"/>
    <col min="7" max="7" width="29" hidden="1" customWidth="1"/>
    <col min="8" max="9" width="28" hidden="1" customWidth="1"/>
    <col min="10" max="10" width="29" hidden="1" customWidth="1"/>
    <col min="11" max="11" width="17.7109375" bestFit="1" customWidth="1"/>
  </cols>
  <sheetData>
    <row r="1" spans="1:1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1540</v>
      </c>
      <c r="F2" t="s">
        <v>1540</v>
      </c>
      <c r="G2" t="s">
        <v>1540</v>
      </c>
      <c r="H2" t="s">
        <v>1540</v>
      </c>
      <c r="I2" t="s">
        <v>1540</v>
      </c>
      <c r="J2" t="s">
        <v>1540</v>
      </c>
      <c r="K2" t="s">
        <v>1538</v>
      </c>
      <c r="L2">
        <v>151</v>
      </c>
      <c r="M2">
        <v>407.4</v>
      </c>
      <c r="N2">
        <v>550.70000000000005</v>
      </c>
      <c r="O2">
        <v>740.5</v>
      </c>
    </row>
    <row r="3" spans="1:15" x14ac:dyDescent="0.25">
      <c r="A3" t="s">
        <v>20</v>
      </c>
      <c r="B3" t="s">
        <v>21</v>
      </c>
      <c r="C3" t="s">
        <v>18</v>
      </c>
      <c r="D3" t="s">
        <v>22</v>
      </c>
      <c r="E3" t="s">
        <v>1540</v>
      </c>
      <c r="F3" t="s">
        <v>1540</v>
      </c>
      <c r="G3" t="s">
        <v>1540</v>
      </c>
      <c r="H3" t="s">
        <v>1540</v>
      </c>
      <c r="I3" t="s">
        <v>1540</v>
      </c>
      <c r="J3" t="s">
        <v>1540</v>
      </c>
      <c r="K3" t="s">
        <v>1538</v>
      </c>
      <c r="L3">
        <v>115</v>
      </c>
      <c r="M3">
        <v>299</v>
      </c>
      <c r="N3">
        <v>400.4</v>
      </c>
      <c r="O3">
        <v>484.4</v>
      </c>
    </row>
    <row r="4" spans="1:15" x14ac:dyDescent="0.25">
      <c r="A4" t="s">
        <v>23</v>
      </c>
      <c r="B4" t="s">
        <v>24</v>
      </c>
      <c r="C4" t="s">
        <v>18</v>
      </c>
      <c r="D4" t="s">
        <v>25</v>
      </c>
      <c r="E4" t="s">
        <v>1540</v>
      </c>
      <c r="F4" t="s">
        <v>1540</v>
      </c>
      <c r="G4" t="s">
        <v>1540</v>
      </c>
      <c r="H4" t="s">
        <v>1540</v>
      </c>
      <c r="I4" t="s">
        <v>1540</v>
      </c>
      <c r="J4" t="s">
        <v>1540</v>
      </c>
      <c r="K4" t="s">
        <v>1538</v>
      </c>
      <c r="L4">
        <v>195</v>
      </c>
      <c r="M4">
        <v>2281.1</v>
      </c>
      <c r="N4">
        <v>2471</v>
      </c>
      <c r="O4">
        <v>2619.4</v>
      </c>
    </row>
    <row r="5" spans="1:15" x14ac:dyDescent="0.25">
      <c r="A5" t="s">
        <v>26</v>
      </c>
      <c r="B5" t="s">
        <v>27</v>
      </c>
      <c r="C5" t="s">
        <v>18</v>
      </c>
      <c r="D5" t="s">
        <v>28</v>
      </c>
      <c r="E5" t="s">
        <v>1540</v>
      </c>
      <c r="F5" t="s">
        <v>1540</v>
      </c>
      <c r="G5" t="s">
        <v>1540</v>
      </c>
      <c r="H5" t="s">
        <v>1540</v>
      </c>
      <c r="I5" t="s">
        <v>1540</v>
      </c>
      <c r="J5" t="s">
        <v>1540</v>
      </c>
      <c r="K5" t="s">
        <v>1538</v>
      </c>
      <c r="L5">
        <v>195</v>
      </c>
      <c r="M5">
        <v>2281.1</v>
      </c>
      <c r="N5">
        <v>2471</v>
      </c>
      <c r="O5">
        <v>2619.4</v>
      </c>
    </row>
    <row r="6" spans="1:15" x14ac:dyDescent="0.25">
      <c r="A6" t="s">
        <v>29</v>
      </c>
      <c r="B6" t="s">
        <v>30</v>
      </c>
      <c r="C6" t="s">
        <v>18</v>
      </c>
      <c r="D6" t="s">
        <v>31</v>
      </c>
      <c r="E6" t="s">
        <v>1540</v>
      </c>
      <c r="F6" t="s">
        <v>1540</v>
      </c>
      <c r="G6" t="s">
        <v>1540</v>
      </c>
      <c r="H6" t="s">
        <v>1540</v>
      </c>
      <c r="I6" t="s">
        <v>1540</v>
      </c>
      <c r="J6" t="s">
        <v>1540</v>
      </c>
      <c r="K6" t="s">
        <v>1538</v>
      </c>
      <c r="L6">
        <v>129</v>
      </c>
      <c r="M6">
        <v>551.1</v>
      </c>
      <c r="N6">
        <v>721.9</v>
      </c>
      <c r="O6">
        <v>887.4</v>
      </c>
    </row>
    <row r="7" spans="1:15" x14ac:dyDescent="0.25">
      <c r="A7" t="s">
        <v>32</v>
      </c>
      <c r="B7" t="s">
        <v>33</v>
      </c>
      <c r="C7" t="s">
        <v>18</v>
      </c>
      <c r="D7" t="s">
        <v>34</v>
      </c>
      <c r="E7" t="s">
        <v>1540</v>
      </c>
      <c r="F7" t="s">
        <v>1540</v>
      </c>
      <c r="G7" t="s">
        <v>1540</v>
      </c>
      <c r="H7" t="s">
        <v>1540</v>
      </c>
      <c r="I7" t="s">
        <v>1540</v>
      </c>
      <c r="J7" t="s">
        <v>1540</v>
      </c>
      <c r="K7" t="s">
        <v>1538</v>
      </c>
      <c r="L7">
        <v>129</v>
      </c>
      <c r="M7">
        <v>551.1</v>
      </c>
      <c r="N7">
        <v>721.9</v>
      </c>
      <c r="O7">
        <v>887.4</v>
      </c>
    </row>
    <row r="8" spans="1:15" x14ac:dyDescent="0.25">
      <c r="A8" t="s">
        <v>35</v>
      </c>
      <c r="B8" t="s">
        <v>36</v>
      </c>
      <c r="C8" t="s">
        <v>18</v>
      </c>
      <c r="D8" t="s">
        <v>37</v>
      </c>
      <c r="E8" t="s">
        <v>1540</v>
      </c>
      <c r="F8" t="s">
        <v>1540</v>
      </c>
      <c r="G8" t="s">
        <v>1540</v>
      </c>
      <c r="H8" t="s">
        <v>1540</v>
      </c>
      <c r="I8" t="s">
        <v>1540</v>
      </c>
      <c r="J8" t="s">
        <v>1540</v>
      </c>
      <c r="K8" t="s">
        <v>1538</v>
      </c>
      <c r="L8">
        <v>204</v>
      </c>
      <c r="M8">
        <v>613</v>
      </c>
      <c r="N8">
        <v>755.6</v>
      </c>
      <c r="O8">
        <v>1075.9000000000001</v>
      </c>
    </row>
    <row r="9" spans="1:15" x14ac:dyDescent="0.25">
      <c r="A9" t="s">
        <v>38</v>
      </c>
      <c r="B9" t="s">
        <v>39</v>
      </c>
      <c r="C9" t="s">
        <v>18</v>
      </c>
      <c r="D9" t="s">
        <v>40</v>
      </c>
      <c r="E9" t="s">
        <v>1540</v>
      </c>
      <c r="F9" t="s">
        <v>1540</v>
      </c>
      <c r="G9" t="s">
        <v>1540</v>
      </c>
      <c r="H9" t="s">
        <v>1540</v>
      </c>
      <c r="I9" t="s">
        <v>1540</v>
      </c>
      <c r="J9" t="s">
        <v>1540</v>
      </c>
      <c r="K9" t="s">
        <v>1538</v>
      </c>
      <c r="L9">
        <v>161</v>
      </c>
      <c r="M9">
        <v>1587.9</v>
      </c>
      <c r="N9">
        <v>1732.9</v>
      </c>
      <c r="O9">
        <v>1907</v>
      </c>
    </row>
    <row r="10" spans="1:15" x14ac:dyDescent="0.25">
      <c r="A10" t="s">
        <v>41</v>
      </c>
      <c r="B10" t="s">
        <v>42</v>
      </c>
      <c r="C10" t="s">
        <v>18</v>
      </c>
      <c r="D10" t="s">
        <v>43</v>
      </c>
      <c r="E10" t="s">
        <v>1540</v>
      </c>
      <c r="F10" t="s">
        <v>1540</v>
      </c>
      <c r="G10" t="s">
        <v>1540</v>
      </c>
      <c r="H10" t="s">
        <v>1540</v>
      </c>
      <c r="I10" t="s">
        <v>1540</v>
      </c>
      <c r="J10" t="s">
        <v>1540</v>
      </c>
      <c r="K10" t="s">
        <v>1538</v>
      </c>
      <c r="L10">
        <v>209</v>
      </c>
      <c r="M10">
        <v>331.2</v>
      </c>
      <c r="N10">
        <v>383.4</v>
      </c>
      <c r="O10">
        <v>438.7</v>
      </c>
    </row>
    <row r="11" spans="1:15" x14ac:dyDescent="0.25">
      <c r="A11" t="s">
        <v>44</v>
      </c>
      <c r="B11" t="s">
        <v>45</v>
      </c>
      <c r="C11" t="s">
        <v>18</v>
      </c>
      <c r="D11" t="s">
        <v>46</v>
      </c>
      <c r="E11" t="s">
        <v>1540</v>
      </c>
      <c r="F11" t="s">
        <v>1540</v>
      </c>
      <c r="G11" t="s">
        <v>1540</v>
      </c>
      <c r="H11" t="s">
        <v>1540</v>
      </c>
      <c r="I11" t="s">
        <v>1540</v>
      </c>
      <c r="J11" t="s">
        <v>1540</v>
      </c>
      <c r="K11" t="s">
        <v>1538</v>
      </c>
      <c r="L11">
        <v>174</v>
      </c>
      <c r="M11">
        <v>2357</v>
      </c>
      <c r="N11">
        <v>2574.4</v>
      </c>
      <c r="O11">
        <v>2480.1</v>
      </c>
    </row>
    <row r="12" spans="1:15" x14ac:dyDescent="0.25">
      <c r="A12" t="s">
        <v>47</v>
      </c>
      <c r="B12" t="s">
        <v>48</v>
      </c>
      <c r="C12" t="s">
        <v>18</v>
      </c>
      <c r="D12" t="s">
        <v>49</v>
      </c>
      <c r="E12" t="s">
        <v>1540</v>
      </c>
      <c r="F12" t="s">
        <v>1540</v>
      </c>
      <c r="G12" t="s">
        <v>1540</v>
      </c>
      <c r="H12" t="s">
        <v>1540</v>
      </c>
      <c r="I12" t="s">
        <v>1540</v>
      </c>
      <c r="J12" t="s">
        <v>1540</v>
      </c>
      <c r="K12" t="s">
        <v>1538</v>
      </c>
      <c r="L12">
        <v>205</v>
      </c>
      <c r="M12">
        <v>738.5</v>
      </c>
      <c r="N12">
        <v>953.1</v>
      </c>
      <c r="O12">
        <v>1460.7</v>
      </c>
    </row>
    <row r="13" spans="1:15" x14ac:dyDescent="0.25">
      <c r="A13" t="s">
        <v>50</v>
      </c>
      <c r="B13" t="s">
        <v>51</v>
      </c>
      <c r="C13" t="s">
        <v>18</v>
      </c>
      <c r="D13" t="s">
        <v>52</v>
      </c>
      <c r="E13" t="s">
        <v>1540</v>
      </c>
      <c r="F13" t="s">
        <v>1540</v>
      </c>
      <c r="G13" t="s">
        <v>1540</v>
      </c>
      <c r="H13" t="s">
        <v>1540</v>
      </c>
      <c r="I13" t="s">
        <v>1540</v>
      </c>
      <c r="J13" t="s">
        <v>1540</v>
      </c>
      <c r="K13" t="s">
        <v>1538</v>
      </c>
      <c r="L13">
        <v>205</v>
      </c>
      <c r="M13">
        <v>738.5</v>
      </c>
      <c r="N13">
        <v>953.1</v>
      </c>
      <c r="O13">
        <v>1460.7</v>
      </c>
    </row>
    <row r="14" spans="1:15" x14ac:dyDescent="0.25">
      <c r="A14" t="s">
        <v>53</v>
      </c>
      <c r="B14" t="s">
        <v>54</v>
      </c>
      <c r="C14" t="s">
        <v>18</v>
      </c>
      <c r="D14" t="s">
        <v>55</v>
      </c>
      <c r="E14" t="s">
        <v>1540</v>
      </c>
      <c r="F14" t="s">
        <v>1540</v>
      </c>
      <c r="G14" t="s">
        <v>1540</v>
      </c>
      <c r="H14" t="s">
        <v>1540</v>
      </c>
      <c r="I14" t="s">
        <v>1540</v>
      </c>
      <c r="J14" t="s">
        <v>1540</v>
      </c>
      <c r="K14" t="s">
        <v>1538</v>
      </c>
      <c r="L14">
        <v>125</v>
      </c>
      <c r="M14">
        <v>122.5</v>
      </c>
      <c r="N14">
        <v>121.8</v>
      </c>
      <c r="O14">
        <v>117</v>
      </c>
    </row>
    <row r="15" spans="1:15" x14ac:dyDescent="0.25">
      <c r="A15" t="s">
        <v>56</v>
      </c>
      <c r="B15" t="s">
        <v>57</v>
      </c>
      <c r="C15" t="s">
        <v>18</v>
      </c>
      <c r="D15" t="s">
        <v>58</v>
      </c>
      <c r="E15" t="s">
        <v>1540</v>
      </c>
      <c r="F15" t="s">
        <v>1540</v>
      </c>
      <c r="G15" t="s">
        <v>1540</v>
      </c>
      <c r="H15" t="s">
        <v>1540</v>
      </c>
      <c r="I15" t="s">
        <v>1540</v>
      </c>
      <c r="J15" t="s">
        <v>1540</v>
      </c>
      <c r="K15" t="s">
        <v>1538</v>
      </c>
      <c r="L15">
        <v>134</v>
      </c>
      <c r="M15">
        <v>134.1</v>
      </c>
      <c r="N15">
        <v>137</v>
      </c>
      <c r="O15">
        <v>128.9</v>
      </c>
    </row>
    <row r="16" spans="1:15" x14ac:dyDescent="0.25">
      <c r="A16" t="s">
        <v>59</v>
      </c>
      <c r="B16" t="s">
        <v>60</v>
      </c>
      <c r="C16" t="s">
        <v>18</v>
      </c>
      <c r="D16" t="s">
        <v>61</v>
      </c>
      <c r="E16" t="s">
        <v>1540</v>
      </c>
      <c r="F16" t="s">
        <v>1540</v>
      </c>
      <c r="G16" t="s">
        <v>1540</v>
      </c>
      <c r="H16" t="s">
        <v>1540</v>
      </c>
      <c r="I16" t="s">
        <v>1540</v>
      </c>
      <c r="J16" t="s">
        <v>1540</v>
      </c>
      <c r="K16" t="s">
        <v>1538</v>
      </c>
      <c r="L16">
        <v>139</v>
      </c>
      <c r="M16">
        <v>152.30000000000001</v>
      </c>
      <c r="N16">
        <v>139.1</v>
      </c>
      <c r="O16">
        <v>134.69999999999999</v>
      </c>
    </row>
    <row r="17" spans="1:15" x14ac:dyDescent="0.25">
      <c r="A17" t="s">
        <v>62</v>
      </c>
      <c r="B17" t="s">
        <v>63</v>
      </c>
      <c r="C17" t="s">
        <v>18</v>
      </c>
      <c r="D17" t="s">
        <v>64</v>
      </c>
      <c r="E17" t="s">
        <v>1540</v>
      </c>
      <c r="F17" t="s">
        <v>1540</v>
      </c>
      <c r="G17" t="s">
        <v>1540</v>
      </c>
      <c r="H17" t="s">
        <v>1540</v>
      </c>
      <c r="I17" t="s">
        <v>1540</v>
      </c>
      <c r="J17" t="s">
        <v>1540</v>
      </c>
      <c r="K17" t="s">
        <v>1538</v>
      </c>
      <c r="L17">
        <v>139</v>
      </c>
      <c r="M17">
        <v>152.30000000000001</v>
      </c>
      <c r="N17">
        <v>139.1</v>
      </c>
      <c r="O17">
        <v>134.69999999999999</v>
      </c>
    </row>
    <row r="18" spans="1:15" x14ac:dyDescent="0.25">
      <c r="A18" t="s">
        <v>65</v>
      </c>
      <c r="B18" t="s">
        <v>66</v>
      </c>
      <c r="C18" t="s">
        <v>18</v>
      </c>
      <c r="D18" t="s">
        <v>67</v>
      </c>
      <c r="E18" t="s">
        <v>1540</v>
      </c>
      <c r="F18" t="s">
        <v>1540</v>
      </c>
      <c r="G18" t="s">
        <v>1540</v>
      </c>
      <c r="H18" t="s">
        <v>1540</v>
      </c>
      <c r="I18" t="s">
        <v>1540</v>
      </c>
      <c r="J18" t="s">
        <v>1540</v>
      </c>
      <c r="K18" t="s">
        <v>1538</v>
      </c>
      <c r="L18">
        <v>173</v>
      </c>
      <c r="M18">
        <v>170.2</v>
      </c>
      <c r="N18">
        <v>130.5</v>
      </c>
      <c r="O18">
        <v>130.19999999999999</v>
      </c>
    </row>
    <row r="19" spans="1:15" x14ac:dyDescent="0.25">
      <c r="A19" t="s">
        <v>68</v>
      </c>
      <c r="B19" t="s">
        <v>69</v>
      </c>
      <c r="C19" t="s">
        <v>18</v>
      </c>
      <c r="D19" t="s">
        <v>70</v>
      </c>
      <c r="E19" t="s">
        <v>1540</v>
      </c>
      <c r="F19" t="s">
        <v>1540</v>
      </c>
      <c r="G19" t="s">
        <v>1540</v>
      </c>
      <c r="H19" t="s">
        <v>1540</v>
      </c>
      <c r="I19" t="s">
        <v>1540</v>
      </c>
      <c r="J19" t="s">
        <v>1540</v>
      </c>
      <c r="K19" t="s">
        <v>1538</v>
      </c>
      <c r="L19">
        <v>304</v>
      </c>
      <c r="M19">
        <v>340.5</v>
      </c>
      <c r="N19">
        <v>279.7</v>
      </c>
      <c r="O19">
        <v>219.8</v>
      </c>
    </row>
    <row r="20" spans="1:15" x14ac:dyDescent="0.25">
      <c r="A20" t="s">
        <v>71</v>
      </c>
      <c r="B20" t="s">
        <v>72</v>
      </c>
      <c r="C20" t="s">
        <v>18</v>
      </c>
      <c r="D20" t="s">
        <v>73</v>
      </c>
      <c r="E20" t="s">
        <v>1540</v>
      </c>
      <c r="F20" t="s">
        <v>1540</v>
      </c>
      <c r="G20" t="s">
        <v>1540</v>
      </c>
      <c r="H20" t="s">
        <v>1540</v>
      </c>
      <c r="I20" t="s">
        <v>1540</v>
      </c>
      <c r="J20" t="s">
        <v>1540</v>
      </c>
      <c r="K20" t="s">
        <v>1538</v>
      </c>
      <c r="L20">
        <v>114</v>
      </c>
      <c r="M20">
        <v>141</v>
      </c>
      <c r="N20">
        <v>140.4</v>
      </c>
      <c r="O20">
        <v>140.5</v>
      </c>
    </row>
    <row r="21" spans="1:15" x14ac:dyDescent="0.25">
      <c r="A21" t="s">
        <v>74</v>
      </c>
      <c r="B21" t="s">
        <v>75</v>
      </c>
      <c r="C21" t="s">
        <v>18</v>
      </c>
      <c r="D21" t="s">
        <v>76</v>
      </c>
      <c r="E21" t="s">
        <v>1540</v>
      </c>
      <c r="F21" t="s">
        <v>1540</v>
      </c>
      <c r="G21" t="s">
        <v>1540</v>
      </c>
      <c r="H21" t="s">
        <v>1540</v>
      </c>
      <c r="I21" t="s">
        <v>1540</v>
      </c>
      <c r="J21" t="s">
        <v>1540</v>
      </c>
      <c r="K21" t="s">
        <v>1538</v>
      </c>
      <c r="L21">
        <v>323</v>
      </c>
      <c r="M21">
        <v>39.299999999999997</v>
      </c>
      <c r="N21">
        <v>152.4</v>
      </c>
      <c r="O21">
        <v>549.29999999999995</v>
      </c>
    </row>
    <row r="22" spans="1:15" x14ac:dyDescent="0.25">
      <c r="A22" t="s">
        <v>77</v>
      </c>
      <c r="B22" t="s">
        <v>78</v>
      </c>
      <c r="C22" t="s">
        <v>18</v>
      </c>
      <c r="D22" t="s">
        <v>79</v>
      </c>
      <c r="E22" t="s">
        <v>1540</v>
      </c>
      <c r="F22" t="s">
        <v>1540</v>
      </c>
      <c r="G22" t="s">
        <v>1540</v>
      </c>
      <c r="H22" t="s">
        <v>1540</v>
      </c>
      <c r="I22" t="s">
        <v>1540</v>
      </c>
      <c r="J22" t="s">
        <v>1540</v>
      </c>
      <c r="K22" t="s">
        <v>1538</v>
      </c>
      <c r="L22">
        <v>124</v>
      </c>
      <c r="M22">
        <v>113.4</v>
      </c>
      <c r="N22">
        <v>209.1</v>
      </c>
      <c r="O22">
        <v>165.7</v>
      </c>
    </row>
    <row r="23" spans="1:15" x14ac:dyDescent="0.25">
      <c r="A23" t="s">
        <v>80</v>
      </c>
      <c r="B23" t="s">
        <v>81</v>
      </c>
      <c r="C23" t="s">
        <v>18</v>
      </c>
      <c r="D23" t="s">
        <v>82</v>
      </c>
      <c r="E23" t="s">
        <v>1540</v>
      </c>
      <c r="F23" t="s">
        <v>1540</v>
      </c>
      <c r="G23" t="s">
        <v>1540</v>
      </c>
      <c r="H23" t="s">
        <v>1540</v>
      </c>
      <c r="I23" t="s">
        <v>1540</v>
      </c>
      <c r="J23" t="s">
        <v>1540</v>
      </c>
      <c r="K23" t="s">
        <v>1538</v>
      </c>
      <c r="L23">
        <v>348</v>
      </c>
      <c r="M23">
        <v>0</v>
      </c>
      <c r="N23">
        <v>98.7</v>
      </c>
      <c r="O23">
        <v>1810.7</v>
      </c>
    </row>
    <row r="24" spans="1:15" x14ac:dyDescent="0.25">
      <c r="A24" t="s">
        <v>83</v>
      </c>
      <c r="B24" t="s">
        <v>84</v>
      </c>
      <c r="C24" t="s">
        <v>18</v>
      </c>
      <c r="D24" t="s">
        <v>85</v>
      </c>
      <c r="E24" t="s">
        <v>1540</v>
      </c>
      <c r="F24" t="s">
        <v>1540</v>
      </c>
      <c r="G24" t="s">
        <v>1540</v>
      </c>
      <c r="H24" t="s">
        <v>1540</v>
      </c>
      <c r="I24" t="s">
        <v>1540</v>
      </c>
      <c r="J24" t="s">
        <v>1540</v>
      </c>
      <c r="K24" t="s">
        <v>1538</v>
      </c>
      <c r="L24">
        <v>163</v>
      </c>
      <c r="M24">
        <v>140.9</v>
      </c>
      <c r="N24">
        <v>138.9</v>
      </c>
      <c r="O24">
        <v>134.1</v>
      </c>
    </row>
    <row r="25" spans="1:15" x14ac:dyDescent="0.25">
      <c r="A25" t="s">
        <v>86</v>
      </c>
      <c r="B25" t="s">
        <v>87</v>
      </c>
      <c r="C25" t="s">
        <v>18</v>
      </c>
      <c r="D25" t="s">
        <v>88</v>
      </c>
      <c r="E25" t="s">
        <v>1540</v>
      </c>
      <c r="F25" t="s">
        <v>1540</v>
      </c>
      <c r="G25" t="s">
        <v>1540</v>
      </c>
      <c r="H25" t="s">
        <v>1540</v>
      </c>
      <c r="I25" t="s">
        <v>1540</v>
      </c>
      <c r="J25" t="s">
        <v>1540</v>
      </c>
      <c r="K25" t="s">
        <v>1538</v>
      </c>
      <c r="L25">
        <v>167</v>
      </c>
      <c r="M25">
        <v>142.80000000000001</v>
      </c>
      <c r="N25">
        <v>143.9</v>
      </c>
      <c r="O25">
        <v>132.69999999999999</v>
      </c>
    </row>
    <row r="26" spans="1:15" x14ac:dyDescent="0.25">
      <c r="A26" t="s">
        <v>89</v>
      </c>
      <c r="B26" t="s">
        <v>90</v>
      </c>
      <c r="C26" t="s">
        <v>18</v>
      </c>
      <c r="D26" t="s">
        <v>91</v>
      </c>
      <c r="E26" t="s">
        <v>1540</v>
      </c>
      <c r="F26" t="s">
        <v>1540</v>
      </c>
      <c r="G26" t="s">
        <v>1540</v>
      </c>
      <c r="H26" t="s">
        <v>1540</v>
      </c>
      <c r="I26" t="s">
        <v>1540</v>
      </c>
      <c r="J26" t="s">
        <v>1540</v>
      </c>
      <c r="K26" t="s">
        <v>1538</v>
      </c>
      <c r="L26">
        <v>160</v>
      </c>
      <c r="M26">
        <v>422.9</v>
      </c>
      <c r="N26">
        <v>458.6</v>
      </c>
      <c r="O26">
        <v>515.70000000000005</v>
      </c>
    </row>
    <row r="27" spans="1:15" x14ac:dyDescent="0.25">
      <c r="A27" t="s">
        <v>92</v>
      </c>
      <c r="B27" t="s">
        <v>93</v>
      </c>
      <c r="C27" t="s">
        <v>18</v>
      </c>
      <c r="D27" t="s">
        <v>94</v>
      </c>
      <c r="E27" t="s">
        <v>1540</v>
      </c>
      <c r="F27" t="s">
        <v>1540</v>
      </c>
      <c r="G27" t="s">
        <v>1540</v>
      </c>
      <c r="H27" t="s">
        <v>1540</v>
      </c>
      <c r="I27" t="s">
        <v>1540</v>
      </c>
      <c r="J27" t="s">
        <v>1540</v>
      </c>
      <c r="K27" t="s">
        <v>1538</v>
      </c>
      <c r="L27">
        <v>187</v>
      </c>
      <c r="M27">
        <v>358.5</v>
      </c>
      <c r="N27">
        <v>372.3</v>
      </c>
      <c r="O27">
        <v>370.4</v>
      </c>
    </row>
    <row r="28" spans="1:15" x14ac:dyDescent="0.25">
      <c r="A28" t="s">
        <v>95</v>
      </c>
      <c r="B28" t="s">
        <v>96</v>
      </c>
      <c r="C28" t="s">
        <v>18</v>
      </c>
      <c r="D28" t="s">
        <v>97</v>
      </c>
      <c r="E28" t="s">
        <v>1540</v>
      </c>
      <c r="F28" t="s">
        <v>1540</v>
      </c>
      <c r="G28" t="s">
        <v>1540</v>
      </c>
      <c r="H28" t="s">
        <v>1540</v>
      </c>
      <c r="I28" t="s">
        <v>1540</v>
      </c>
      <c r="J28" t="s">
        <v>1540</v>
      </c>
      <c r="K28" t="s">
        <v>1538</v>
      </c>
      <c r="L28">
        <v>187</v>
      </c>
      <c r="M28">
        <v>358.5</v>
      </c>
      <c r="N28">
        <v>372.3</v>
      </c>
      <c r="O28">
        <v>370.4</v>
      </c>
    </row>
    <row r="29" spans="1:15" x14ac:dyDescent="0.25">
      <c r="A29" t="s">
        <v>98</v>
      </c>
      <c r="B29" t="s">
        <v>99</v>
      </c>
      <c r="C29" t="s">
        <v>100</v>
      </c>
      <c r="D29" t="s">
        <v>101</v>
      </c>
      <c r="E29" t="s">
        <v>1540</v>
      </c>
      <c r="F29" t="s">
        <v>1540</v>
      </c>
      <c r="G29" t="s">
        <v>1540</v>
      </c>
      <c r="H29" t="s">
        <v>1540</v>
      </c>
      <c r="I29" t="s">
        <v>1540</v>
      </c>
      <c r="J29" t="s">
        <v>1540</v>
      </c>
      <c r="K29" t="s">
        <v>1538</v>
      </c>
      <c r="L29">
        <v>140</v>
      </c>
      <c r="M29">
        <v>158.30000000000001</v>
      </c>
      <c r="N29">
        <v>156.1</v>
      </c>
      <c r="O29">
        <v>168.1</v>
      </c>
    </row>
    <row r="30" spans="1:15" x14ac:dyDescent="0.25">
      <c r="A30" t="s">
        <v>102</v>
      </c>
      <c r="B30" t="s">
        <v>103</v>
      </c>
      <c r="C30" t="s">
        <v>100</v>
      </c>
      <c r="D30" t="s">
        <v>104</v>
      </c>
      <c r="E30" t="s">
        <v>1540</v>
      </c>
      <c r="F30" t="s">
        <v>1540</v>
      </c>
      <c r="G30" t="s">
        <v>1540</v>
      </c>
      <c r="H30" t="s">
        <v>1540</v>
      </c>
      <c r="I30" t="s">
        <v>1540</v>
      </c>
      <c r="J30" t="s">
        <v>1540</v>
      </c>
      <c r="K30" t="s">
        <v>1538</v>
      </c>
      <c r="L30">
        <v>191</v>
      </c>
      <c r="M30">
        <v>181.4</v>
      </c>
      <c r="N30">
        <v>765.1</v>
      </c>
      <c r="O30">
        <v>527.6</v>
      </c>
    </row>
    <row r="31" spans="1:15" x14ac:dyDescent="0.25">
      <c r="A31" t="s">
        <v>105</v>
      </c>
      <c r="B31" t="s">
        <v>106</v>
      </c>
      <c r="C31" t="s">
        <v>100</v>
      </c>
      <c r="D31" t="s">
        <v>107</v>
      </c>
      <c r="E31" t="s">
        <v>1540</v>
      </c>
      <c r="F31" t="s">
        <v>1540</v>
      </c>
      <c r="G31" t="s">
        <v>1540</v>
      </c>
      <c r="H31" t="s">
        <v>1540</v>
      </c>
      <c r="I31" t="s">
        <v>1540</v>
      </c>
      <c r="J31" t="s">
        <v>1540</v>
      </c>
      <c r="K31" t="s">
        <v>1538</v>
      </c>
      <c r="L31">
        <v>191</v>
      </c>
      <c r="M31">
        <v>300.60000000000002</v>
      </c>
      <c r="N31">
        <v>274.2</v>
      </c>
      <c r="O31">
        <v>227.9</v>
      </c>
    </row>
    <row r="32" spans="1:15" x14ac:dyDescent="0.25">
      <c r="A32" t="s">
        <v>108</v>
      </c>
      <c r="B32" t="s">
        <v>109</v>
      </c>
      <c r="C32" t="s">
        <v>100</v>
      </c>
      <c r="D32" t="s">
        <v>110</v>
      </c>
      <c r="E32" t="s">
        <v>1540</v>
      </c>
      <c r="F32" t="s">
        <v>1540</v>
      </c>
      <c r="G32" t="s">
        <v>1540</v>
      </c>
      <c r="H32" t="s">
        <v>1540</v>
      </c>
      <c r="I32" t="s">
        <v>1540</v>
      </c>
      <c r="J32" t="s">
        <v>1540</v>
      </c>
      <c r="K32" t="s">
        <v>1538</v>
      </c>
      <c r="L32">
        <v>213</v>
      </c>
      <c r="M32">
        <v>148</v>
      </c>
      <c r="N32">
        <v>170.1</v>
      </c>
      <c r="O32">
        <v>243.2</v>
      </c>
    </row>
    <row r="33" spans="1:15" x14ac:dyDescent="0.25">
      <c r="A33" t="s">
        <v>111</v>
      </c>
      <c r="B33" t="s">
        <v>112</v>
      </c>
      <c r="C33" t="s">
        <v>100</v>
      </c>
      <c r="D33" t="s">
        <v>113</v>
      </c>
      <c r="E33" t="s">
        <v>1540</v>
      </c>
      <c r="F33" t="s">
        <v>1540</v>
      </c>
      <c r="G33" t="s">
        <v>1540</v>
      </c>
      <c r="H33" t="s">
        <v>1540</v>
      </c>
      <c r="I33" t="s">
        <v>1540</v>
      </c>
      <c r="J33" t="s">
        <v>1540</v>
      </c>
      <c r="K33" t="s">
        <v>1538</v>
      </c>
      <c r="L33">
        <v>186</v>
      </c>
      <c r="M33">
        <v>168.6</v>
      </c>
      <c r="N33">
        <v>179.2</v>
      </c>
      <c r="O33">
        <v>221.9</v>
      </c>
    </row>
    <row r="34" spans="1:15" x14ac:dyDescent="0.25">
      <c r="A34" t="s">
        <v>114</v>
      </c>
      <c r="B34" t="s">
        <v>115</v>
      </c>
      <c r="C34" t="s">
        <v>100</v>
      </c>
      <c r="D34" t="s">
        <v>116</v>
      </c>
      <c r="E34" t="s">
        <v>1540</v>
      </c>
      <c r="F34" t="s">
        <v>1540</v>
      </c>
      <c r="G34" t="s">
        <v>1540</v>
      </c>
      <c r="H34" t="s">
        <v>1540</v>
      </c>
      <c r="I34" t="s">
        <v>1540</v>
      </c>
      <c r="J34" t="s">
        <v>1540</v>
      </c>
      <c r="K34" t="s">
        <v>1538</v>
      </c>
      <c r="L34" t="s">
        <v>1539</v>
      </c>
      <c r="M34">
        <v>1666.7</v>
      </c>
      <c r="N34">
        <v>1666.7</v>
      </c>
      <c r="O34">
        <v>1666.7</v>
      </c>
    </row>
    <row r="35" spans="1:15" x14ac:dyDescent="0.25">
      <c r="A35" t="s">
        <v>117</v>
      </c>
      <c r="B35" t="s">
        <v>118</v>
      </c>
      <c r="C35" t="s">
        <v>100</v>
      </c>
      <c r="D35" t="s">
        <v>119</v>
      </c>
      <c r="E35" t="s">
        <v>1540</v>
      </c>
      <c r="F35" t="s">
        <v>1540</v>
      </c>
      <c r="G35" t="s">
        <v>1540</v>
      </c>
      <c r="H35" t="s">
        <v>1540</v>
      </c>
      <c r="I35" t="s">
        <v>1540</v>
      </c>
      <c r="J35" t="s">
        <v>1540</v>
      </c>
      <c r="K35" t="s">
        <v>1538</v>
      </c>
      <c r="L35" t="s">
        <v>1539</v>
      </c>
      <c r="M35">
        <v>0</v>
      </c>
      <c r="N35">
        <v>1578.7</v>
      </c>
      <c r="O35">
        <v>1373.2</v>
      </c>
    </row>
    <row r="36" spans="1:15" x14ac:dyDescent="0.25">
      <c r="A36" t="s">
        <v>120</v>
      </c>
      <c r="B36" t="s">
        <v>121</v>
      </c>
      <c r="C36" t="s">
        <v>100</v>
      </c>
      <c r="D36" t="s">
        <v>122</v>
      </c>
      <c r="E36" t="s">
        <v>1540</v>
      </c>
      <c r="F36" t="s">
        <v>1540</v>
      </c>
      <c r="G36" t="s">
        <v>1540</v>
      </c>
      <c r="H36" t="s">
        <v>1540</v>
      </c>
      <c r="I36" t="s">
        <v>1540</v>
      </c>
      <c r="J36" t="s">
        <v>1540</v>
      </c>
      <c r="K36" t="s">
        <v>1538</v>
      </c>
      <c r="L36" t="s">
        <v>1539</v>
      </c>
      <c r="M36">
        <v>0</v>
      </c>
      <c r="N36">
        <v>1412.9</v>
      </c>
      <c r="O36">
        <v>1209.7</v>
      </c>
    </row>
    <row r="37" spans="1:15" x14ac:dyDescent="0.25">
      <c r="A37" t="s">
        <v>123</v>
      </c>
      <c r="B37" t="s">
        <v>124</v>
      </c>
      <c r="C37" t="s">
        <v>100</v>
      </c>
      <c r="D37" t="s">
        <v>125</v>
      </c>
      <c r="E37" t="s">
        <v>1540</v>
      </c>
      <c r="F37" t="s">
        <v>1540</v>
      </c>
      <c r="G37" t="s">
        <v>1540</v>
      </c>
      <c r="H37" t="s">
        <v>1540</v>
      </c>
      <c r="I37" t="s">
        <v>1540</v>
      </c>
      <c r="J37" t="s">
        <v>1540</v>
      </c>
      <c r="K37" t="s">
        <v>1538</v>
      </c>
      <c r="L37" t="s">
        <v>1539</v>
      </c>
      <c r="M37">
        <v>1666.7</v>
      </c>
      <c r="N37">
        <v>1666.7</v>
      </c>
      <c r="O37">
        <v>1666.7</v>
      </c>
    </row>
    <row r="38" spans="1:15" x14ac:dyDescent="0.25">
      <c r="A38" t="s">
        <v>126</v>
      </c>
      <c r="B38" t="s">
        <v>127</v>
      </c>
      <c r="C38" t="s">
        <v>100</v>
      </c>
      <c r="D38" t="s">
        <v>128</v>
      </c>
      <c r="E38" t="s">
        <v>1540</v>
      </c>
      <c r="F38" t="s">
        <v>1540</v>
      </c>
      <c r="G38" t="s">
        <v>1540</v>
      </c>
      <c r="H38" t="s">
        <v>1540</v>
      </c>
      <c r="I38" t="s">
        <v>1540</v>
      </c>
      <c r="J38" t="s">
        <v>1540</v>
      </c>
      <c r="K38" t="s">
        <v>1538</v>
      </c>
      <c r="L38" t="s">
        <v>1539</v>
      </c>
      <c r="M38">
        <v>1666.7</v>
      </c>
      <c r="N38">
        <v>1666.7</v>
      </c>
      <c r="O38">
        <v>1666.7</v>
      </c>
    </row>
    <row r="39" spans="1:15" x14ac:dyDescent="0.25">
      <c r="A39" t="s">
        <v>129</v>
      </c>
      <c r="B39" t="s">
        <v>130</v>
      </c>
      <c r="C39" t="s">
        <v>100</v>
      </c>
      <c r="D39" t="s">
        <v>131</v>
      </c>
      <c r="E39" t="s">
        <v>1540</v>
      </c>
      <c r="F39" t="s">
        <v>1540</v>
      </c>
      <c r="G39" t="s">
        <v>1540</v>
      </c>
      <c r="H39" t="s">
        <v>1540</v>
      </c>
      <c r="I39" t="s">
        <v>1540</v>
      </c>
      <c r="J39" t="s">
        <v>1540</v>
      </c>
      <c r="K39" t="s">
        <v>1538</v>
      </c>
      <c r="L39" t="s">
        <v>1539</v>
      </c>
      <c r="M39">
        <v>0</v>
      </c>
      <c r="N39">
        <v>501.1</v>
      </c>
      <c r="O39">
        <v>872.9</v>
      </c>
    </row>
    <row r="40" spans="1:15" x14ac:dyDescent="0.25">
      <c r="A40" t="s">
        <v>132</v>
      </c>
      <c r="B40" t="s">
        <v>133</v>
      </c>
      <c r="C40" t="s">
        <v>100</v>
      </c>
      <c r="D40" t="s">
        <v>134</v>
      </c>
      <c r="E40" t="s">
        <v>1540</v>
      </c>
      <c r="F40" t="s">
        <v>1540</v>
      </c>
      <c r="G40" t="s">
        <v>1540</v>
      </c>
      <c r="H40" t="s">
        <v>1540</v>
      </c>
      <c r="I40" t="s">
        <v>1540</v>
      </c>
      <c r="J40" t="s">
        <v>1540</v>
      </c>
      <c r="K40" t="s">
        <v>1538</v>
      </c>
      <c r="L40" t="s">
        <v>1539</v>
      </c>
      <c r="M40">
        <v>0</v>
      </c>
      <c r="N40">
        <v>1294</v>
      </c>
      <c r="O40">
        <v>1299</v>
      </c>
    </row>
    <row r="41" spans="1:15" x14ac:dyDescent="0.25">
      <c r="A41" t="s">
        <v>135</v>
      </c>
      <c r="B41" t="s">
        <v>136</v>
      </c>
      <c r="C41" t="s">
        <v>100</v>
      </c>
      <c r="D41" t="s">
        <v>137</v>
      </c>
      <c r="E41" t="s">
        <v>1540</v>
      </c>
      <c r="F41" t="s">
        <v>1540</v>
      </c>
      <c r="G41" t="s">
        <v>1540</v>
      </c>
      <c r="H41" t="s">
        <v>1540</v>
      </c>
      <c r="I41" t="s">
        <v>1540</v>
      </c>
      <c r="J41" t="s">
        <v>1540</v>
      </c>
      <c r="K41" t="s">
        <v>1538</v>
      </c>
      <c r="L41" t="s">
        <v>1539</v>
      </c>
      <c r="M41">
        <v>1666.7</v>
      </c>
      <c r="N41">
        <v>1666.7</v>
      </c>
      <c r="O41">
        <v>1666.7</v>
      </c>
    </row>
    <row r="42" spans="1:15" x14ac:dyDescent="0.25">
      <c r="A42" t="s">
        <v>138</v>
      </c>
      <c r="B42" t="s">
        <v>139</v>
      </c>
      <c r="C42" t="s">
        <v>100</v>
      </c>
      <c r="D42" t="s">
        <v>140</v>
      </c>
      <c r="E42" t="s">
        <v>1540</v>
      </c>
      <c r="F42" t="s">
        <v>1540</v>
      </c>
      <c r="G42" t="s">
        <v>1540</v>
      </c>
      <c r="H42" t="s">
        <v>1540</v>
      </c>
      <c r="I42" t="s">
        <v>1540</v>
      </c>
      <c r="J42" t="s">
        <v>1540</v>
      </c>
      <c r="K42" t="s">
        <v>1538</v>
      </c>
      <c r="L42" t="s">
        <v>1539</v>
      </c>
      <c r="M42">
        <v>1666.7</v>
      </c>
      <c r="N42">
        <v>1666.7</v>
      </c>
      <c r="O42">
        <v>1666.7</v>
      </c>
    </row>
    <row r="43" spans="1:15" x14ac:dyDescent="0.25">
      <c r="A43" t="s">
        <v>141</v>
      </c>
      <c r="B43" t="s">
        <v>142</v>
      </c>
      <c r="C43" t="s">
        <v>100</v>
      </c>
      <c r="D43" t="s">
        <v>143</v>
      </c>
      <c r="E43" t="s">
        <v>1540</v>
      </c>
      <c r="F43" t="s">
        <v>1540</v>
      </c>
      <c r="G43" t="s">
        <v>1540</v>
      </c>
      <c r="H43" t="s">
        <v>1540</v>
      </c>
      <c r="I43" t="s">
        <v>1540</v>
      </c>
      <c r="J43" t="s">
        <v>1540</v>
      </c>
      <c r="K43" t="s">
        <v>1538</v>
      </c>
      <c r="L43" t="s">
        <v>1539</v>
      </c>
      <c r="M43">
        <v>0</v>
      </c>
      <c r="N43">
        <v>1353.6</v>
      </c>
      <c r="O43">
        <v>1191.9000000000001</v>
      </c>
    </row>
    <row r="44" spans="1:15" x14ac:dyDescent="0.25">
      <c r="A44" t="s">
        <v>144</v>
      </c>
      <c r="B44" t="s">
        <v>145</v>
      </c>
      <c r="C44" t="s">
        <v>100</v>
      </c>
      <c r="D44" t="s">
        <v>146</v>
      </c>
      <c r="E44" t="s">
        <v>1540</v>
      </c>
      <c r="F44" t="s">
        <v>1540</v>
      </c>
      <c r="G44" t="s">
        <v>1540</v>
      </c>
      <c r="H44" t="s">
        <v>1540</v>
      </c>
      <c r="I44" t="s">
        <v>1540</v>
      </c>
      <c r="J44" t="s">
        <v>1540</v>
      </c>
      <c r="K44" t="s">
        <v>1538</v>
      </c>
      <c r="L44" t="s">
        <v>1539</v>
      </c>
      <c r="M44">
        <v>1666.7</v>
      </c>
      <c r="N44">
        <v>1666.7</v>
      </c>
      <c r="O44">
        <v>1666.7</v>
      </c>
    </row>
    <row r="45" spans="1:15" x14ac:dyDescent="0.25">
      <c r="A45" t="s">
        <v>147</v>
      </c>
      <c r="B45" t="s">
        <v>148</v>
      </c>
      <c r="C45" t="s">
        <v>100</v>
      </c>
      <c r="D45" t="s">
        <v>149</v>
      </c>
      <c r="E45" t="s">
        <v>1540</v>
      </c>
      <c r="F45" t="s">
        <v>1540</v>
      </c>
      <c r="G45" t="s">
        <v>1540</v>
      </c>
      <c r="H45" t="s">
        <v>1540</v>
      </c>
      <c r="I45" t="s">
        <v>1540</v>
      </c>
      <c r="J45" t="s">
        <v>1540</v>
      </c>
      <c r="K45" t="s">
        <v>1538</v>
      </c>
      <c r="L45" t="s">
        <v>1539</v>
      </c>
      <c r="M45">
        <v>0</v>
      </c>
      <c r="N45">
        <v>1658.3</v>
      </c>
      <c r="O45">
        <v>1578.8</v>
      </c>
    </row>
    <row r="46" spans="1:15" x14ac:dyDescent="0.25">
      <c r="A46" t="s">
        <v>150</v>
      </c>
      <c r="B46" t="s">
        <v>151</v>
      </c>
      <c r="C46" t="s">
        <v>100</v>
      </c>
      <c r="D46" t="s">
        <v>152</v>
      </c>
      <c r="E46" t="s">
        <v>1540</v>
      </c>
      <c r="F46" t="s">
        <v>1540</v>
      </c>
      <c r="G46" t="s">
        <v>1540</v>
      </c>
      <c r="H46" t="s">
        <v>1540</v>
      </c>
      <c r="I46" t="s">
        <v>1540</v>
      </c>
      <c r="J46" t="s">
        <v>1540</v>
      </c>
      <c r="K46" t="s">
        <v>1538</v>
      </c>
      <c r="L46" t="s">
        <v>1539</v>
      </c>
      <c r="M46">
        <v>1666.7</v>
      </c>
      <c r="N46">
        <v>1666.7</v>
      </c>
      <c r="O46">
        <v>1666.7</v>
      </c>
    </row>
    <row r="47" spans="1:15" x14ac:dyDescent="0.25">
      <c r="A47" t="s">
        <v>153</v>
      </c>
      <c r="B47" t="s">
        <v>154</v>
      </c>
      <c r="C47" t="s">
        <v>100</v>
      </c>
      <c r="D47" t="s">
        <v>155</v>
      </c>
      <c r="E47" t="s">
        <v>1540</v>
      </c>
      <c r="F47" t="s">
        <v>1540</v>
      </c>
      <c r="G47" t="s">
        <v>1540</v>
      </c>
      <c r="H47" t="s">
        <v>1540</v>
      </c>
      <c r="I47" t="s">
        <v>1540</v>
      </c>
      <c r="J47" t="s">
        <v>1540</v>
      </c>
      <c r="K47" t="s">
        <v>1538</v>
      </c>
      <c r="L47" t="s">
        <v>1539</v>
      </c>
      <c r="M47">
        <v>1666.7</v>
      </c>
      <c r="N47">
        <v>1666.7</v>
      </c>
      <c r="O47">
        <v>1666.7</v>
      </c>
    </row>
    <row r="48" spans="1:15" x14ac:dyDescent="0.25">
      <c r="A48" t="s">
        <v>156</v>
      </c>
      <c r="B48" t="s">
        <v>157</v>
      </c>
      <c r="C48" t="s">
        <v>100</v>
      </c>
      <c r="D48" t="s">
        <v>158</v>
      </c>
      <c r="E48" t="s">
        <v>1540</v>
      </c>
      <c r="F48" t="s">
        <v>1540</v>
      </c>
      <c r="G48" t="s">
        <v>1540</v>
      </c>
      <c r="H48" t="s">
        <v>1540</v>
      </c>
      <c r="I48" t="s">
        <v>1540</v>
      </c>
      <c r="J48" t="s">
        <v>1540</v>
      </c>
      <c r="K48" t="s">
        <v>1538</v>
      </c>
      <c r="L48" t="s">
        <v>1539</v>
      </c>
      <c r="M48">
        <v>0</v>
      </c>
      <c r="N48">
        <v>2.9</v>
      </c>
      <c r="O48">
        <v>2</v>
      </c>
    </row>
    <row r="49" spans="1:15" x14ac:dyDescent="0.25">
      <c r="A49" t="s">
        <v>159</v>
      </c>
      <c r="B49" t="s">
        <v>160</v>
      </c>
      <c r="C49" t="s">
        <v>100</v>
      </c>
      <c r="D49" t="s">
        <v>161</v>
      </c>
      <c r="E49" t="s">
        <v>1540</v>
      </c>
      <c r="F49" t="s">
        <v>1540</v>
      </c>
      <c r="G49" t="s">
        <v>1540</v>
      </c>
      <c r="H49" t="s">
        <v>1540</v>
      </c>
      <c r="I49" t="s">
        <v>1540</v>
      </c>
      <c r="J49" t="s">
        <v>1540</v>
      </c>
      <c r="K49" t="s">
        <v>1538</v>
      </c>
      <c r="L49" t="s">
        <v>1539</v>
      </c>
      <c r="M49">
        <v>0</v>
      </c>
      <c r="N49">
        <v>1652.7</v>
      </c>
      <c r="O49">
        <v>1512.3</v>
      </c>
    </row>
    <row r="50" spans="1:15" x14ac:dyDescent="0.25">
      <c r="A50" t="s">
        <v>162</v>
      </c>
      <c r="B50" t="s">
        <v>163</v>
      </c>
      <c r="C50" t="s">
        <v>100</v>
      </c>
      <c r="D50" t="s">
        <v>164</v>
      </c>
      <c r="E50" t="s">
        <v>1540</v>
      </c>
      <c r="F50" t="s">
        <v>1540</v>
      </c>
      <c r="G50" t="s">
        <v>1540</v>
      </c>
      <c r="H50" t="s">
        <v>1540</v>
      </c>
      <c r="I50" t="s">
        <v>1540</v>
      </c>
      <c r="J50" t="s">
        <v>1540</v>
      </c>
      <c r="K50" t="s">
        <v>1538</v>
      </c>
      <c r="L50" t="s">
        <v>1539</v>
      </c>
      <c r="M50">
        <v>1666.7</v>
      </c>
      <c r="N50">
        <v>1666.7</v>
      </c>
      <c r="O50">
        <v>1666.7</v>
      </c>
    </row>
    <row r="51" spans="1:15" x14ac:dyDescent="0.25">
      <c r="A51" t="s">
        <v>165</v>
      </c>
      <c r="B51" t="s">
        <v>166</v>
      </c>
      <c r="C51" t="s">
        <v>100</v>
      </c>
      <c r="D51" t="s">
        <v>167</v>
      </c>
      <c r="E51" t="s">
        <v>1540</v>
      </c>
      <c r="F51" t="s">
        <v>1540</v>
      </c>
      <c r="G51" t="s">
        <v>1540</v>
      </c>
      <c r="H51" t="s">
        <v>1540</v>
      </c>
      <c r="I51" t="s">
        <v>1540</v>
      </c>
      <c r="J51" t="s">
        <v>1540</v>
      </c>
      <c r="K51" t="s">
        <v>1538</v>
      </c>
      <c r="L51" t="s">
        <v>1539</v>
      </c>
      <c r="M51">
        <v>0</v>
      </c>
      <c r="N51">
        <v>0.1</v>
      </c>
      <c r="O51">
        <v>0.1</v>
      </c>
    </row>
    <row r="52" spans="1:15" x14ac:dyDescent="0.25">
      <c r="A52" t="s">
        <v>168</v>
      </c>
      <c r="B52" t="s">
        <v>169</v>
      </c>
      <c r="C52" t="s">
        <v>100</v>
      </c>
      <c r="D52" t="s">
        <v>170</v>
      </c>
      <c r="E52" t="s">
        <v>1540</v>
      </c>
      <c r="F52" t="s">
        <v>1540</v>
      </c>
      <c r="G52" t="s">
        <v>1540</v>
      </c>
      <c r="H52" t="s">
        <v>1540</v>
      </c>
      <c r="I52" t="s">
        <v>1540</v>
      </c>
      <c r="J52" t="s">
        <v>1540</v>
      </c>
      <c r="K52" t="s">
        <v>1538</v>
      </c>
      <c r="L52" t="s">
        <v>1539</v>
      </c>
      <c r="M52">
        <v>0</v>
      </c>
      <c r="N52">
        <v>1237.2</v>
      </c>
      <c r="O52">
        <v>931.8</v>
      </c>
    </row>
    <row r="53" spans="1:15" x14ac:dyDescent="0.25">
      <c r="A53" t="s">
        <v>171</v>
      </c>
      <c r="B53" t="s">
        <v>172</v>
      </c>
      <c r="C53" t="s">
        <v>100</v>
      </c>
      <c r="D53" t="s">
        <v>173</v>
      </c>
      <c r="E53" t="s">
        <v>1540</v>
      </c>
      <c r="F53" t="s">
        <v>1540</v>
      </c>
      <c r="G53" t="s">
        <v>1540</v>
      </c>
      <c r="H53" t="s">
        <v>1540</v>
      </c>
      <c r="I53" t="s">
        <v>1540</v>
      </c>
      <c r="J53" t="s">
        <v>1540</v>
      </c>
      <c r="K53" t="s">
        <v>1538</v>
      </c>
      <c r="L53" t="s">
        <v>1539</v>
      </c>
      <c r="M53">
        <v>1666.7</v>
      </c>
      <c r="N53">
        <v>1666.7</v>
      </c>
      <c r="O53">
        <v>1666.7</v>
      </c>
    </row>
    <row r="54" spans="1:15" x14ac:dyDescent="0.25">
      <c r="A54" t="s">
        <v>174</v>
      </c>
      <c r="B54" t="s">
        <v>175</v>
      </c>
      <c r="C54" t="s">
        <v>100</v>
      </c>
      <c r="D54" t="s">
        <v>176</v>
      </c>
      <c r="E54" t="s">
        <v>1540</v>
      </c>
      <c r="F54" t="s">
        <v>1540</v>
      </c>
      <c r="G54" t="s">
        <v>1540</v>
      </c>
      <c r="H54" t="s">
        <v>1540</v>
      </c>
      <c r="I54" t="s">
        <v>1540</v>
      </c>
      <c r="J54" t="s">
        <v>1540</v>
      </c>
      <c r="K54" t="s">
        <v>1538</v>
      </c>
      <c r="L54" t="s">
        <v>1539</v>
      </c>
      <c r="M54">
        <v>0</v>
      </c>
      <c r="N54">
        <v>0.2</v>
      </c>
      <c r="O54">
        <v>0.2</v>
      </c>
    </row>
    <row r="55" spans="1:15" x14ac:dyDescent="0.25">
      <c r="A55" t="s">
        <v>177</v>
      </c>
      <c r="B55" t="s">
        <v>178</v>
      </c>
      <c r="C55" t="s">
        <v>100</v>
      </c>
      <c r="D55" t="s">
        <v>179</v>
      </c>
      <c r="E55" t="s">
        <v>1540</v>
      </c>
      <c r="F55" t="s">
        <v>1540</v>
      </c>
      <c r="G55" t="s">
        <v>1540</v>
      </c>
      <c r="H55" t="s">
        <v>1540</v>
      </c>
      <c r="I55" t="s">
        <v>1540</v>
      </c>
      <c r="J55" t="s">
        <v>1540</v>
      </c>
      <c r="K55" t="s">
        <v>1538</v>
      </c>
      <c r="L55" t="s">
        <v>1539</v>
      </c>
      <c r="M55">
        <v>0</v>
      </c>
      <c r="N55">
        <v>0.1</v>
      </c>
      <c r="O55">
        <v>0</v>
      </c>
    </row>
    <row r="56" spans="1:15" x14ac:dyDescent="0.25">
      <c r="A56" t="s">
        <v>180</v>
      </c>
      <c r="B56" t="s">
        <v>181</v>
      </c>
      <c r="C56" t="s">
        <v>100</v>
      </c>
      <c r="D56" t="s">
        <v>182</v>
      </c>
      <c r="E56" t="s">
        <v>1540</v>
      </c>
      <c r="F56" t="s">
        <v>1540</v>
      </c>
      <c r="G56" t="s">
        <v>1540</v>
      </c>
      <c r="H56" t="s">
        <v>1540</v>
      </c>
      <c r="I56" t="s">
        <v>1540</v>
      </c>
      <c r="J56" t="s">
        <v>1540</v>
      </c>
      <c r="K56" t="s">
        <v>1538</v>
      </c>
      <c r="L56" t="s">
        <v>1539</v>
      </c>
      <c r="M56">
        <v>0</v>
      </c>
      <c r="N56">
        <v>0.2</v>
      </c>
      <c r="O56">
        <v>0.1</v>
      </c>
    </row>
    <row r="57" spans="1:15" x14ac:dyDescent="0.25">
      <c r="A57" t="s">
        <v>183</v>
      </c>
      <c r="B57" t="s">
        <v>184</v>
      </c>
      <c r="C57" t="s">
        <v>100</v>
      </c>
      <c r="D57" t="s">
        <v>185</v>
      </c>
      <c r="E57" t="s">
        <v>1540</v>
      </c>
      <c r="F57" t="s">
        <v>1540</v>
      </c>
      <c r="G57" t="s">
        <v>1540</v>
      </c>
      <c r="H57" t="s">
        <v>1540</v>
      </c>
      <c r="I57" t="s">
        <v>1540</v>
      </c>
      <c r="J57" t="s">
        <v>1540</v>
      </c>
      <c r="K57" t="s">
        <v>1538</v>
      </c>
      <c r="L57" t="s">
        <v>1539</v>
      </c>
      <c r="M57">
        <v>1666.7</v>
      </c>
      <c r="N57">
        <v>1666.7</v>
      </c>
      <c r="O57">
        <v>1666.7</v>
      </c>
    </row>
    <row r="58" spans="1:15" x14ac:dyDescent="0.25">
      <c r="A58" t="s">
        <v>186</v>
      </c>
      <c r="B58" t="s">
        <v>187</v>
      </c>
      <c r="C58" t="s">
        <v>100</v>
      </c>
      <c r="D58" t="s">
        <v>188</v>
      </c>
      <c r="E58" t="s">
        <v>1540</v>
      </c>
      <c r="F58" t="s">
        <v>1540</v>
      </c>
      <c r="G58" t="s">
        <v>1540</v>
      </c>
      <c r="H58" t="s">
        <v>1540</v>
      </c>
      <c r="I58" t="s">
        <v>1540</v>
      </c>
      <c r="J58" t="s">
        <v>1540</v>
      </c>
      <c r="K58" t="s">
        <v>1538</v>
      </c>
      <c r="L58" t="s">
        <v>1539</v>
      </c>
      <c r="M58">
        <v>1666.7</v>
      </c>
      <c r="N58">
        <v>1666.7</v>
      </c>
      <c r="O58">
        <v>1666.7</v>
      </c>
    </row>
    <row r="59" spans="1:15" x14ac:dyDescent="0.25">
      <c r="A59" t="s">
        <v>189</v>
      </c>
      <c r="B59" t="s">
        <v>190</v>
      </c>
      <c r="C59" t="s">
        <v>100</v>
      </c>
      <c r="D59" t="s">
        <v>191</v>
      </c>
      <c r="E59" t="s">
        <v>1540</v>
      </c>
      <c r="F59" t="s">
        <v>1540</v>
      </c>
      <c r="G59" t="s">
        <v>1540</v>
      </c>
      <c r="H59" t="s">
        <v>1540</v>
      </c>
      <c r="I59" t="s">
        <v>1540</v>
      </c>
      <c r="J59" t="s">
        <v>1540</v>
      </c>
      <c r="K59" t="s">
        <v>1538</v>
      </c>
      <c r="L59" t="s">
        <v>1539</v>
      </c>
      <c r="M59">
        <v>1666.7</v>
      </c>
      <c r="N59">
        <v>1666.7</v>
      </c>
      <c r="O59">
        <v>1666.7</v>
      </c>
    </row>
    <row r="60" spans="1:15" x14ac:dyDescent="0.25">
      <c r="A60" t="s">
        <v>192</v>
      </c>
      <c r="B60" t="s">
        <v>193</v>
      </c>
      <c r="C60" t="s">
        <v>100</v>
      </c>
      <c r="D60" t="s">
        <v>194</v>
      </c>
      <c r="E60" t="s">
        <v>1540</v>
      </c>
      <c r="F60" t="s">
        <v>1540</v>
      </c>
      <c r="G60" t="s">
        <v>1540</v>
      </c>
      <c r="H60" t="s">
        <v>1540</v>
      </c>
      <c r="I60" t="s">
        <v>1540</v>
      </c>
      <c r="J60" t="s">
        <v>1540</v>
      </c>
      <c r="K60" t="s">
        <v>1538</v>
      </c>
      <c r="L60" t="s">
        <v>1539</v>
      </c>
      <c r="M60">
        <v>0</v>
      </c>
      <c r="N60">
        <v>1603.9</v>
      </c>
      <c r="O60">
        <v>1441.9</v>
      </c>
    </row>
    <row r="61" spans="1:15" x14ac:dyDescent="0.25">
      <c r="A61" t="s">
        <v>195</v>
      </c>
      <c r="B61" t="s">
        <v>196</v>
      </c>
      <c r="C61" t="s">
        <v>100</v>
      </c>
      <c r="D61" t="s">
        <v>197</v>
      </c>
      <c r="E61" t="s">
        <v>1540</v>
      </c>
      <c r="F61" t="s">
        <v>1540</v>
      </c>
      <c r="G61" t="s">
        <v>1540</v>
      </c>
      <c r="H61" t="s">
        <v>1540</v>
      </c>
      <c r="I61" t="s">
        <v>1540</v>
      </c>
      <c r="J61" t="s">
        <v>1540</v>
      </c>
      <c r="K61" t="s">
        <v>1538</v>
      </c>
      <c r="L61" t="s">
        <v>1539</v>
      </c>
      <c r="M61">
        <v>0</v>
      </c>
      <c r="N61">
        <v>1632.8</v>
      </c>
      <c r="O61">
        <v>1457.5</v>
      </c>
    </row>
    <row r="62" spans="1:15" x14ac:dyDescent="0.25">
      <c r="A62" t="s">
        <v>198</v>
      </c>
      <c r="B62" t="s">
        <v>199</v>
      </c>
      <c r="C62" t="s">
        <v>100</v>
      </c>
      <c r="D62" t="s">
        <v>200</v>
      </c>
      <c r="E62" t="s">
        <v>1540</v>
      </c>
      <c r="F62" t="s">
        <v>1540</v>
      </c>
      <c r="G62" t="s">
        <v>1540</v>
      </c>
      <c r="H62" t="s">
        <v>1540</v>
      </c>
      <c r="I62" t="s">
        <v>1540</v>
      </c>
      <c r="J62" t="s">
        <v>1540</v>
      </c>
      <c r="K62" t="s">
        <v>1538</v>
      </c>
      <c r="L62" t="s">
        <v>1539</v>
      </c>
      <c r="M62">
        <v>0</v>
      </c>
      <c r="N62">
        <v>-5836.6</v>
      </c>
      <c r="O62">
        <v>-2020.6</v>
      </c>
    </row>
    <row r="63" spans="1:15" x14ac:dyDescent="0.25">
      <c r="A63" t="s">
        <v>201</v>
      </c>
      <c r="B63" t="s">
        <v>202</v>
      </c>
      <c r="C63" t="s">
        <v>100</v>
      </c>
      <c r="D63" t="s">
        <v>203</v>
      </c>
      <c r="E63" t="s">
        <v>1540</v>
      </c>
      <c r="F63" t="s">
        <v>1540</v>
      </c>
      <c r="G63" t="s">
        <v>1540</v>
      </c>
      <c r="H63" t="s">
        <v>1540</v>
      </c>
      <c r="I63" t="s">
        <v>1540</v>
      </c>
      <c r="J63" t="s">
        <v>1540</v>
      </c>
      <c r="K63" t="s">
        <v>1538</v>
      </c>
      <c r="L63" t="s">
        <v>1539</v>
      </c>
      <c r="M63">
        <v>1666.7</v>
      </c>
      <c r="N63">
        <v>1666.7</v>
      </c>
      <c r="O63">
        <v>1666.7</v>
      </c>
    </row>
    <row r="64" spans="1:15" x14ac:dyDescent="0.25">
      <c r="A64" t="s">
        <v>204</v>
      </c>
      <c r="B64" t="s">
        <v>205</v>
      </c>
      <c r="C64" t="s">
        <v>100</v>
      </c>
      <c r="D64" t="s">
        <v>206</v>
      </c>
      <c r="E64" t="s">
        <v>1540</v>
      </c>
      <c r="F64" t="s">
        <v>1540</v>
      </c>
      <c r="G64" t="s">
        <v>1540</v>
      </c>
      <c r="H64" t="s">
        <v>1540</v>
      </c>
      <c r="I64" t="s">
        <v>1540</v>
      </c>
      <c r="J64" t="s">
        <v>1540</v>
      </c>
      <c r="K64" t="s">
        <v>1538</v>
      </c>
      <c r="L64" t="s">
        <v>1539</v>
      </c>
      <c r="M64">
        <v>0</v>
      </c>
      <c r="N64">
        <v>664.5</v>
      </c>
      <c r="O64">
        <v>510.4</v>
      </c>
    </row>
    <row r="65" spans="1:15" x14ac:dyDescent="0.25">
      <c r="A65" t="s">
        <v>207</v>
      </c>
      <c r="B65" t="s">
        <v>208</v>
      </c>
      <c r="C65" t="s">
        <v>100</v>
      </c>
      <c r="D65" t="s">
        <v>209</v>
      </c>
      <c r="E65" t="s">
        <v>1540</v>
      </c>
      <c r="F65" t="s">
        <v>1540</v>
      </c>
      <c r="G65" t="s">
        <v>1540</v>
      </c>
      <c r="H65" t="s">
        <v>1540</v>
      </c>
      <c r="I65" t="s">
        <v>1540</v>
      </c>
      <c r="J65" t="s">
        <v>1540</v>
      </c>
      <c r="K65" t="s">
        <v>1538</v>
      </c>
      <c r="L65" t="s">
        <v>1539</v>
      </c>
      <c r="M65">
        <v>0</v>
      </c>
      <c r="N65">
        <v>1582.4</v>
      </c>
      <c r="O65">
        <v>1336.8</v>
      </c>
    </row>
    <row r="66" spans="1:15" x14ac:dyDescent="0.25">
      <c r="A66" t="s">
        <v>210</v>
      </c>
      <c r="B66" t="s">
        <v>211</v>
      </c>
      <c r="C66" t="s">
        <v>100</v>
      </c>
      <c r="D66" t="s">
        <v>212</v>
      </c>
      <c r="E66" t="s">
        <v>1540</v>
      </c>
      <c r="F66" t="s">
        <v>1540</v>
      </c>
      <c r="G66" t="s">
        <v>1540</v>
      </c>
      <c r="H66" t="s">
        <v>1540</v>
      </c>
      <c r="I66" t="s">
        <v>1540</v>
      </c>
      <c r="J66" t="s">
        <v>1540</v>
      </c>
      <c r="K66" t="s">
        <v>1538</v>
      </c>
      <c r="L66" t="s">
        <v>1539</v>
      </c>
      <c r="M66">
        <v>0</v>
      </c>
      <c r="N66">
        <v>1553.3</v>
      </c>
      <c r="O66">
        <v>1291.8</v>
      </c>
    </row>
    <row r="67" spans="1:15" x14ac:dyDescent="0.25">
      <c r="A67" t="s">
        <v>213</v>
      </c>
      <c r="B67" t="s">
        <v>214</v>
      </c>
      <c r="C67" t="s">
        <v>100</v>
      </c>
      <c r="D67" t="s">
        <v>215</v>
      </c>
      <c r="E67" t="s">
        <v>1540</v>
      </c>
      <c r="F67" t="s">
        <v>1540</v>
      </c>
      <c r="G67" t="s">
        <v>1540</v>
      </c>
      <c r="H67" t="s">
        <v>1540</v>
      </c>
      <c r="I67" t="s">
        <v>1540</v>
      </c>
      <c r="J67" t="s">
        <v>1540</v>
      </c>
      <c r="K67" t="s">
        <v>1538</v>
      </c>
      <c r="L67">
        <v>3.83</v>
      </c>
      <c r="M67">
        <v>59.7</v>
      </c>
      <c r="N67">
        <v>58.3</v>
      </c>
      <c r="O67">
        <v>63.9</v>
      </c>
    </row>
    <row r="68" spans="1:15" x14ac:dyDescent="0.25">
      <c r="A68" t="s">
        <v>216</v>
      </c>
      <c r="B68" t="s">
        <v>217</v>
      </c>
      <c r="C68" t="s">
        <v>100</v>
      </c>
      <c r="D68" t="s">
        <v>218</v>
      </c>
      <c r="E68" t="s">
        <v>1540</v>
      </c>
      <c r="F68" t="s">
        <v>1540</v>
      </c>
      <c r="G68" t="s">
        <v>1540</v>
      </c>
      <c r="H68" t="s">
        <v>1540</v>
      </c>
      <c r="I68" t="s">
        <v>1540</v>
      </c>
      <c r="J68" t="s">
        <v>1540</v>
      </c>
      <c r="K68" t="s">
        <v>1538</v>
      </c>
      <c r="L68">
        <v>24.67</v>
      </c>
      <c r="M68">
        <v>1352.9</v>
      </c>
      <c r="N68">
        <v>717.7</v>
      </c>
      <c r="O68">
        <v>411.2</v>
      </c>
    </row>
    <row r="69" spans="1:15" x14ac:dyDescent="0.25">
      <c r="A69" t="s">
        <v>219</v>
      </c>
      <c r="B69" t="s">
        <v>220</v>
      </c>
      <c r="C69" t="s">
        <v>100</v>
      </c>
      <c r="D69" t="s">
        <v>221</v>
      </c>
      <c r="E69" t="s">
        <v>1540</v>
      </c>
      <c r="F69" t="s">
        <v>1540</v>
      </c>
      <c r="G69" t="s">
        <v>1540</v>
      </c>
      <c r="H69" t="s">
        <v>1540</v>
      </c>
      <c r="I69" t="s">
        <v>1540</v>
      </c>
      <c r="J69" t="s">
        <v>1540</v>
      </c>
      <c r="K69" t="s">
        <v>1538</v>
      </c>
      <c r="L69">
        <v>15.46</v>
      </c>
      <c r="M69">
        <v>267.3</v>
      </c>
      <c r="N69">
        <v>253.1</v>
      </c>
      <c r="O69">
        <v>257.60000000000002</v>
      </c>
    </row>
    <row r="70" spans="1:15" x14ac:dyDescent="0.25">
      <c r="A70" t="s">
        <v>222</v>
      </c>
      <c r="B70" t="s">
        <v>223</v>
      </c>
      <c r="C70" t="s">
        <v>100</v>
      </c>
      <c r="D70" t="s">
        <v>224</v>
      </c>
      <c r="E70" t="s">
        <v>1540</v>
      </c>
      <c r="F70" t="s">
        <v>1540</v>
      </c>
      <c r="G70" t="s">
        <v>1540</v>
      </c>
      <c r="H70" t="s">
        <v>1540</v>
      </c>
      <c r="I70" t="s">
        <v>1540</v>
      </c>
      <c r="J70" t="s">
        <v>1540</v>
      </c>
      <c r="K70" t="s">
        <v>1538</v>
      </c>
      <c r="L70">
        <v>0.33</v>
      </c>
      <c r="M70">
        <v>5.8</v>
      </c>
      <c r="N70">
        <v>5.7</v>
      </c>
      <c r="O70">
        <v>5.5</v>
      </c>
    </row>
    <row r="71" spans="1:15" x14ac:dyDescent="0.25">
      <c r="A71" t="s">
        <v>225</v>
      </c>
      <c r="B71" t="s">
        <v>226</v>
      </c>
      <c r="C71" t="s">
        <v>100</v>
      </c>
      <c r="D71" t="s">
        <v>227</v>
      </c>
      <c r="E71" t="s">
        <v>1540</v>
      </c>
      <c r="F71" t="s">
        <v>1540</v>
      </c>
      <c r="G71" t="s">
        <v>1540</v>
      </c>
      <c r="H71" t="s">
        <v>1540</v>
      </c>
      <c r="I71" t="s">
        <v>1540</v>
      </c>
      <c r="J71" t="s">
        <v>1540</v>
      </c>
      <c r="K71" t="s">
        <v>1538</v>
      </c>
      <c r="L71">
        <v>6.02</v>
      </c>
      <c r="M71">
        <v>24</v>
      </c>
      <c r="N71">
        <v>48.6</v>
      </c>
      <c r="O71">
        <v>100.4</v>
      </c>
    </row>
    <row r="72" spans="1:15" x14ac:dyDescent="0.25">
      <c r="A72" t="s">
        <v>228</v>
      </c>
      <c r="B72" t="s">
        <v>229</v>
      </c>
      <c r="C72" t="s">
        <v>100</v>
      </c>
      <c r="D72" t="s">
        <v>230</v>
      </c>
      <c r="E72" t="s">
        <v>1540</v>
      </c>
      <c r="F72" t="s">
        <v>1540</v>
      </c>
      <c r="G72" t="s">
        <v>1540</v>
      </c>
      <c r="H72" t="s">
        <v>1540</v>
      </c>
      <c r="I72" t="s">
        <v>1540</v>
      </c>
      <c r="J72" t="s">
        <v>1540</v>
      </c>
      <c r="K72" t="s">
        <v>1538</v>
      </c>
      <c r="L72">
        <v>213</v>
      </c>
      <c r="M72">
        <v>68.3</v>
      </c>
      <c r="N72">
        <v>67.5</v>
      </c>
      <c r="O72">
        <v>65.7</v>
      </c>
    </row>
    <row r="73" spans="1:15" x14ac:dyDescent="0.25">
      <c r="A73" t="s">
        <v>231</v>
      </c>
      <c r="B73" t="s">
        <v>232</v>
      </c>
      <c r="C73" t="s">
        <v>100</v>
      </c>
      <c r="D73" t="s">
        <v>233</v>
      </c>
      <c r="E73" t="s">
        <v>1540</v>
      </c>
      <c r="F73" t="s">
        <v>1540</v>
      </c>
      <c r="G73" t="s">
        <v>1540</v>
      </c>
      <c r="H73" t="s">
        <v>1540</v>
      </c>
      <c r="I73" t="s">
        <v>1540</v>
      </c>
      <c r="J73" t="s">
        <v>1540</v>
      </c>
      <c r="K73" t="s">
        <v>1538</v>
      </c>
      <c r="L73">
        <v>191</v>
      </c>
      <c r="M73">
        <v>11.3</v>
      </c>
      <c r="N73">
        <v>715.9</v>
      </c>
      <c r="O73">
        <v>411.6</v>
      </c>
    </row>
    <row r="74" spans="1:15" x14ac:dyDescent="0.25">
      <c r="A74" t="s">
        <v>234</v>
      </c>
      <c r="B74" t="s">
        <v>235</v>
      </c>
      <c r="C74" t="s">
        <v>100</v>
      </c>
      <c r="D74" t="s">
        <v>236</v>
      </c>
      <c r="E74" t="s">
        <v>1540</v>
      </c>
      <c r="F74" t="s">
        <v>1540</v>
      </c>
      <c r="G74" t="s">
        <v>1540</v>
      </c>
      <c r="H74" t="s">
        <v>1540</v>
      </c>
      <c r="I74" t="s">
        <v>1540</v>
      </c>
      <c r="J74" t="s">
        <v>1540</v>
      </c>
      <c r="K74" t="s">
        <v>1538</v>
      </c>
      <c r="L74">
        <v>186</v>
      </c>
      <c r="M74">
        <v>3.6</v>
      </c>
      <c r="N74">
        <v>3.6</v>
      </c>
      <c r="O74">
        <v>3.5</v>
      </c>
    </row>
    <row r="75" spans="1:15" x14ac:dyDescent="0.25">
      <c r="A75" t="s">
        <v>237</v>
      </c>
      <c r="B75" t="s">
        <v>238</v>
      </c>
      <c r="C75" t="s">
        <v>100</v>
      </c>
      <c r="D75" t="s">
        <v>239</v>
      </c>
      <c r="E75" t="s">
        <v>1540</v>
      </c>
      <c r="F75" t="s">
        <v>1540</v>
      </c>
      <c r="G75" t="s">
        <v>1540</v>
      </c>
      <c r="H75" t="s">
        <v>1540</v>
      </c>
      <c r="I75" t="s">
        <v>1540</v>
      </c>
      <c r="J75" t="s">
        <v>1540</v>
      </c>
      <c r="K75" t="s">
        <v>1538</v>
      </c>
      <c r="L75">
        <v>186</v>
      </c>
      <c r="M75">
        <v>0.5</v>
      </c>
      <c r="N75">
        <v>0.5</v>
      </c>
      <c r="O75">
        <v>0.5</v>
      </c>
    </row>
    <row r="76" spans="1:15" x14ac:dyDescent="0.25">
      <c r="A76" t="s">
        <v>240</v>
      </c>
      <c r="B76" t="s">
        <v>241</v>
      </c>
      <c r="C76" t="s">
        <v>100</v>
      </c>
      <c r="D76" t="s">
        <v>242</v>
      </c>
      <c r="E76" t="s">
        <v>1540</v>
      </c>
      <c r="F76" t="s">
        <v>1540</v>
      </c>
      <c r="G76" t="s">
        <v>1540</v>
      </c>
      <c r="H76" t="s">
        <v>1540</v>
      </c>
      <c r="I76" t="s">
        <v>1540</v>
      </c>
      <c r="J76" t="s">
        <v>1540</v>
      </c>
      <c r="K76" t="s">
        <v>1538</v>
      </c>
      <c r="L76">
        <v>140</v>
      </c>
      <c r="M76">
        <v>13.8</v>
      </c>
      <c r="N76">
        <v>17.7</v>
      </c>
      <c r="O76">
        <v>210.6</v>
      </c>
    </row>
    <row r="77" spans="1:15" x14ac:dyDescent="0.25">
      <c r="A77" t="s">
        <v>243</v>
      </c>
      <c r="B77" t="s">
        <v>244</v>
      </c>
      <c r="C77" t="s">
        <v>100</v>
      </c>
      <c r="D77" t="s">
        <v>245</v>
      </c>
      <c r="E77" t="s">
        <v>1540</v>
      </c>
      <c r="F77" t="s">
        <v>1540</v>
      </c>
      <c r="G77" t="s">
        <v>1540</v>
      </c>
      <c r="H77" t="s">
        <v>1540</v>
      </c>
      <c r="I77" t="s">
        <v>1540</v>
      </c>
      <c r="J77" t="s">
        <v>1540</v>
      </c>
      <c r="K77" t="s">
        <v>1538</v>
      </c>
      <c r="L77">
        <v>140</v>
      </c>
      <c r="M77">
        <v>349.3</v>
      </c>
      <c r="N77">
        <v>145.4</v>
      </c>
      <c r="O77">
        <v>272.89999999999998</v>
      </c>
    </row>
    <row r="78" spans="1:15" x14ac:dyDescent="0.25">
      <c r="A78" t="s">
        <v>246</v>
      </c>
      <c r="B78" t="s">
        <v>247</v>
      </c>
      <c r="C78" t="s">
        <v>100</v>
      </c>
      <c r="D78" t="s">
        <v>248</v>
      </c>
      <c r="E78" t="s">
        <v>1540</v>
      </c>
      <c r="F78" t="s">
        <v>1540</v>
      </c>
      <c r="G78" t="s">
        <v>1540</v>
      </c>
      <c r="H78" t="s">
        <v>1540</v>
      </c>
      <c r="I78" t="s">
        <v>1540</v>
      </c>
      <c r="J78" t="s">
        <v>1540</v>
      </c>
      <c r="K78" t="s">
        <v>1538</v>
      </c>
      <c r="L78">
        <v>170</v>
      </c>
      <c r="M78">
        <v>11.7</v>
      </c>
      <c r="N78">
        <v>13.4</v>
      </c>
      <c r="O78">
        <v>287.7</v>
      </c>
    </row>
    <row r="79" spans="1:15" x14ac:dyDescent="0.25">
      <c r="A79" t="s">
        <v>249</v>
      </c>
      <c r="B79" t="s">
        <v>250</v>
      </c>
      <c r="C79" t="s">
        <v>100</v>
      </c>
      <c r="D79" t="s">
        <v>251</v>
      </c>
      <c r="E79" t="s">
        <v>1540</v>
      </c>
      <c r="F79" t="s">
        <v>1540</v>
      </c>
      <c r="G79" t="s">
        <v>1540</v>
      </c>
      <c r="H79" t="s">
        <v>1540</v>
      </c>
      <c r="I79" t="s">
        <v>1540</v>
      </c>
      <c r="J79" t="s">
        <v>1540</v>
      </c>
      <c r="K79" t="s">
        <v>1538</v>
      </c>
      <c r="L79">
        <v>186</v>
      </c>
      <c r="M79">
        <v>0.3</v>
      </c>
      <c r="N79">
        <v>0.3</v>
      </c>
      <c r="O79">
        <v>0.3</v>
      </c>
    </row>
    <row r="80" spans="1:15" x14ac:dyDescent="0.25">
      <c r="A80" t="s">
        <v>252</v>
      </c>
      <c r="B80" t="s">
        <v>253</v>
      </c>
      <c r="C80" t="s">
        <v>100</v>
      </c>
      <c r="D80" t="s">
        <v>254</v>
      </c>
      <c r="E80" t="s">
        <v>1540</v>
      </c>
      <c r="F80" t="s">
        <v>1540</v>
      </c>
      <c r="G80" t="s">
        <v>1540</v>
      </c>
      <c r="H80" t="s">
        <v>1540</v>
      </c>
      <c r="I80" t="s">
        <v>1540</v>
      </c>
      <c r="J80" t="s">
        <v>1540</v>
      </c>
      <c r="K80" t="s">
        <v>1538</v>
      </c>
      <c r="L80">
        <v>0</v>
      </c>
      <c r="M80">
        <v>-106.1</v>
      </c>
      <c r="N80">
        <v>0</v>
      </c>
      <c r="O80">
        <v>0</v>
      </c>
    </row>
    <row r="81" spans="1:15" x14ac:dyDescent="0.25">
      <c r="A81" t="s">
        <v>255</v>
      </c>
      <c r="B81" t="s">
        <v>256</v>
      </c>
      <c r="C81" t="s">
        <v>100</v>
      </c>
      <c r="D81" t="s">
        <v>257</v>
      </c>
      <c r="E81" t="s">
        <v>1540</v>
      </c>
      <c r="F81" t="s">
        <v>1540</v>
      </c>
      <c r="G81" t="s">
        <v>1540</v>
      </c>
      <c r="H81" t="s">
        <v>1540</v>
      </c>
      <c r="I81" t="s">
        <v>1540</v>
      </c>
      <c r="J81" t="s">
        <v>1540</v>
      </c>
      <c r="K81" t="s">
        <v>1538</v>
      </c>
      <c r="L81">
        <v>110</v>
      </c>
      <c r="M81">
        <v>41.5</v>
      </c>
      <c r="N81">
        <v>68.400000000000006</v>
      </c>
      <c r="O81">
        <v>90.9</v>
      </c>
    </row>
    <row r="82" spans="1:15" x14ac:dyDescent="0.25">
      <c r="A82" t="s">
        <v>258</v>
      </c>
      <c r="B82" t="s">
        <v>259</v>
      </c>
      <c r="C82" t="s">
        <v>100</v>
      </c>
      <c r="D82" t="s">
        <v>260</v>
      </c>
      <c r="E82" t="s">
        <v>1540</v>
      </c>
      <c r="F82" t="s">
        <v>1540</v>
      </c>
      <c r="G82" t="s">
        <v>1540</v>
      </c>
      <c r="H82" t="s">
        <v>1540</v>
      </c>
      <c r="I82" t="s">
        <v>1540</v>
      </c>
      <c r="J82" t="s">
        <v>1540</v>
      </c>
      <c r="K82" t="s">
        <v>1538</v>
      </c>
      <c r="L82" t="s">
        <v>1539</v>
      </c>
      <c r="M82">
        <v>0</v>
      </c>
      <c r="N82">
        <v>255.9</v>
      </c>
      <c r="O82">
        <v>972.3</v>
      </c>
    </row>
    <row r="83" spans="1:15" x14ac:dyDescent="0.25">
      <c r="A83" t="s">
        <v>261</v>
      </c>
      <c r="B83" t="s">
        <v>262</v>
      </c>
      <c r="C83" t="s">
        <v>100</v>
      </c>
      <c r="D83" t="s">
        <v>263</v>
      </c>
      <c r="E83" t="s">
        <v>1540</v>
      </c>
      <c r="F83" t="s">
        <v>1540</v>
      </c>
      <c r="G83" t="s">
        <v>1540</v>
      </c>
      <c r="H83" t="s">
        <v>1540</v>
      </c>
      <c r="I83" t="s">
        <v>1540</v>
      </c>
      <c r="J83" t="s">
        <v>1540</v>
      </c>
      <c r="K83" t="s">
        <v>1538</v>
      </c>
      <c r="L83" t="s">
        <v>1539</v>
      </c>
      <c r="M83">
        <v>0</v>
      </c>
      <c r="N83">
        <v>911.6</v>
      </c>
      <c r="O83">
        <v>1117.5999999999999</v>
      </c>
    </row>
    <row r="84" spans="1:15" x14ac:dyDescent="0.25">
      <c r="A84" t="s">
        <v>264</v>
      </c>
      <c r="B84" t="s">
        <v>265</v>
      </c>
      <c r="C84" t="s">
        <v>100</v>
      </c>
      <c r="D84" t="s">
        <v>266</v>
      </c>
      <c r="E84" t="s">
        <v>1540</v>
      </c>
      <c r="F84" t="s">
        <v>1540</v>
      </c>
      <c r="G84" t="s">
        <v>1540</v>
      </c>
      <c r="H84" t="s">
        <v>1540</v>
      </c>
      <c r="I84" t="s">
        <v>1540</v>
      </c>
      <c r="J84" t="s">
        <v>1540</v>
      </c>
      <c r="K84" t="s">
        <v>1538</v>
      </c>
      <c r="L84">
        <v>140</v>
      </c>
      <c r="M84">
        <v>171</v>
      </c>
      <c r="N84">
        <v>125.7</v>
      </c>
      <c r="O84">
        <v>115</v>
      </c>
    </row>
    <row r="85" spans="1:15" x14ac:dyDescent="0.25">
      <c r="A85" t="s">
        <v>267</v>
      </c>
      <c r="B85" t="s">
        <v>268</v>
      </c>
      <c r="C85" t="s">
        <v>100</v>
      </c>
      <c r="D85" t="s">
        <v>269</v>
      </c>
      <c r="E85" t="s">
        <v>1540</v>
      </c>
      <c r="F85" t="s">
        <v>1540</v>
      </c>
      <c r="G85" t="s">
        <v>1540</v>
      </c>
      <c r="H85" t="s">
        <v>1540</v>
      </c>
      <c r="I85" t="s">
        <v>1540</v>
      </c>
      <c r="J85" t="s">
        <v>1540</v>
      </c>
      <c r="K85" t="s">
        <v>1538</v>
      </c>
      <c r="L85">
        <v>186</v>
      </c>
      <c r="M85">
        <v>82.7</v>
      </c>
      <c r="N85">
        <v>86.6</v>
      </c>
      <c r="O85">
        <v>86.1</v>
      </c>
    </row>
    <row r="86" spans="1:15" x14ac:dyDescent="0.25">
      <c r="A86" t="s">
        <v>270</v>
      </c>
      <c r="B86" t="s">
        <v>271</v>
      </c>
      <c r="C86" t="s">
        <v>100</v>
      </c>
      <c r="D86" t="s">
        <v>272</v>
      </c>
      <c r="E86" t="s">
        <v>1540</v>
      </c>
      <c r="F86" t="s">
        <v>1540</v>
      </c>
      <c r="G86" t="s">
        <v>1540</v>
      </c>
      <c r="H86" t="s">
        <v>1540</v>
      </c>
      <c r="I86" t="s">
        <v>1540</v>
      </c>
      <c r="J86" t="s">
        <v>1540</v>
      </c>
      <c r="K86" t="s">
        <v>1538</v>
      </c>
      <c r="L86">
        <v>170</v>
      </c>
      <c r="M86">
        <v>48</v>
      </c>
      <c r="N86">
        <v>70.099999999999994</v>
      </c>
      <c r="O86">
        <v>90.4</v>
      </c>
    </row>
    <row r="87" spans="1:15" x14ac:dyDescent="0.25">
      <c r="A87" t="s">
        <v>273</v>
      </c>
      <c r="B87" t="s">
        <v>274</v>
      </c>
      <c r="C87" t="s">
        <v>100</v>
      </c>
      <c r="D87" t="s">
        <v>275</v>
      </c>
      <c r="E87" t="s">
        <v>1540</v>
      </c>
      <c r="F87" t="s">
        <v>1540</v>
      </c>
      <c r="G87" t="s">
        <v>1540</v>
      </c>
      <c r="H87" t="s">
        <v>1540</v>
      </c>
      <c r="I87" t="s">
        <v>1540</v>
      </c>
      <c r="J87" t="s">
        <v>1540</v>
      </c>
      <c r="K87" t="s">
        <v>1538</v>
      </c>
      <c r="L87">
        <v>170</v>
      </c>
      <c r="M87">
        <v>119.4</v>
      </c>
      <c r="N87">
        <v>102.5</v>
      </c>
      <c r="O87">
        <v>116.8</v>
      </c>
    </row>
    <row r="88" spans="1:15" x14ac:dyDescent="0.25">
      <c r="A88" t="s">
        <v>276</v>
      </c>
      <c r="B88" t="s">
        <v>277</v>
      </c>
      <c r="C88" t="s">
        <v>100</v>
      </c>
      <c r="D88" t="s">
        <v>278</v>
      </c>
      <c r="E88" t="s">
        <v>1540</v>
      </c>
      <c r="F88" t="s">
        <v>1540</v>
      </c>
      <c r="G88" t="s">
        <v>1540</v>
      </c>
      <c r="H88" t="s">
        <v>1540</v>
      </c>
      <c r="I88" t="s">
        <v>1540</v>
      </c>
      <c r="J88" t="s">
        <v>1540</v>
      </c>
      <c r="K88" t="s">
        <v>1538</v>
      </c>
      <c r="L88">
        <v>186</v>
      </c>
      <c r="M88">
        <v>28.2</v>
      </c>
      <c r="N88">
        <v>25.8</v>
      </c>
      <c r="O88">
        <v>84.5</v>
      </c>
    </row>
    <row r="89" spans="1:15" x14ac:dyDescent="0.25">
      <c r="A89" t="s">
        <v>279</v>
      </c>
      <c r="B89" t="s">
        <v>280</v>
      </c>
      <c r="C89" t="s">
        <v>100</v>
      </c>
      <c r="D89" t="s">
        <v>281</v>
      </c>
      <c r="E89" t="s">
        <v>1540</v>
      </c>
      <c r="F89" t="s">
        <v>1540</v>
      </c>
      <c r="G89" t="s">
        <v>1540</v>
      </c>
      <c r="H89" t="s">
        <v>1540</v>
      </c>
      <c r="I89" t="s">
        <v>1540</v>
      </c>
      <c r="J89" t="s">
        <v>1540</v>
      </c>
      <c r="K89" t="s">
        <v>1538</v>
      </c>
      <c r="L89">
        <v>170</v>
      </c>
      <c r="M89">
        <v>107.8</v>
      </c>
      <c r="N89">
        <v>227.7</v>
      </c>
      <c r="O89">
        <v>166.1</v>
      </c>
    </row>
    <row r="90" spans="1:15" x14ac:dyDescent="0.25">
      <c r="A90" t="s">
        <v>282</v>
      </c>
      <c r="B90" t="s">
        <v>283</v>
      </c>
      <c r="C90" t="s">
        <v>100</v>
      </c>
      <c r="D90" t="s">
        <v>284</v>
      </c>
      <c r="E90" t="s">
        <v>1540</v>
      </c>
      <c r="F90" t="s">
        <v>1540</v>
      </c>
      <c r="G90" t="s">
        <v>1540</v>
      </c>
      <c r="H90" t="s">
        <v>1540</v>
      </c>
      <c r="I90" t="s">
        <v>1540</v>
      </c>
      <c r="J90" t="s">
        <v>1540</v>
      </c>
      <c r="K90" t="s">
        <v>1538</v>
      </c>
      <c r="L90">
        <v>170</v>
      </c>
      <c r="M90">
        <v>84.2</v>
      </c>
      <c r="N90">
        <v>83.6</v>
      </c>
      <c r="O90">
        <v>136.30000000000001</v>
      </c>
    </row>
    <row r="91" spans="1:15" x14ac:dyDescent="0.25">
      <c r="A91" t="s">
        <v>285</v>
      </c>
      <c r="B91" t="s">
        <v>286</v>
      </c>
      <c r="C91" t="s">
        <v>100</v>
      </c>
      <c r="D91" t="s">
        <v>287</v>
      </c>
      <c r="E91" t="s">
        <v>1540</v>
      </c>
      <c r="F91" t="s">
        <v>1540</v>
      </c>
      <c r="G91" t="s">
        <v>1540</v>
      </c>
      <c r="H91" t="s">
        <v>1540</v>
      </c>
      <c r="I91" t="s">
        <v>1540</v>
      </c>
      <c r="J91" t="s">
        <v>1540</v>
      </c>
      <c r="K91" t="s">
        <v>1538</v>
      </c>
      <c r="L91">
        <v>186</v>
      </c>
      <c r="M91">
        <v>3.5</v>
      </c>
      <c r="N91">
        <v>3.4</v>
      </c>
      <c r="O91">
        <v>7.3</v>
      </c>
    </row>
    <row r="92" spans="1:15" x14ac:dyDescent="0.25">
      <c r="A92" t="s">
        <v>288</v>
      </c>
      <c r="B92" t="s">
        <v>289</v>
      </c>
      <c r="C92" t="s">
        <v>100</v>
      </c>
      <c r="D92" t="s">
        <v>290</v>
      </c>
      <c r="E92" t="s">
        <v>1540</v>
      </c>
      <c r="F92" t="s">
        <v>1540</v>
      </c>
      <c r="G92" t="s">
        <v>1540</v>
      </c>
      <c r="H92" t="s">
        <v>1540</v>
      </c>
      <c r="I92" t="s">
        <v>1540</v>
      </c>
      <c r="J92" t="s">
        <v>1540</v>
      </c>
      <c r="K92" t="s">
        <v>1538</v>
      </c>
      <c r="L92" t="s">
        <v>1539</v>
      </c>
      <c r="M92">
        <v>0</v>
      </c>
      <c r="N92">
        <v>1529.8</v>
      </c>
      <c r="O92">
        <v>1442.5</v>
      </c>
    </row>
    <row r="93" spans="1:15" x14ac:dyDescent="0.25">
      <c r="A93" t="s">
        <v>291</v>
      </c>
      <c r="B93" t="s">
        <v>292</v>
      </c>
      <c r="C93" t="s">
        <v>100</v>
      </c>
      <c r="D93" t="s">
        <v>293</v>
      </c>
      <c r="E93" t="s">
        <v>1540</v>
      </c>
      <c r="F93" t="s">
        <v>1540</v>
      </c>
      <c r="G93" t="s">
        <v>1540</v>
      </c>
      <c r="H93" t="s">
        <v>1540</v>
      </c>
      <c r="I93" t="s">
        <v>1540</v>
      </c>
      <c r="J93" t="s">
        <v>1540</v>
      </c>
      <c r="K93" t="s">
        <v>1538</v>
      </c>
      <c r="L93" t="s">
        <v>1539</v>
      </c>
      <c r="M93">
        <v>0</v>
      </c>
      <c r="N93">
        <v>1236.5999999999999</v>
      </c>
      <c r="O93">
        <v>1521.8</v>
      </c>
    </row>
    <row r="94" spans="1:15" x14ac:dyDescent="0.25">
      <c r="A94" t="s">
        <v>294</v>
      </c>
      <c r="B94" t="s">
        <v>295</v>
      </c>
      <c r="C94" t="s">
        <v>100</v>
      </c>
      <c r="D94" t="s">
        <v>296</v>
      </c>
      <c r="E94" t="s">
        <v>1540</v>
      </c>
      <c r="F94" t="s">
        <v>1540</v>
      </c>
      <c r="G94" t="s">
        <v>1540</v>
      </c>
      <c r="H94" t="s">
        <v>1540</v>
      </c>
      <c r="I94" t="s">
        <v>1540</v>
      </c>
      <c r="J94" t="s">
        <v>1540</v>
      </c>
      <c r="K94" t="s">
        <v>1538</v>
      </c>
      <c r="L94" t="s">
        <v>1539</v>
      </c>
      <c r="M94">
        <v>0</v>
      </c>
      <c r="N94">
        <v>1472.4</v>
      </c>
      <c r="O94">
        <v>1094</v>
      </c>
    </row>
    <row r="95" spans="1:15" x14ac:dyDescent="0.25">
      <c r="A95" t="s">
        <v>297</v>
      </c>
      <c r="B95" t="s">
        <v>298</v>
      </c>
      <c r="C95" t="s">
        <v>100</v>
      </c>
      <c r="D95" t="s">
        <v>299</v>
      </c>
      <c r="E95" t="s">
        <v>1540</v>
      </c>
      <c r="F95" t="s">
        <v>1540</v>
      </c>
      <c r="G95" t="s">
        <v>1540</v>
      </c>
      <c r="H95" t="s">
        <v>1540</v>
      </c>
      <c r="I95" t="s">
        <v>1540</v>
      </c>
      <c r="J95" t="s">
        <v>1540</v>
      </c>
      <c r="K95" t="s">
        <v>1538</v>
      </c>
      <c r="L95" t="s">
        <v>1539</v>
      </c>
      <c r="M95">
        <v>0</v>
      </c>
      <c r="N95">
        <v>1600.5</v>
      </c>
      <c r="O95">
        <v>1438.9</v>
      </c>
    </row>
    <row r="96" spans="1:15" x14ac:dyDescent="0.25">
      <c r="A96" t="s">
        <v>300</v>
      </c>
      <c r="B96" t="s">
        <v>301</v>
      </c>
      <c r="C96" t="s">
        <v>100</v>
      </c>
      <c r="D96" t="s">
        <v>302</v>
      </c>
      <c r="E96" t="s">
        <v>1540</v>
      </c>
      <c r="F96" t="s">
        <v>1540</v>
      </c>
      <c r="G96" t="s">
        <v>1540</v>
      </c>
      <c r="H96" t="s">
        <v>1540</v>
      </c>
      <c r="I96" t="s">
        <v>1540</v>
      </c>
      <c r="J96" t="s">
        <v>1540</v>
      </c>
      <c r="K96" t="s">
        <v>1538</v>
      </c>
      <c r="L96" t="s">
        <v>1539</v>
      </c>
      <c r="M96">
        <v>1666.7</v>
      </c>
      <c r="N96">
        <v>1666.7</v>
      </c>
      <c r="O96">
        <v>1666.7</v>
      </c>
    </row>
    <row r="97" spans="1:15" x14ac:dyDescent="0.25">
      <c r="A97" t="s">
        <v>303</v>
      </c>
      <c r="B97" t="s">
        <v>304</v>
      </c>
      <c r="C97" t="s">
        <v>100</v>
      </c>
      <c r="D97" t="s">
        <v>305</v>
      </c>
      <c r="E97" t="s">
        <v>1540</v>
      </c>
      <c r="F97" t="s">
        <v>1540</v>
      </c>
      <c r="G97" t="s">
        <v>1540</v>
      </c>
      <c r="H97" t="s">
        <v>1540</v>
      </c>
      <c r="I97" t="s">
        <v>1540</v>
      </c>
      <c r="J97" t="s">
        <v>1540</v>
      </c>
      <c r="K97" t="s">
        <v>1538</v>
      </c>
      <c r="L97" t="s">
        <v>1539</v>
      </c>
      <c r="M97">
        <v>1666.7</v>
      </c>
      <c r="N97">
        <v>1666.7</v>
      </c>
      <c r="O97">
        <v>1666.7</v>
      </c>
    </row>
    <row r="98" spans="1:15" x14ac:dyDescent="0.25">
      <c r="A98" t="s">
        <v>306</v>
      </c>
      <c r="B98" t="s">
        <v>307</v>
      </c>
      <c r="C98" t="s">
        <v>100</v>
      </c>
      <c r="D98" t="s">
        <v>308</v>
      </c>
      <c r="E98" t="s">
        <v>1540</v>
      </c>
      <c r="F98" t="s">
        <v>1540</v>
      </c>
      <c r="G98" t="s">
        <v>1540</v>
      </c>
      <c r="H98" t="s">
        <v>1540</v>
      </c>
      <c r="I98" t="s">
        <v>1540</v>
      </c>
      <c r="J98" t="s">
        <v>1540</v>
      </c>
      <c r="K98" t="s">
        <v>1538</v>
      </c>
      <c r="L98">
        <v>0</v>
      </c>
      <c r="M98">
        <v>-0.9</v>
      </c>
      <c r="N98">
        <v>-0.8</v>
      </c>
      <c r="O98">
        <v>-0.8</v>
      </c>
    </row>
    <row r="99" spans="1:15" x14ac:dyDescent="0.25">
      <c r="A99" t="s">
        <v>309</v>
      </c>
      <c r="B99" t="s">
        <v>310</v>
      </c>
      <c r="C99" t="s">
        <v>100</v>
      </c>
      <c r="D99" t="s">
        <v>311</v>
      </c>
      <c r="E99" t="s">
        <v>1540</v>
      </c>
      <c r="F99" t="s">
        <v>1540</v>
      </c>
      <c r="G99" t="s">
        <v>1540</v>
      </c>
      <c r="H99" t="s">
        <v>1540</v>
      </c>
      <c r="I99" t="s">
        <v>1540</v>
      </c>
      <c r="J99" t="s">
        <v>1540</v>
      </c>
      <c r="K99" t="s">
        <v>1538</v>
      </c>
      <c r="L99">
        <v>0.26</v>
      </c>
      <c r="M99">
        <v>-19.2</v>
      </c>
      <c r="N99">
        <v>12</v>
      </c>
      <c r="O99">
        <v>4.3</v>
      </c>
    </row>
    <row r="100" spans="1:15" x14ac:dyDescent="0.25">
      <c r="A100" t="s">
        <v>312</v>
      </c>
      <c r="B100" t="s">
        <v>313</v>
      </c>
      <c r="C100" t="s">
        <v>100</v>
      </c>
      <c r="D100" t="s">
        <v>314</v>
      </c>
      <c r="E100" t="s">
        <v>1540</v>
      </c>
      <c r="F100" t="s">
        <v>1540</v>
      </c>
      <c r="G100" t="s">
        <v>1540</v>
      </c>
      <c r="H100" t="s">
        <v>1540</v>
      </c>
      <c r="I100" t="s">
        <v>1540</v>
      </c>
      <c r="J100" t="s">
        <v>1540</v>
      </c>
      <c r="K100" t="s">
        <v>1538</v>
      </c>
      <c r="L100">
        <v>2.23</v>
      </c>
      <c r="M100">
        <v>-89</v>
      </c>
      <c r="N100">
        <v>39.799999999999997</v>
      </c>
      <c r="O100">
        <v>37.200000000000003</v>
      </c>
    </row>
    <row r="101" spans="1:15" x14ac:dyDescent="0.25">
      <c r="A101" t="s">
        <v>315</v>
      </c>
      <c r="B101" t="s">
        <v>316</v>
      </c>
      <c r="C101" t="s">
        <v>100</v>
      </c>
      <c r="D101" t="s">
        <v>317</v>
      </c>
      <c r="E101" t="s">
        <v>1540</v>
      </c>
      <c r="F101" t="s">
        <v>1540</v>
      </c>
      <c r="G101" t="s">
        <v>1540</v>
      </c>
      <c r="H101" t="s">
        <v>1540</v>
      </c>
      <c r="I101" t="s">
        <v>1540</v>
      </c>
      <c r="J101" t="s">
        <v>1540</v>
      </c>
      <c r="K101" t="s">
        <v>1538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318</v>
      </c>
      <c r="B102" t="s">
        <v>319</v>
      </c>
      <c r="C102" t="s">
        <v>100</v>
      </c>
      <c r="D102" t="s">
        <v>320</v>
      </c>
      <c r="E102" t="s">
        <v>1540</v>
      </c>
      <c r="F102" t="s">
        <v>1540</v>
      </c>
      <c r="G102" t="s">
        <v>1540</v>
      </c>
      <c r="H102" t="s">
        <v>1540</v>
      </c>
      <c r="I102" t="s">
        <v>1540</v>
      </c>
      <c r="J102" t="s">
        <v>1540</v>
      </c>
      <c r="K102" t="s">
        <v>1538</v>
      </c>
      <c r="L102">
        <v>188</v>
      </c>
      <c r="M102">
        <v>102.4</v>
      </c>
      <c r="N102">
        <v>218.8</v>
      </c>
      <c r="O102">
        <v>207.2</v>
      </c>
    </row>
    <row r="103" spans="1:15" x14ac:dyDescent="0.25">
      <c r="A103" t="s">
        <v>321</v>
      </c>
      <c r="B103" t="s">
        <v>322</v>
      </c>
      <c r="C103" t="s">
        <v>100</v>
      </c>
      <c r="D103" t="s">
        <v>323</v>
      </c>
      <c r="E103" t="s">
        <v>1540</v>
      </c>
      <c r="F103" t="s">
        <v>1540</v>
      </c>
      <c r="G103" t="s">
        <v>1540</v>
      </c>
      <c r="H103" t="s">
        <v>1540</v>
      </c>
      <c r="I103" t="s">
        <v>1540</v>
      </c>
      <c r="J103" t="s">
        <v>1540</v>
      </c>
      <c r="K103" t="s">
        <v>1538</v>
      </c>
      <c r="L103" t="s">
        <v>1539</v>
      </c>
      <c r="M103">
        <v>1666.7</v>
      </c>
      <c r="N103">
        <v>1666.7</v>
      </c>
      <c r="O103">
        <v>1666.7</v>
      </c>
    </row>
    <row r="104" spans="1:15" x14ac:dyDescent="0.25">
      <c r="A104" t="s">
        <v>324</v>
      </c>
      <c r="B104" t="s">
        <v>325</v>
      </c>
      <c r="C104" t="s">
        <v>100</v>
      </c>
      <c r="D104" t="s">
        <v>326</v>
      </c>
      <c r="E104" t="s">
        <v>1540</v>
      </c>
      <c r="F104" t="s">
        <v>1540</v>
      </c>
      <c r="G104" t="s">
        <v>1540</v>
      </c>
      <c r="H104" t="s">
        <v>1540</v>
      </c>
      <c r="I104" t="s">
        <v>1540</v>
      </c>
      <c r="J104" t="s">
        <v>1540</v>
      </c>
      <c r="K104" t="s">
        <v>1538</v>
      </c>
      <c r="L104" t="s">
        <v>1539</v>
      </c>
      <c r="M104">
        <v>1666.7</v>
      </c>
      <c r="N104">
        <v>1666.7</v>
      </c>
      <c r="O104">
        <v>1666.7</v>
      </c>
    </row>
    <row r="105" spans="1:15" x14ac:dyDescent="0.25">
      <c r="A105" t="s">
        <v>327</v>
      </c>
      <c r="B105" t="s">
        <v>328</v>
      </c>
      <c r="C105" t="s">
        <v>100</v>
      </c>
      <c r="D105" t="s">
        <v>329</v>
      </c>
      <c r="E105" t="s">
        <v>1540</v>
      </c>
      <c r="F105" t="s">
        <v>1540</v>
      </c>
      <c r="G105" t="s">
        <v>1540</v>
      </c>
      <c r="H105" t="s">
        <v>1540</v>
      </c>
      <c r="I105" t="s">
        <v>1540</v>
      </c>
      <c r="J105" t="s">
        <v>1540</v>
      </c>
      <c r="K105" t="s">
        <v>1538</v>
      </c>
      <c r="L105" t="s">
        <v>1539</v>
      </c>
      <c r="M105">
        <v>0</v>
      </c>
      <c r="N105">
        <v>1666.7</v>
      </c>
      <c r="O105">
        <v>1666.2</v>
      </c>
    </row>
    <row r="106" spans="1:15" x14ac:dyDescent="0.25">
      <c r="A106" t="s">
        <v>330</v>
      </c>
      <c r="B106" t="s">
        <v>331</v>
      </c>
      <c r="C106" t="s">
        <v>100</v>
      </c>
      <c r="D106" t="s">
        <v>332</v>
      </c>
      <c r="E106" t="s">
        <v>1540</v>
      </c>
      <c r="F106" t="s">
        <v>1540</v>
      </c>
      <c r="G106" t="s">
        <v>1540</v>
      </c>
      <c r="H106" t="s">
        <v>1540</v>
      </c>
      <c r="I106" t="s">
        <v>1540</v>
      </c>
      <c r="J106" t="s">
        <v>1540</v>
      </c>
      <c r="K106" t="s">
        <v>1538</v>
      </c>
      <c r="L106">
        <v>11.64</v>
      </c>
      <c r="M106">
        <v>659.7</v>
      </c>
      <c r="N106">
        <v>287.89999999999998</v>
      </c>
      <c r="O106">
        <v>194</v>
      </c>
    </row>
    <row r="107" spans="1:15" x14ac:dyDescent="0.25">
      <c r="A107" t="s">
        <v>333</v>
      </c>
      <c r="B107" t="s">
        <v>334</v>
      </c>
      <c r="C107" t="s">
        <v>100</v>
      </c>
      <c r="D107" t="s">
        <v>335</v>
      </c>
      <c r="E107" t="s">
        <v>1540</v>
      </c>
      <c r="F107" t="s">
        <v>1540</v>
      </c>
      <c r="G107" t="s">
        <v>1540</v>
      </c>
      <c r="H107" t="s">
        <v>1540</v>
      </c>
      <c r="I107" t="s">
        <v>1540</v>
      </c>
      <c r="J107" t="s">
        <v>1540</v>
      </c>
      <c r="K107" t="s">
        <v>1538</v>
      </c>
      <c r="L107">
        <v>0.3</v>
      </c>
      <c r="M107">
        <v>0.4</v>
      </c>
      <c r="N107">
        <v>9.9</v>
      </c>
      <c r="O107">
        <v>5</v>
      </c>
    </row>
    <row r="108" spans="1:15" x14ac:dyDescent="0.25">
      <c r="A108" t="s">
        <v>336</v>
      </c>
      <c r="B108" t="s">
        <v>337</v>
      </c>
      <c r="C108" t="s">
        <v>100</v>
      </c>
      <c r="D108" t="s">
        <v>338</v>
      </c>
      <c r="E108" t="s">
        <v>1540</v>
      </c>
      <c r="F108" t="s">
        <v>1540</v>
      </c>
      <c r="G108" t="s">
        <v>1540</v>
      </c>
      <c r="H108" t="s">
        <v>1540</v>
      </c>
      <c r="I108" t="s">
        <v>1540</v>
      </c>
      <c r="J108" t="s">
        <v>1540</v>
      </c>
      <c r="K108" t="s">
        <v>1538</v>
      </c>
      <c r="L108" t="s">
        <v>1539</v>
      </c>
      <c r="M108">
        <v>1666.7</v>
      </c>
      <c r="N108">
        <v>1666.7</v>
      </c>
      <c r="O108">
        <v>1666.7</v>
      </c>
    </row>
    <row r="109" spans="1:15" x14ac:dyDescent="0.25">
      <c r="A109" t="s">
        <v>339</v>
      </c>
      <c r="B109" t="s">
        <v>340</v>
      </c>
      <c r="C109" t="s">
        <v>100</v>
      </c>
      <c r="D109" t="s">
        <v>341</v>
      </c>
      <c r="E109" t="s">
        <v>1540</v>
      </c>
      <c r="F109" t="s">
        <v>1540</v>
      </c>
      <c r="G109" t="s">
        <v>1540</v>
      </c>
      <c r="H109" t="s">
        <v>1540</v>
      </c>
      <c r="I109" t="s">
        <v>1540</v>
      </c>
      <c r="J109" t="s">
        <v>1540</v>
      </c>
      <c r="K109" t="s">
        <v>1538</v>
      </c>
      <c r="L109">
        <v>17.5</v>
      </c>
      <c r="M109">
        <v>0</v>
      </c>
      <c r="N109">
        <v>165.8</v>
      </c>
      <c r="O109">
        <v>291.60000000000002</v>
      </c>
    </row>
    <row r="110" spans="1:15" x14ac:dyDescent="0.25">
      <c r="A110" t="s">
        <v>342</v>
      </c>
      <c r="B110" t="s">
        <v>343</v>
      </c>
      <c r="C110" t="s">
        <v>100</v>
      </c>
      <c r="D110" t="s">
        <v>344</v>
      </c>
      <c r="E110" t="s">
        <v>1540</v>
      </c>
      <c r="F110" t="s">
        <v>1540</v>
      </c>
      <c r="G110" t="s">
        <v>1540</v>
      </c>
      <c r="H110" t="s">
        <v>1540</v>
      </c>
      <c r="I110" t="s">
        <v>1540</v>
      </c>
      <c r="J110" t="s">
        <v>1540</v>
      </c>
      <c r="K110" t="s">
        <v>1538</v>
      </c>
      <c r="L110">
        <v>1.82</v>
      </c>
      <c r="M110">
        <v>6.6</v>
      </c>
      <c r="N110">
        <v>6.5</v>
      </c>
      <c r="O110">
        <v>30.3</v>
      </c>
    </row>
    <row r="111" spans="1:15" x14ac:dyDescent="0.25">
      <c r="A111" t="s">
        <v>345</v>
      </c>
      <c r="B111" t="s">
        <v>346</v>
      </c>
      <c r="C111" t="s">
        <v>100</v>
      </c>
      <c r="D111" t="s">
        <v>347</v>
      </c>
      <c r="E111" t="s">
        <v>1540</v>
      </c>
      <c r="F111" t="s">
        <v>1540</v>
      </c>
      <c r="G111" t="s">
        <v>1540</v>
      </c>
      <c r="H111" t="s">
        <v>1540</v>
      </c>
      <c r="I111" t="s">
        <v>1540</v>
      </c>
      <c r="J111" t="s">
        <v>1540</v>
      </c>
      <c r="K111" t="s">
        <v>1538</v>
      </c>
      <c r="L111">
        <v>1.3</v>
      </c>
      <c r="M111">
        <v>13.4</v>
      </c>
      <c r="N111">
        <v>14.5</v>
      </c>
      <c r="O111">
        <v>21.7</v>
      </c>
    </row>
    <row r="112" spans="1:15" x14ac:dyDescent="0.25">
      <c r="A112" t="s">
        <v>348</v>
      </c>
      <c r="B112" t="s">
        <v>349</v>
      </c>
      <c r="C112" t="s">
        <v>100</v>
      </c>
      <c r="D112" t="s">
        <v>350</v>
      </c>
      <c r="E112" t="s">
        <v>1540</v>
      </c>
      <c r="F112" t="s">
        <v>1540</v>
      </c>
      <c r="G112" t="s">
        <v>1540</v>
      </c>
      <c r="H112" t="s">
        <v>1540</v>
      </c>
      <c r="I112" t="s">
        <v>1540</v>
      </c>
      <c r="J112" t="s">
        <v>1540</v>
      </c>
      <c r="K112" t="s">
        <v>1538</v>
      </c>
      <c r="L112" t="s">
        <v>1539</v>
      </c>
      <c r="M112">
        <v>1666.7</v>
      </c>
      <c r="N112">
        <v>1666.7</v>
      </c>
      <c r="O112">
        <v>1666.7</v>
      </c>
    </row>
    <row r="113" spans="1:15" x14ac:dyDescent="0.25">
      <c r="A113" t="s">
        <v>351</v>
      </c>
      <c r="B113" t="s">
        <v>352</v>
      </c>
      <c r="C113" t="s">
        <v>100</v>
      </c>
      <c r="D113" t="s">
        <v>353</v>
      </c>
      <c r="E113" t="s">
        <v>1540</v>
      </c>
      <c r="F113" t="s">
        <v>1540</v>
      </c>
      <c r="G113" t="s">
        <v>1540</v>
      </c>
      <c r="H113" t="s">
        <v>1540</v>
      </c>
      <c r="I113" t="s">
        <v>1540</v>
      </c>
      <c r="J113" t="s">
        <v>1540</v>
      </c>
      <c r="K113" t="s">
        <v>1538</v>
      </c>
      <c r="L113">
        <v>191</v>
      </c>
      <c r="M113">
        <v>106.6</v>
      </c>
      <c r="N113">
        <v>89.9</v>
      </c>
      <c r="O113">
        <v>310</v>
      </c>
    </row>
    <row r="114" spans="1:15" x14ac:dyDescent="0.25">
      <c r="A114" t="s">
        <v>354</v>
      </c>
      <c r="B114" t="s">
        <v>355</v>
      </c>
      <c r="C114" t="s">
        <v>100</v>
      </c>
      <c r="D114" t="s">
        <v>356</v>
      </c>
      <c r="E114" t="s">
        <v>1540</v>
      </c>
      <c r="F114" t="s">
        <v>1540</v>
      </c>
      <c r="G114" t="s">
        <v>1540</v>
      </c>
      <c r="H114" t="s">
        <v>1540</v>
      </c>
      <c r="I114" t="s">
        <v>1540</v>
      </c>
      <c r="J114" t="s">
        <v>1540</v>
      </c>
      <c r="K114" t="s">
        <v>1538</v>
      </c>
      <c r="L114">
        <v>191</v>
      </c>
      <c r="M114">
        <v>56.1</v>
      </c>
      <c r="N114">
        <v>233.7</v>
      </c>
      <c r="O114">
        <v>329.5</v>
      </c>
    </row>
    <row r="115" spans="1:15" x14ac:dyDescent="0.25">
      <c r="A115" t="s">
        <v>357</v>
      </c>
      <c r="B115" t="s">
        <v>358</v>
      </c>
      <c r="C115" t="s">
        <v>100</v>
      </c>
      <c r="D115" t="s">
        <v>359</v>
      </c>
      <c r="E115" t="s">
        <v>1540</v>
      </c>
      <c r="F115" t="s">
        <v>1540</v>
      </c>
      <c r="G115" t="s">
        <v>1540</v>
      </c>
      <c r="H115" t="s">
        <v>1540</v>
      </c>
      <c r="I115" t="s">
        <v>1540</v>
      </c>
      <c r="J115" t="s">
        <v>1540</v>
      </c>
      <c r="K115" t="s">
        <v>1538</v>
      </c>
      <c r="L115">
        <v>218</v>
      </c>
      <c r="M115">
        <v>136.1</v>
      </c>
      <c r="N115">
        <v>488.4</v>
      </c>
      <c r="O115">
        <v>513.29999999999995</v>
      </c>
    </row>
    <row r="116" spans="1:15" x14ac:dyDescent="0.25">
      <c r="A116" t="s">
        <v>360</v>
      </c>
      <c r="B116" t="s">
        <v>361</v>
      </c>
      <c r="C116" t="s">
        <v>100</v>
      </c>
      <c r="D116" t="s">
        <v>362</v>
      </c>
      <c r="E116" t="s">
        <v>1540</v>
      </c>
      <c r="F116" t="s">
        <v>1540</v>
      </c>
      <c r="G116" t="s">
        <v>1540</v>
      </c>
      <c r="H116" t="s">
        <v>1540</v>
      </c>
      <c r="I116" t="s">
        <v>1540</v>
      </c>
      <c r="J116" t="s">
        <v>1540</v>
      </c>
      <c r="K116" t="s">
        <v>1538</v>
      </c>
      <c r="L116">
        <v>186</v>
      </c>
      <c r="M116">
        <v>144.69999999999999</v>
      </c>
      <c r="N116">
        <v>384.7</v>
      </c>
      <c r="O116">
        <v>419.8</v>
      </c>
    </row>
    <row r="117" spans="1:15" x14ac:dyDescent="0.25">
      <c r="A117" t="s">
        <v>363</v>
      </c>
      <c r="B117" t="s">
        <v>364</v>
      </c>
      <c r="C117" t="s">
        <v>100</v>
      </c>
      <c r="D117" t="s">
        <v>365</v>
      </c>
      <c r="E117" t="s">
        <v>1540</v>
      </c>
      <c r="F117" t="s">
        <v>1540</v>
      </c>
      <c r="G117" t="s">
        <v>1540</v>
      </c>
      <c r="H117" t="s">
        <v>1540</v>
      </c>
      <c r="I117" t="s">
        <v>1540</v>
      </c>
      <c r="J117" t="s">
        <v>1540</v>
      </c>
      <c r="K117" t="s">
        <v>1538</v>
      </c>
      <c r="L117">
        <v>191</v>
      </c>
      <c r="M117">
        <v>26.6</v>
      </c>
      <c r="N117">
        <v>24.7</v>
      </c>
      <c r="O117">
        <v>1254.8</v>
      </c>
    </row>
    <row r="118" spans="1:15" x14ac:dyDescent="0.25">
      <c r="A118" t="s">
        <v>366</v>
      </c>
      <c r="B118" t="s">
        <v>367</v>
      </c>
      <c r="C118" t="s">
        <v>100</v>
      </c>
      <c r="D118" t="s">
        <v>368</v>
      </c>
      <c r="E118" t="s">
        <v>1540</v>
      </c>
      <c r="F118" t="s">
        <v>1540</v>
      </c>
      <c r="G118" t="s">
        <v>1540</v>
      </c>
      <c r="H118" t="s">
        <v>1540</v>
      </c>
      <c r="I118" t="s">
        <v>1540</v>
      </c>
      <c r="J118" t="s">
        <v>1540</v>
      </c>
      <c r="K118" t="s">
        <v>1538</v>
      </c>
      <c r="L118">
        <v>140</v>
      </c>
      <c r="M118">
        <v>264.7</v>
      </c>
      <c r="N118">
        <v>161.5</v>
      </c>
      <c r="O118">
        <v>159.30000000000001</v>
      </c>
    </row>
    <row r="119" spans="1:15" x14ac:dyDescent="0.25">
      <c r="A119" t="s">
        <v>369</v>
      </c>
      <c r="B119" t="s">
        <v>370</v>
      </c>
      <c r="C119" t="s">
        <v>100</v>
      </c>
      <c r="D119" t="s">
        <v>371</v>
      </c>
      <c r="E119" t="s">
        <v>1540</v>
      </c>
      <c r="F119" t="s">
        <v>1540</v>
      </c>
      <c r="G119" t="s">
        <v>1540</v>
      </c>
      <c r="H119" t="s">
        <v>1540</v>
      </c>
      <c r="I119" t="s">
        <v>1540</v>
      </c>
      <c r="J119" t="s">
        <v>1540</v>
      </c>
      <c r="K119" t="s">
        <v>1538</v>
      </c>
      <c r="L119">
        <v>191</v>
      </c>
      <c r="M119">
        <v>9.1999999999999993</v>
      </c>
      <c r="N119">
        <v>9</v>
      </c>
      <c r="O119">
        <v>8.8000000000000007</v>
      </c>
    </row>
    <row r="120" spans="1:15" x14ac:dyDescent="0.25">
      <c r="A120" t="s">
        <v>372</v>
      </c>
      <c r="B120" t="s">
        <v>373</v>
      </c>
      <c r="C120" t="s">
        <v>100</v>
      </c>
      <c r="D120" t="s">
        <v>374</v>
      </c>
      <c r="E120" t="s">
        <v>1540</v>
      </c>
      <c r="F120" t="s">
        <v>1540</v>
      </c>
      <c r="G120" t="s">
        <v>1540</v>
      </c>
      <c r="H120" t="s">
        <v>1540</v>
      </c>
      <c r="I120" t="s">
        <v>1540</v>
      </c>
      <c r="J120" t="s">
        <v>1540</v>
      </c>
      <c r="K120" t="s">
        <v>1538</v>
      </c>
      <c r="L120">
        <v>213</v>
      </c>
      <c r="M120">
        <v>106.7</v>
      </c>
      <c r="N120">
        <v>104.9</v>
      </c>
      <c r="O120">
        <v>86</v>
      </c>
    </row>
    <row r="121" spans="1:15" x14ac:dyDescent="0.25">
      <c r="A121" t="s">
        <v>375</v>
      </c>
      <c r="B121" t="s">
        <v>376</v>
      </c>
      <c r="C121" t="s">
        <v>100</v>
      </c>
      <c r="D121" t="s">
        <v>377</v>
      </c>
      <c r="E121" t="s">
        <v>1540</v>
      </c>
      <c r="F121" t="s">
        <v>1540</v>
      </c>
      <c r="G121" t="s">
        <v>1540</v>
      </c>
      <c r="H121" t="s">
        <v>1540</v>
      </c>
      <c r="I121" t="s">
        <v>1540</v>
      </c>
      <c r="J121" t="s">
        <v>1540</v>
      </c>
      <c r="K121" t="s">
        <v>1538</v>
      </c>
      <c r="L121" t="s">
        <v>1539</v>
      </c>
      <c r="M121">
        <v>1666.7</v>
      </c>
      <c r="N121">
        <v>1666.7</v>
      </c>
      <c r="O121">
        <v>1666.7</v>
      </c>
    </row>
    <row r="122" spans="1:15" x14ac:dyDescent="0.25">
      <c r="A122" t="s">
        <v>378</v>
      </c>
      <c r="B122" t="s">
        <v>379</v>
      </c>
      <c r="C122" t="s">
        <v>100</v>
      </c>
      <c r="D122" t="s">
        <v>380</v>
      </c>
      <c r="E122" t="s">
        <v>1540</v>
      </c>
      <c r="F122" t="s">
        <v>1540</v>
      </c>
      <c r="G122" t="s">
        <v>1540</v>
      </c>
      <c r="H122" t="s">
        <v>1540</v>
      </c>
      <c r="I122" t="s">
        <v>1540</v>
      </c>
      <c r="J122" t="s">
        <v>1540</v>
      </c>
      <c r="K122" t="s">
        <v>1538</v>
      </c>
      <c r="L122">
        <v>213</v>
      </c>
      <c r="M122">
        <v>127.3</v>
      </c>
      <c r="N122">
        <v>118</v>
      </c>
      <c r="O122">
        <v>106.2</v>
      </c>
    </row>
    <row r="123" spans="1:15" x14ac:dyDescent="0.25">
      <c r="A123" t="s">
        <v>381</v>
      </c>
      <c r="B123" t="s">
        <v>382</v>
      </c>
      <c r="C123" t="s">
        <v>100</v>
      </c>
      <c r="D123" t="s">
        <v>383</v>
      </c>
      <c r="E123" t="s">
        <v>1540</v>
      </c>
      <c r="F123" t="s">
        <v>1540</v>
      </c>
      <c r="G123" t="s">
        <v>1540</v>
      </c>
      <c r="H123" t="s">
        <v>1540</v>
      </c>
      <c r="I123" t="s">
        <v>1540</v>
      </c>
      <c r="J123" t="s">
        <v>1540</v>
      </c>
      <c r="K123" t="s">
        <v>1538</v>
      </c>
      <c r="L123" t="s">
        <v>1539</v>
      </c>
      <c r="M123">
        <v>1666.7</v>
      </c>
      <c r="N123">
        <v>1666.7</v>
      </c>
      <c r="O123">
        <v>1666.7</v>
      </c>
    </row>
    <row r="124" spans="1:15" x14ac:dyDescent="0.25">
      <c r="A124" t="s">
        <v>384</v>
      </c>
      <c r="B124" t="s">
        <v>385</v>
      </c>
      <c r="C124" t="s">
        <v>100</v>
      </c>
      <c r="D124" t="s">
        <v>386</v>
      </c>
      <c r="E124" t="s">
        <v>1540</v>
      </c>
      <c r="F124" t="s">
        <v>1540</v>
      </c>
      <c r="G124" t="s">
        <v>1540</v>
      </c>
      <c r="H124" t="s">
        <v>1540</v>
      </c>
      <c r="I124" t="s">
        <v>1540</v>
      </c>
      <c r="J124" t="s">
        <v>1540</v>
      </c>
      <c r="K124" t="s">
        <v>1538</v>
      </c>
      <c r="L124" t="s">
        <v>1539</v>
      </c>
      <c r="M124">
        <v>1666.7</v>
      </c>
      <c r="N124">
        <v>1666.7</v>
      </c>
      <c r="O124">
        <v>1666.7</v>
      </c>
    </row>
    <row r="125" spans="1:15" x14ac:dyDescent="0.25">
      <c r="A125" t="s">
        <v>387</v>
      </c>
      <c r="B125" t="s">
        <v>388</v>
      </c>
      <c r="C125" t="s">
        <v>100</v>
      </c>
      <c r="D125" t="s">
        <v>389</v>
      </c>
      <c r="E125" t="s">
        <v>1540</v>
      </c>
      <c r="F125" t="s">
        <v>1540</v>
      </c>
      <c r="G125" t="s">
        <v>1540</v>
      </c>
      <c r="H125" t="s">
        <v>1540</v>
      </c>
      <c r="I125" t="s">
        <v>1540</v>
      </c>
      <c r="J125" t="s">
        <v>1540</v>
      </c>
      <c r="K125" t="s">
        <v>1538</v>
      </c>
      <c r="L125" t="s">
        <v>1539</v>
      </c>
      <c r="M125">
        <v>1666.7</v>
      </c>
      <c r="N125">
        <v>1666.7</v>
      </c>
      <c r="O125">
        <v>1666.7</v>
      </c>
    </row>
    <row r="126" spans="1:15" x14ac:dyDescent="0.25">
      <c r="A126" t="s">
        <v>390</v>
      </c>
      <c r="B126" t="s">
        <v>391</v>
      </c>
      <c r="C126" t="s">
        <v>100</v>
      </c>
      <c r="D126" t="s">
        <v>392</v>
      </c>
      <c r="E126" t="s">
        <v>1540</v>
      </c>
      <c r="F126" t="s">
        <v>1540</v>
      </c>
      <c r="G126" t="s">
        <v>1540</v>
      </c>
      <c r="H126" t="s">
        <v>1540</v>
      </c>
      <c r="I126" t="s">
        <v>1540</v>
      </c>
      <c r="J126" t="s">
        <v>1540</v>
      </c>
      <c r="K126" t="s">
        <v>1538</v>
      </c>
      <c r="L126" t="s">
        <v>1539</v>
      </c>
      <c r="M126">
        <v>1666.7</v>
      </c>
      <c r="N126">
        <v>1666.7</v>
      </c>
      <c r="O126">
        <v>1666.7</v>
      </c>
    </row>
    <row r="127" spans="1:15" x14ac:dyDescent="0.25">
      <c r="A127" t="s">
        <v>393</v>
      </c>
      <c r="B127" t="s">
        <v>394</v>
      </c>
      <c r="C127" t="s">
        <v>100</v>
      </c>
      <c r="D127" t="s">
        <v>395</v>
      </c>
      <c r="E127" t="s">
        <v>1540</v>
      </c>
      <c r="F127" t="s">
        <v>1540</v>
      </c>
      <c r="G127" t="s">
        <v>1540</v>
      </c>
      <c r="H127" t="s">
        <v>1540</v>
      </c>
      <c r="I127" t="s">
        <v>1540</v>
      </c>
      <c r="J127" t="s">
        <v>1540</v>
      </c>
      <c r="K127" t="s">
        <v>1538</v>
      </c>
      <c r="L127" t="s">
        <v>1539</v>
      </c>
      <c r="M127">
        <v>0</v>
      </c>
      <c r="N127">
        <v>169.6</v>
      </c>
      <c r="O127">
        <v>122.3</v>
      </c>
    </row>
    <row r="128" spans="1:15" x14ac:dyDescent="0.25">
      <c r="A128" t="s">
        <v>396</v>
      </c>
      <c r="B128" t="s">
        <v>397</v>
      </c>
      <c r="C128" t="s">
        <v>100</v>
      </c>
      <c r="D128" t="s">
        <v>398</v>
      </c>
      <c r="E128" t="s">
        <v>1540</v>
      </c>
      <c r="F128" t="s">
        <v>1540</v>
      </c>
      <c r="G128" t="s">
        <v>1540</v>
      </c>
      <c r="H128" t="s">
        <v>1540</v>
      </c>
      <c r="I128" t="s">
        <v>1540</v>
      </c>
      <c r="J128" t="s">
        <v>1540</v>
      </c>
      <c r="K128" t="s">
        <v>1538</v>
      </c>
      <c r="L128" t="s">
        <v>1539</v>
      </c>
      <c r="M128">
        <v>0</v>
      </c>
      <c r="N128">
        <v>1505.7</v>
      </c>
      <c r="O128">
        <v>1306.5999999999999</v>
      </c>
    </row>
    <row r="129" spans="1:15" x14ac:dyDescent="0.25">
      <c r="A129" t="s">
        <v>399</v>
      </c>
      <c r="B129" t="s">
        <v>400</v>
      </c>
      <c r="C129" t="s">
        <v>100</v>
      </c>
      <c r="D129" t="s">
        <v>401</v>
      </c>
      <c r="E129" t="s">
        <v>1540</v>
      </c>
      <c r="F129" t="s">
        <v>1540</v>
      </c>
      <c r="G129" t="s">
        <v>1540</v>
      </c>
      <c r="H129" t="s">
        <v>1540</v>
      </c>
      <c r="I129" t="s">
        <v>1540</v>
      </c>
      <c r="J129" t="s">
        <v>1540</v>
      </c>
      <c r="K129" t="s">
        <v>1538</v>
      </c>
      <c r="L129" t="s">
        <v>1539</v>
      </c>
      <c r="M129">
        <v>0</v>
      </c>
      <c r="N129">
        <v>1255.5999999999999</v>
      </c>
      <c r="O129">
        <v>1120.7</v>
      </c>
    </row>
    <row r="130" spans="1:15" x14ac:dyDescent="0.25">
      <c r="A130" t="s">
        <v>402</v>
      </c>
      <c r="B130" t="s">
        <v>403</v>
      </c>
      <c r="C130" t="s">
        <v>100</v>
      </c>
      <c r="D130" t="s">
        <v>404</v>
      </c>
      <c r="E130" t="s">
        <v>1540</v>
      </c>
      <c r="F130" t="s">
        <v>1540</v>
      </c>
      <c r="G130" t="s">
        <v>1540</v>
      </c>
      <c r="H130" t="s">
        <v>1540</v>
      </c>
      <c r="I130" t="s">
        <v>1540</v>
      </c>
      <c r="J130" t="s">
        <v>1540</v>
      </c>
      <c r="K130" t="s">
        <v>1538</v>
      </c>
      <c r="L130" t="s">
        <v>1539</v>
      </c>
      <c r="M130">
        <v>0</v>
      </c>
      <c r="N130">
        <v>-1772.1</v>
      </c>
      <c r="O130">
        <v>129.1</v>
      </c>
    </row>
    <row r="131" spans="1:15" x14ac:dyDescent="0.25">
      <c r="A131" t="s">
        <v>405</v>
      </c>
      <c r="B131" t="s">
        <v>406</v>
      </c>
      <c r="C131" t="s">
        <v>100</v>
      </c>
      <c r="D131" t="s">
        <v>407</v>
      </c>
      <c r="E131" t="s">
        <v>1540</v>
      </c>
      <c r="F131" t="s">
        <v>1540</v>
      </c>
      <c r="G131" t="s">
        <v>1540</v>
      </c>
      <c r="H131" t="s">
        <v>1540</v>
      </c>
      <c r="I131" t="s">
        <v>1540</v>
      </c>
      <c r="J131" t="s">
        <v>1540</v>
      </c>
      <c r="K131" t="s">
        <v>1538</v>
      </c>
      <c r="L131" t="s">
        <v>1539</v>
      </c>
      <c r="M131">
        <v>0</v>
      </c>
      <c r="N131">
        <v>801.9</v>
      </c>
      <c r="O131">
        <v>869</v>
      </c>
    </row>
    <row r="132" spans="1:15" x14ac:dyDescent="0.25">
      <c r="A132" t="s">
        <v>408</v>
      </c>
      <c r="B132" t="s">
        <v>409</v>
      </c>
      <c r="C132" t="s">
        <v>100</v>
      </c>
      <c r="D132" t="s">
        <v>410</v>
      </c>
      <c r="E132" t="s">
        <v>1540</v>
      </c>
      <c r="F132" t="s">
        <v>1540</v>
      </c>
      <c r="G132" t="s">
        <v>1540</v>
      </c>
      <c r="H132" t="s">
        <v>1540</v>
      </c>
      <c r="I132" t="s">
        <v>1540</v>
      </c>
      <c r="J132" t="s">
        <v>1540</v>
      </c>
      <c r="K132" t="s">
        <v>1538</v>
      </c>
      <c r="L132" t="s">
        <v>1539</v>
      </c>
      <c r="M132">
        <v>0</v>
      </c>
      <c r="N132">
        <v>-602.29999999999995</v>
      </c>
      <c r="O132">
        <v>-14.1</v>
      </c>
    </row>
    <row r="133" spans="1:15" x14ac:dyDescent="0.25">
      <c r="A133" t="s">
        <v>411</v>
      </c>
      <c r="B133" t="s">
        <v>412</v>
      </c>
      <c r="C133" t="s">
        <v>100</v>
      </c>
      <c r="D133" t="s">
        <v>413</v>
      </c>
      <c r="E133" t="s">
        <v>1540</v>
      </c>
      <c r="F133" t="s">
        <v>1540</v>
      </c>
      <c r="G133" t="s">
        <v>1540</v>
      </c>
      <c r="H133" t="s">
        <v>1540</v>
      </c>
      <c r="I133" t="s">
        <v>1540</v>
      </c>
      <c r="J133" t="s">
        <v>1540</v>
      </c>
      <c r="K133" t="s">
        <v>1538</v>
      </c>
      <c r="L133" t="s">
        <v>1539</v>
      </c>
      <c r="M133">
        <v>0</v>
      </c>
      <c r="N133">
        <v>1570.2</v>
      </c>
      <c r="O133">
        <v>1298.3</v>
      </c>
    </row>
    <row r="134" spans="1:15" x14ac:dyDescent="0.25">
      <c r="A134" t="s">
        <v>414</v>
      </c>
      <c r="B134" t="s">
        <v>415</v>
      </c>
      <c r="C134" t="s">
        <v>100</v>
      </c>
      <c r="D134" t="s">
        <v>416</v>
      </c>
      <c r="E134" t="s">
        <v>1540</v>
      </c>
      <c r="F134" t="s">
        <v>1540</v>
      </c>
      <c r="G134" t="s">
        <v>1540</v>
      </c>
      <c r="H134" t="s">
        <v>1540</v>
      </c>
      <c r="I134" t="s">
        <v>1540</v>
      </c>
      <c r="J134" t="s">
        <v>1540</v>
      </c>
      <c r="K134" t="s">
        <v>1538</v>
      </c>
      <c r="L134" t="s">
        <v>1539</v>
      </c>
      <c r="M134">
        <v>0</v>
      </c>
      <c r="N134">
        <v>1422.2</v>
      </c>
      <c r="O134">
        <v>1210.9000000000001</v>
      </c>
    </row>
    <row r="135" spans="1:15" x14ac:dyDescent="0.25">
      <c r="A135" t="s">
        <v>417</v>
      </c>
      <c r="B135" t="s">
        <v>418</v>
      </c>
      <c r="C135" t="s">
        <v>100</v>
      </c>
      <c r="D135" t="s">
        <v>419</v>
      </c>
      <c r="E135" t="s">
        <v>1540</v>
      </c>
      <c r="F135" t="s">
        <v>1540</v>
      </c>
      <c r="G135" t="s">
        <v>1540</v>
      </c>
      <c r="H135" t="s">
        <v>1540</v>
      </c>
      <c r="I135" t="s">
        <v>1540</v>
      </c>
      <c r="J135" t="s">
        <v>1540</v>
      </c>
      <c r="K135" t="s">
        <v>1538</v>
      </c>
      <c r="L135" t="s">
        <v>1539</v>
      </c>
      <c r="M135">
        <v>0</v>
      </c>
      <c r="N135">
        <v>1443.9</v>
      </c>
      <c r="O135">
        <v>1308.7</v>
      </c>
    </row>
    <row r="136" spans="1:15" x14ac:dyDescent="0.25">
      <c r="A136" t="s">
        <v>420</v>
      </c>
      <c r="B136" t="s">
        <v>421</v>
      </c>
      <c r="C136" t="s">
        <v>100</v>
      </c>
      <c r="D136" t="s">
        <v>422</v>
      </c>
      <c r="E136" t="s">
        <v>1540</v>
      </c>
      <c r="F136" t="s">
        <v>1540</v>
      </c>
      <c r="G136" t="s">
        <v>1540</v>
      </c>
      <c r="H136" t="s">
        <v>1540</v>
      </c>
      <c r="I136" t="s">
        <v>1540</v>
      </c>
      <c r="J136" t="s">
        <v>1540</v>
      </c>
      <c r="K136" t="s">
        <v>1538</v>
      </c>
      <c r="L136">
        <v>0</v>
      </c>
      <c r="M136">
        <v>-96</v>
      </c>
      <c r="N136">
        <v>0.3</v>
      </c>
      <c r="O136">
        <v>-11.6</v>
      </c>
    </row>
    <row r="137" spans="1:15" x14ac:dyDescent="0.25">
      <c r="A137" t="s">
        <v>423</v>
      </c>
      <c r="B137" t="s">
        <v>424</v>
      </c>
      <c r="C137" t="s">
        <v>100</v>
      </c>
      <c r="D137" t="s">
        <v>425</v>
      </c>
      <c r="E137" t="s">
        <v>1540</v>
      </c>
      <c r="F137" t="s">
        <v>1540</v>
      </c>
      <c r="G137" t="s">
        <v>1540</v>
      </c>
      <c r="H137" t="s">
        <v>1540</v>
      </c>
      <c r="I137" t="s">
        <v>1540</v>
      </c>
      <c r="J137" t="s">
        <v>1540</v>
      </c>
      <c r="K137" t="s">
        <v>1538</v>
      </c>
      <c r="L137" t="s">
        <v>1539</v>
      </c>
      <c r="M137">
        <v>0</v>
      </c>
      <c r="N137">
        <v>346.6</v>
      </c>
      <c r="O137">
        <v>712.6</v>
      </c>
    </row>
    <row r="138" spans="1:15" x14ac:dyDescent="0.25">
      <c r="A138" t="s">
        <v>426</v>
      </c>
      <c r="B138" t="s">
        <v>427</v>
      </c>
      <c r="C138" t="s">
        <v>100</v>
      </c>
      <c r="D138" t="s">
        <v>428</v>
      </c>
      <c r="E138" t="s">
        <v>1540</v>
      </c>
      <c r="F138" t="s">
        <v>1540</v>
      </c>
      <c r="G138" t="s">
        <v>1540</v>
      </c>
      <c r="H138" t="s">
        <v>1540</v>
      </c>
      <c r="I138" t="s">
        <v>1540</v>
      </c>
      <c r="J138" t="s">
        <v>1540</v>
      </c>
      <c r="K138" t="s">
        <v>1538</v>
      </c>
      <c r="L138" t="s">
        <v>1539</v>
      </c>
      <c r="M138">
        <v>0</v>
      </c>
      <c r="N138">
        <v>921.2</v>
      </c>
      <c r="O138">
        <v>852.2</v>
      </c>
    </row>
    <row r="139" spans="1:15" x14ac:dyDescent="0.25">
      <c r="A139" t="s">
        <v>429</v>
      </c>
      <c r="B139" t="s">
        <v>430</v>
      </c>
      <c r="C139" t="s">
        <v>100</v>
      </c>
      <c r="D139" t="s">
        <v>431</v>
      </c>
      <c r="E139" t="s">
        <v>1540</v>
      </c>
      <c r="F139" t="s">
        <v>1540</v>
      </c>
      <c r="G139" t="s">
        <v>1540</v>
      </c>
      <c r="H139" t="s">
        <v>1540</v>
      </c>
      <c r="I139" t="s">
        <v>1540</v>
      </c>
      <c r="J139" t="s">
        <v>1540</v>
      </c>
      <c r="K139" t="s">
        <v>1538</v>
      </c>
      <c r="L139" t="s">
        <v>1539</v>
      </c>
      <c r="M139">
        <v>0</v>
      </c>
      <c r="N139">
        <v>-421.4</v>
      </c>
      <c r="O139">
        <v>723.1</v>
      </c>
    </row>
    <row r="140" spans="1:15" x14ac:dyDescent="0.25">
      <c r="A140" t="s">
        <v>432</v>
      </c>
      <c r="B140" t="s">
        <v>433</v>
      </c>
      <c r="C140" t="s">
        <v>100</v>
      </c>
      <c r="D140" t="s">
        <v>434</v>
      </c>
      <c r="E140" t="s">
        <v>1540</v>
      </c>
      <c r="F140" t="s">
        <v>1540</v>
      </c>
      <c r="G140" t="s">
        <v>1540</v>
      </c>
      <c r="H140" t="s">
        <v>1540</v>
      </c>
      <c r="I140" t="s">
        <v>1540</v>
      </c>
      <c r="J140" t="s">
        <v>1540</v>
      </c>
      <c r="K140" t="s">
        <v>1538</v>
      </c>
      <c r="L140" t="s">
        <v>1539</v>
      </c>
      <c r="M140">
        <v>0</v>
      </c>
      <c r="N140">
        <v>1512.8</v>
      </c>
      <c r="O140">
        <v>1269.2</v>
      </c>
    </row>
    <row r="141" spans="1:15" x14ac:dyDescent="0.25">
      <c r="A141" t="s">
        <v>435</v>
      </c>
      <c r="B141" t="s">
        <v>436</v>
      </c>
      <c r="C141" t="s">
        <v>100</v>
      </c>
      <c r="D141" t="s">
        <v>437</v>
      </c>
      <c r="E141" t="s">
        <v>1540</v>
      </c>
      <c r="F141" t="s">
        <v>1540</v>
      </c>
      <c r="G141" t="s">
        <v>1540</v>
      </c>
      <c r="H141" t="s">
        <v>1540</v>
      </c>
      <c r="I141" t="s">
        <v>1540</v>
      </c>
      <c r="J141" t="s">
        <v>1540</v>
      </c>
      <c r="K141" t="s">
        <v>1538</v>
      </c>
      <c r="L141" t="s">
        <v>1539</v>
      </c>
      <c r="M141">
        <v>0</v>
      </c>
      <c r="N141">
        <v>1505.9</v>
      </c>
      <c r="O141">
        <v>1374.4</v>
      </c>
    </row>
    <row r="142" spans="1:15" x14ac:dyDescent="0.25">
      <c r="A142" t="s">
        <v>438</v>
      </c>
      <c r="B142" t="s">
        <v>439</v>
      </c>
      <c r="C142" t="s">
        <v>100</v>
      </c>
      <c r="D142" t="s">
        <v>440</v>
      </c>
      <c r="E142" t="s">
        <v>1540</v>
      </c>
      <c r="F142" t="s">
        <v>1540</v>
      </c>
      <c r="G142" t="s">
        <v>1540</v>
      </c>
      <c r="H142" t="s">
        <v>1540</v>
      </c>
      <c r="I142" t="s">
        <v>1540</v>
      </c>
      <c r="J142" t="s">
        <v>1540</v>
      </c>
      <c r="K142" t="s">
        <v>1538</v>
      </c>
      <c r="L142" t="s">
        <v>1539</v>
      </c>
      <c r="M142">
        <v>0</v>
      </c>
      <c r="N142">
        <v>1579</v>
      </c>
      <c r="O142">
        <v>1332.5</v>
      </c>
    </row>
    <row r="143" spans="1:15" x14ac:dyDescent="0.25">
      <c r="A143" t="s">
        <v>441</v>
      </c>
      <c r="B143" t="s">
        <v>442</v>
      </c>
      <c r="C143" t="s">
        <v>100</v>
      </c>
      <c r="D143" t="s">
        <v>443</v>
      </c>
      <c r="E143" t="s">
        <v>1540</v>
      </c>
      <c r="F143" t="s">
        <v>1540</v>
      </c>
      <c r="G143" t="s">
        <v>1540</v>
      </c>
      <c r="H143" t="s">
        <v>1540</v>
      </c>
      <c r="I143" t="s">
        <v>1540</v>
      </c>
      <c r="J143" t="s">
        <v>1540</v>
      </c>
      <c r="K143" t="s">
        <v>1538</v>
      </c>
      <c r="L143">
        <v>140</v>
      </c>
      <c r="M143">
        <v>1.6</v>
      </c>
      <c r="N143">
        <v>1.6</v>
      </c>
      <c r="O143">
        <v>1.5</v>
      </c>
    </row>
    <row r="144" spans="1:15" x14ac:dyDescent="0.25">
      <c r="A144" t="s">
        <v>444</v>
      </c>
      <c r="B144" t="s">
        <v>445</v>
      </c>
      <c r="C144" t="s">
        <v>100</v>
      </c>
      <c r="D144" t="s">
        <v>446</v>
      </c>
      <c r="E144" t="s">
        <v>1540</v>
      </c>
      <c r="F144" t="s">
        <v>1540</v>
      </c>
      <c r="G144" t="s">
        <v>1540</v>
      </c>
      <c r="H144" t="s">
        <v>1540</v>
      </c>
      <c r="I144" t="s">
        <v>1540</v>
      </c>
      <c r="J144" t="s">
        <v>1540</v>
      </c>
      <c r="K144" t="s">
        <v>1538</v>
      </c>
      <c r="L144">
        <v>170</v>
      </c>
      <c r="M144">
        <v>72.8</v>
      </c>
      <c r="N144">
        <v>82.1</v>
      </c>
      <c r="O144">
        <v>168.8</v>
      </c>
    </row>
    <row r="145" spans="1:15" x14ac:dyDescent="0.25">
      <c r="A145" t="s">
        <v>447</v>
      </c>
      <c r="B145" t="s">
        <v>448</v>
      </c>
      <c r="C145" t="s">
        <v>100</v>
      </c>
      <c r="D145" t="s">
        <v>449</v>
      </c>
      <c r="E145" t="s">
        <v>1540</v>
      </c>
      <c r="F145" t="s">
        <v>1540</v>
      </c>
      <c r="G145" t="s">
        <v>1540</v>
      </c>
      <c r="H145" t="s">
        <v>1540</v>
      </c>
      <c r="I145" t="s">
        <v>1540</v>
      </c>
      <c r="J145" t="s">
        <v>1540</v>
      </c>
      <c r="K145" t="s">
        <v>1538</v>
      </c>
      <c r="L145">
        <v>186</v>
      </c>
      <c r="M145">
        <v>2</v>
      </c>
      <c r="N145">
        <v>2</v>
      </c>
      <c r="O145">
        <v>1.9</v>
      </c>
    </row>
    <row r="146" spans="1:15" x14ac:dyDescent="0.25">
      <c r="A146" t="s">
        <v>450</v>
      </c>
      <c r="B146" t="s">
        <v>451</v>
      </c>
      <c r="C146" t="s">
        <v>100</v>
      </c>
      <c r="D146" t="s">
        <v>452</v>
      </c>
      <c r="E146" t="s">
        <v>1540</v>
      </c>
      <c r="F146" t="s">
        <v>1540</v>
      </c>
      <c r="G146" t="s">
        <v>1540</v>
      </c>
      <c r="H146" t="s">
        <v>1540</v>
      </c>
      <c r="I146" t="s">
        <v>1540</v>
      </c>
      <c r="J146" t="s">
        <v>1540</v>
      </c>
      <c r="K146" t="s">
        <v>1538</v>
      </c>
      <c r="L146">
        <v>186</v>
      </c>
      <c r="M146">
        <v>42.8</v>
      </c>
      <c r="N146">
        <v>58.4</v>
      </c>
      <c r="O146">
        <v>80.599999999999994</v>
      </c>
    </row>
    <row r="147" spans="1:15" x14ac:dyDescent="0.25">
      <c r="A147" t="s">
        <v>453</v>
      </c>
      <c r="B147" t="s">
        <v>454</v>
      </c>
      <c r="C147" t="s">
        <v>100</v>
      </c>
      <c r="D147" t="s">
        <v>455</v>
      </c>
      <c r="E147" t="s">
        <v>1540</v>
      </c>
      <c r="F147" t="s">
        <v>1540</v>
      </c>
      <c r="G147" t="s">
        <v>1540</v>
      </c>
      <c r="H147" t="s">
        <v>1540</v>
      </c>
      <c r="I147" t="s">
        <v>1540</v>
      </c>
      <c r="J147" t="s">
        <v>1540</v>
      </c>
      <c r="K147" t="s">
        <v>1538</v>
      </c>
      <c r="L147">
        <v>213</v>
      </c>
      <c r="M147">
        <v>188.8</v>
      </c>
      <c r="N147">
        <v>180.3</v>
      </c>
      <c r="O147">
        <v>168</v>
      </c>
    </row>
    <row r="148" spans="1:15" x14ac:dyDescent="0.25">
      <c r="A148" t="s">
        <v>456</v>
      </c>
      <c r="B148" t="s">
        <v>457</v>
      </c>
      <c r="C148" t="s">
        <v>100</v>
      </c>
      <c r="D148" t="s">
        <v>458</v>
      </c>
      <c r="E148" t="s">
        <v>1540</v>
      </c>
      <c r="F148" t="s">
        <v>1540</v>
      </c>
      <c r="G148" t="s">
        <v>1540</v>
      </c>
      <c r="H148" t="s">
        <v>1540</v>
      </c>
      <c r="I148" t="s">
        <v>1540</v>
      </c>
      <c r="J148" t="s">
        <v>1540</v>
      </c>
      <c r="K148" t="s">
        <v>1538</v>
      </c>
      <c r="L148">
        <v>213</v>
      </c>
      <c r="M148">
        <v>4.7</v>
      </c>
      <c r="N148">
        <v>4.2</v>
      </c>
      <c r="O148">
        <v>4</v>
      </c>
    </row>
    <row r="149" spans="1:15" x14ac:dyDescent="0.25">
      <c r="A149" t="s">
        <v>459</v>
      </c>
      <c r="B149" t="s">
        <v>460</v>
      </c>
      <c r="C149" t="s">
        <v>100</v>
      </c>
      <c r="D149" t="s">
        <v>461</v>
      </c>
      <c r="E149" t="s">
        <v>1540</v>
      </c>
      <c r="F149" t="s">
        <v>1540</v>
      </c>
      <c r="G149" t="s">
        <v>1540</v>
      </c>
      <c r="H149" t="s">
        <v>1540</v>
      </c>
      <c r="I149" t="s">
        <v>1540</v>
      </c>
      <c r="J149" t="s">
        <v>1540</v>
      </c>
      <c r="K149" t="s">
        <v>1538</v>
      </c>
      <c r="L149" t="s">
        <v>1539</v>
      </c>
      <c r="M149">
        <v>1666.7</v>
      </c>
      <c r="N149">
        <v>1666.7</v>
      </c>
      <c r="O149">
        <v>1666.7</v>
      </c>
    </row>
    <row r="150" spans="1:15" x14ac:dyDescent="0.25">
      <c r="A150" t="s">
        <v>462</v>
      </c>
      <c r="B150" t="s">
        <v>463</v>
      </c>
      <c r="C150" t="s">
        <v>100</v>
      </c>
      <c r="D150" t="s">
        <v>464</v>
      </c>
      <c r="E150" t="s">
        <v>1540</v>
      </c>
      <c r="F150" t="s">
        <v>1540</v>
      </c>
      <c r="G150" t="s">
        <v>1540</v>
      </c>
      <c r="H150" t="s">
        <v>1540</v>
      </c>
      <c r="I150" t="s">
        <v>1540</v>
      </c>
      <c r="J150" t="s">
        <v>1540</v>
      </c>
      <c r="K150" t="s">
        <v>1538</v>
      </c>
      <c r="L150">
        <v>170</v>
      </c>
      <c r="M150">
        <v>0.7</v>
      </c>
      <c r="N150">
        <v>2.5</v>
      </c>
      <c r="O150">
        <v>2.8</v>
      </c>
    </row>
    <row r="151" spans="1:15" x14ac:dyDescent="0.25">
      <c r="A151" t="s">
        <v>465</v>
      </c>
      <c r="B151" t="s">
        <v>466</v>
      </c>
      <c r="C151" t="s">
        <v>100</v>
      </c>
      <c r="D151" t="s">
        <v>467</v>
      </c>
      <c r="E151" t="s">
        <v>1540</v>
      </c>
      <c r="F151" t="s">
        <v>1540</v>
      </c>
      <c r="G151" t="s">
        <v>1540</v>
      </c>
      <c r="H151" t="s">
        <v>1540</v>
      </c>
      <c r="I151" t="s">
        <v>1540</v>
      </c>
      <c r="J151" t="s">
        <v>1540</v>
      </c>
      <c r="K151" t="s">
        <v>1538</v>
      </c>
      <c r="L151">
        <v>140</v>
      </c>
      <c r="M151">
        <v>2</v>
      </c>
      <c r="N151">
        <v>1.9</v>
      </c>
      <c r="O151">
        <v>2.2999999999999998</v>
      </c>
    </row>
    <row r="152" spans="1:15" x14ac:dyDescent="0.25">
      <c r="A152" t="s">
        <v>468</v>
      </c>
      <c r="B152" t="s">
        <v>469</v>
      </c>
      <c r="C152" t="s">
        <v>100</v>
      </c>
      <c r="D152" t="s">
        <v>470</v>
      </c>
      <c r="E152" t="s">
        <v>1540</v>
      </c>
      <c r="F152" t="s">
        <v>1540</v>
      </c>
      <c r="G152" t="s">
        <v>1540</v>
      </c>
      <c r="H152" t="s">
        <v>1540</v>
      </c>
      <c r="I152" t="s">
        <v>1540</v>
      </c>
      <c r="J152" t="s">
        <v>1540</v>
      </c>
      <c r="K152" t="s">
        <v>1538</v>
      </c>
      <c r="L152" t="s">
        <v>1539</v>
      </c>
      <c r="M152">
        <v>1666.7</v>
      </c>
      <c r="N152">
        <v>1666.7</v>
      </c>
      <c r="O152">
        <v>1666.7</v>
      </c>
    </row>
    <row r="153" spans="1:15" x14ac:dyDescent="0.25">
      <c r="A153" t="s">
        <v>471</v>
      </c>
      <c r="B153" t="s">
        <v>472</v>
      </c>
      <c r="C153" t="s">
        <v>100</v>
      </c>
      <c r="D153" t="s">
        <v>473</v>
      </c>
      <c r="E153" t="s">
        <v>1540</v>
      </c>
      <c r="F153" t="s">
        <v>1540</v>
      </c>
      <c r="G153" t="s">
        <v>1540</v>
      </c>
      <c r="H153" t="s">
        <v>1540</v>
      </c>
      <c r="I153" t="s">
        <v>1540</v>
      </c>
      <c r="J153" t="s">
        <v>1540</v>
      </c>
      <c r="K153" t="s">
        <v>1538</v>
      </c>
      <c r="L153">
        <v>213</v>
      </c>
      <c r="M153">
        <v>60.3</v>
      </c>
      <c r="N153">
        <v>55.6</v>
      </c>
      <c r="O153">
        <v>49.7</v>
      </c>
    </row>
    <row r="154" spans="1:15" x14ac:dyDescent="0.25">
      <c r="A154" t="s">
        <v>474</v>
      </c>
      <c r="B154" t="s">
        <v>475</v>
      </c>
      <c r="C154" t="s">
        <v>100</v>
      </c>
      <c r="D154" t="s">
        <v>476</v>
      </c>
      <c r="E154" t="s">
        <v>1540</v>
      </c>
      <c r="F154" t="s">
        <v>1540</v>
      </c>
      <c r="G154" t="s">
        <v>1540</v>
      </c>
      <c r="H154" t="s">
        <v>1540</v>
      </c>
      <c r="I154" t="s">
        <v>1540</v>
      </c>
      <c r="J154" t="s">
        <v>1540</v>
      </c>
      <c r="K154" t="s">
        <v>1538</v>
      </c>
      <c r="L154" t="s">
        <v>1539</v>
      </c>
      <c r="M154">
        <v>0</v>
      </c>
      <c r="N154">
        <v>1581.6</v>
      </c>
      <c r="O154">
        <v>1451.5</v>
      </c>
    </row>
    <row r="155" spans="1:15" x14ac:dyDescent="0.25">
      <c r="A155" t="s">
        <v>477</v>
      </c>
      <c r="B155" t="s">
        <v>478</v>
      </c>
      <c r="C155" t="s">
        <v>100</v>
      </c>
      <c r="D155" t="s">
        <v>479</v>
      </c>
      <c r="E155" t="s">
        <v>1540</v>
      </c>
      <c r="F155" t="s">
        <v>1540</v>
      </c>
      <c r="G155" t="s">
        <v>1540</v>
      </c>
      <c r="H155" t="s">
        <v>1540</v>
      </c>
      <c r="I155" t="s">
        <v>1540</v>
      </c>
      <c r="J155" t="s">
        <v>1540</v>
      </c>
      <c r="K155" t="s">
        <v>1538</v>
      </c>
      <c r="L155" t="s">
        <v>1539</v>
      </c>
      <c r="M155">
        <v>0</v>
      </c>
      <c r="N155">
        <v>1624.1</v>
      </c>
      <c r="O155">
        <v>1502.6</v>
      </c>
    </row>
    <row r="156" spans="1:15" x14ac:dyDescent="0.25">
      <c r="A156" t="s">
        <v>480</v>
      </c>
      <c r="B156" t="s">
        <v>481</v>
      </c>
      <c r="C156" t="s">
        <v>100</v>
      </c>
      <c r="D156" t="s">
        <v>482</v>
      </c>
      <c r="E156" t="s">
        <v>1540</v>
      </c>
      <c r="F156" t="s">
        <v>1540</v>
      </c>
      <c r="G156" t="s">
        <v>1540</v>
      </c>
      <c r="H156" t="s">
        <v>1540</v>
      </c>
      <c r="I156" t="s">
        <v>1540</v>
      </c>
      <c r="J156" t="s">
        <v>1540</v>
      </c>
      <c r="K156" t="s">
        <v>1538</v>
      </c>
      <c r="L156" t="s">
        <v>1539</v>
      </c>
      <c r="M156">
        <v>554.1</v>
      </c>
      <c r="N156">
        <v>537.6</v>
      </c>
      <c r="O156">
        <v>531.1</v>
      </c>
    </row>
    <row r="157" spans="1:15" x14ac:dyDescent="0.25">
      <c r="A157" t="s">
        <v>483</v>
      </c>
      <c r="B157" t="s">
        <v>484</v>
      </c>
      <c r="C157" t="s">
        <v>100</v>
      </c>
      <c r="D157" t="s">
        <v>485</v>
      </c>
      <c r="E157" t="s">
        <v>1540</v>
      </c>
      <c r="F157" t="s">
        <v>1540</v>
      </c>
      <c r="G157" t="s">
        <v>1540</v>
      </c>
      <c r="H157" t="s">
        <v>1540</v>
      </c>
      <c r="I157" t="s">
        <v>1540</v>
      </c>
      <c r="J157" t="s">
        <v>1540</v>
      </c>
      <c r="K157" t="s">
        <v>1538</v>
      </c>
      <c r="L157">
        <v>0.4</v>
      </c>
      <c r="M157">
        <v>-36.6</v>
      </c>
      <c r="N157">
        <v>-11.5</v>
      </c>
      <c r="O157">
        <v>6.6</v>
      </c>
    </row>
    <row r="158" spans="1:15" x14ac:dyDescent="0.25">
      <c r="A158" t="s">
        <v>486</v>
      </c>
      <c r="B158" t="s">
        <v>487</v>
      </c>
      <c r="C158" t="s">
        <v>100</v>
      </c>
      <c r="D158" t="s">
        <v>488</v>
      </c>
      <c r="E158" t="s">
        <v>1540</v>
      </c>
      <c r="F158" t="s">
        <v>1540</v>
      </c>
      <c r="G158" t="s">
        <v>1540</v>
      </c>
      <c r="H158" t="s">
        <v>1540</v>
      </c>
      <c r="I158" t="s">
        <v>1540</v>
      </c>
      <c r="J158" t="s">
        <v>1540</v>
      </c>
      <c r="K158" t="s">
        <v>1538</v>
      </c>
      <c r="L158">
        <v>1.63</v>
      </c>
      <c r="M158">
        <v>22.3</v>
      </c>
      <c r="N158">
        <v>35.799999999999997</v>
      </c>
      <c r="O158">
        <v>27.2</v>
      </c>
    </row>
    <row r="159" spans="1:15" x14ac:dyDescent="0.25">
      <c r="A159" t="s">
        <v>489</v>
      </c>
      <c r="B159" t="s">
        <v>490</v>
      </c>
      <c r="C159" t="s">
        <v>100</v>
      </c>
      <c r="D159" t="s">
        <v>491</v>
      </c>
      <c r="E159" t="s">
        <v>1540</v>
      </c>
      <c r="F159" t="s">
        <v>1540</v>
      </c>
      <c r="G159" t="s">
        <v>1540</v>
      </c>
      <c r="H159" t="s">
        <v>1540</v>
      </c>
      <c r="I159" t="s">
        <v>1540</v>
      </c>
      <c r="J159" t="s">
        <v>1540</v>
      </c>
      <c r="K159" t="s">
        <v>1538</v>
      </c>
      <c r="L159">
        <v>125</v>
      </c>
      <c r="M159">
        <v>194.6</v>
      </c>
      <c r="N159">
        <v>141.6</v>
      </c>
      <c r="O159">
        <v>152.1</v>
      </c>
    </row>
    <row r="160" spans="1:15" x14ac:dyDescent="0.25">
      <c r="A160" t="s">
        <v>492</v>
      </c>
      <c r="B160" t="s">
        <v>493</v>
      </c>
      <c r="C160" t="s">
        <v>100</v>
      </c>
      <c r="D160" t="s">
        <v>494</v>
      </c>
      <c r="E160" t="s">
        <v>1540</v>
      </c>
      <c r="F160" t="s">
        <v>1540</v>
      </c>
      <c r="G160" t="s">
        <v>1540</v>
      </c>
      <c r="H160" t="s">
        <v>1540</v>
      </c>
      <c r="I160" t="s">
        <v>1540</v>
      </c>
      <c r="J160" t="s">
        <v>1540</v>
      </c>
      <c r="K160" t="s">
        <v>1538</v>
      </c>
      <c r="L160">
        <v>125</v>
      </c>
      <c r="M160">
        <v>103.1</v>
      </c>
      <c r="N160">
        <v>196.2</v>
      </c>
      <c r="O160">
        <v>161.19999999999999</v>
      </c>
    </row>
    <row r="161" spans="1:15" x14ac:dyDescent="0.25">
      <c r="A161" t="s">
        <v>495</v>
      </c>
      <c r="B161" t="s">
        <v>496</v>
      </c>
      <c r="C161" t="s">
        <v>100</v>
      </c>
      <c r="D161" t="s">
        <v>497</v>
      </c>
      <c r="E161" t="s">
        <v>1540</v>
      </c>
      <c r="F161" t="s">
        <v>1540</v>
      </c>
      <c r="G161" t="s">
        <v>1540</v>
      </c>
      <c r="H161" t="s">
        <v>1540</v>
      </c>
      <c r="I161" t="s">
        <v>1540</v>
      </c>
      <c r="J161" t="s">
        <v>1540</v>
      </c>
      <c r="K161" t="s">
        <v>1538</v>
      </c>
      <c r="L161">
        <v>125</v>
      </c>
      <c r="M161">
        <v>67.5</v>
      </c>
      <c r="N161">
        <v>119.5</v>
      </c>
      <c r="O161">
        <v>133.5</v>
      </c>
    </row>
    <row r="162" spans="1:15" x14ac:dyDescent="0.25">
      <c r="A162" t="s">
        <v>498</v>
      </c>
      <c r="B162" t="s">
        <v>499</v>
      </c>
      <c r="C162" t="s">
        <v>100</v>
      </c>
      <c r="D162" t="s">
        <v>500</v>
      </c>
      <c r="E162" t="s">
        <v>1540</v>
      </c>
      <c r="F162" t="s">
        <v>1540</v>
      </c>
      <c r="G162" t="s">
        <v>1540</v>
      </c>
      <c r="H162" t="s">
        <v>1540</v>
      </c>
      <c r="I162" t="s">
        <v>1540</v>
      </c>
      <c r="J162" t="s">
        <v>1540</v>
      </c>
      <c r="K162" t="s">
        <v>1538</v>
      </c>
      <c r="L162">
        <v>125</v>
      </c>
      <c r="M162">
        <v>109.8</v>
      </c>
      <c r="N162">
        <v>210.1</v>
      </c>
      <c r="O162">
        <v>168.8</v>
      </c>
    </row>
    <row r="163" spans="1:15" x14ac:dyDescent="0.25">
      <c r="A163" t="s">
        <v>501</v>
      </c>
      <c r="B163" t="s">
        <v>502</v>
      </c>
      <c r="C163" t="s">
        <v>100</v>
      </c>
      <c r="D163" t="s">
        <v>503</v>
      </c>
      <c r="E163" t="s">
        <v>1540</v>
      </c>
      <c r="F163" t="s">
        <v>1540</v>
      </c>
      <c r="G163" t="s">
        <v>1540</v>
      </c>
      <c r="H163" t="s">
        <v>1540</v>
      </c>
      <c r="I163" t="s">
        <v>1540</v>
      </c>
      <c r="J163" t="s">
        <v>1540</v>
      </c>
      <c r="K163" t="s">
        <v>1538</v>
      </c>
      <c r="L163" t="s">
        <v>1539</v>
      </c>
      <c r="M163">
        <v>0</v>
      </c>
      <c r="N163">
        <v>1584.2</v>
      </c>
      <c r="O163">
        <v>1466.1</v>
      </c>
    </row>
    <row r="164" spans="1:15" x14ac:dyDescent="0.25">
      <c r="A164" t="s">
        <v>504</v>
      </c>
      <c r="B164" t="s">
        <v>505</v>
      </c>
      <c r="C164" t="s">
        <v>100</v>
      </c>
      <c r="D164" t="s">
        <v>506</v>
      </c>
      <c r="E164" t="s">
        <v>1540</v>
      </c>
      <c r="F164" t="s">
        <v>1540</v>
      </c>
      <c r="G164" t="s">
        <v>1540</v>
      </c>
      <c r="H164" t="s">
        <v>1540</v>
      </c>
      <c r="I164" t="s">
        <v>1540</v>
      </c>
      <c r="J164" t="s">
        <v>1540</v>
      </c>
      <c r="K164" t="s">
        <v>1538</v>
      </c>
      <c r="L164" t="s">
        <v>1539</v>
      </c>
      <c r="M164">
        <v>0</v>
      </c>
      <c r="N164">
        <v>1641.2</v>
      </c>
      <c r="O164">
        <v>1531.7</v>
      </c>
    </row>
    <row r="165" spans="1:15" x14ac:dyDescent="0.25">
      <c r="A165" t="s">
        <v>507</v>
      </c>
      <c r="B165" t="s">
        <v>508</v>
      </c>
      <c r="C165" t="s">
        <v>100</v>
      </c>
      <c r="D165" t="s">
        <v>509</v>
      </c>
      <c r="E165" t="s">
        <v>1540</v>
      </c>
      <c r="F165" t="s">
        <v>1540</v>
      </c>
      <c r="G165" t="s">
        <v>1540</v>
      </c>
      <c r="H165" t="s">
        <v>1540</v>
      </c>
      <c r="I165" t="s">
        <v>1540</v>
      </c>
      <c r="J165" t="s">
        <v>1540</v>
      </c>
      <c r="K165" t="s">
        <v>1538</v>
      </c>
      <c r="L165" t="s">
        <v>1539</v>
      </c>
      <c r="M165">
        <v>0</v>
      </c>
      <c r="N165">
        <v>1625.8</v>
      </c>
      <c r="O165">
        <v>1509.5</v>
      </c>
    </row>
    <row r="166" spans="1:15" x14ac:dyDescent="0.25">
      <c r="A166" t="s">
        <v>510</v>
      </c>
      <c r="B166" t="s">
        <v>511</v>
      </c>
      <c r="C166" t="s">
        <v>100</v>
      </c>
      <c r="D166" t="s">
        <v>512</v>
      </c>
      <c r="E166" t="s">
        <v>1540</v>
      </c>
      <c r="F166" t="s">
        <v>1540</v>
      </c>
      <c r="G166" t="s">
        <v>1540</v>
      </c>
      <c r="H166" t="s">
        <v>1540</v>
      </c>
      <c r="I166" t="s">
        <v>1540</v>
      </c>
      <c r="J166" t="s">
        <v>1540</v>
      </c>
      <c r="K166" t="s">
        <v>1538</v>
      </c>
      <c r="L166">
        <v>171</v>
      </c>
      <c r="M166">
        <v>466.6</v>
      </c>
      <c r="N166">
        <v>385.2</v>
      </c>
      <c r="O166">
        <v>320.89999999999998</v>
      </c>
    </row>
    <row r="167" spans="1:15" x14ac:dyDescent="0.25">
      <c r="A167" t="s">
        <v>513</v>
      </c>
      <c r="B167" t="s">
        <v>514</v>
      </c>
      <c r="C167" t="s">
        <v>100</v>
      </c>
      <c r="D167" t="s">
        <v>515</v>
      </c>
      <c r="E167" t="s">
        <v>1540</v>
      </c>
      <c r="F167" t="s">
        <v>1540</v>
      </c>
      <c r="G167" t="s">
        <v>1540</v>
      </c>
      <c r="H167" t="s">
        <v>1540</v>
      </c>
      <c r="I167" t="s">
        <v>1540</v>
      </c>
      <c r="J167" t="s">
        <v>1540</v>
      </c>
      <c r="K167" t="s">
        <v>1538</v>
      </c>
      <c r="L167">
        <v>161</v>
      </c>
      <c r="M167">
        <v>28.2</v>
      </c>
      <c r="N167">
        <v>226.2</v>
      </c>
      <c r="O167">
        <v>250.7</v>
      </c>
    </row>
    <row r="168" spans="1:15" x14ac:dyDescent="0.25">
      <c r="A168" t="s">
        <v>516</v>
      </c>
      <c r="B168" t="s">
        <v>517</v>
      </c>
      <c r="C168" t="s">
        <v>100</v>
      </c>
      <c r="D168" t="s">
        <v>518</v>
      </c>
      <c r="E168" t="s">
        <v>1540</v>
      </c>
      <c r="F168" t="s">
        <v>1540</v>
      </c>
      <c r="G168" t="s">
        <v>1540</v>
      </c>
      <c r="H168" t="s">
        <v>1540</v>
      </c>
      <c r="I168" t="s">
        <v>1540</v>
      </c>
      <c r="J168" t="s">
        <v>1540</v>
      </c>
      <c r="K168" t="s">
        <v>1538</v>
      </c>
      <c r="L168" t="s">
        <v>1539</v>
      </c>
      <c r="M168">
        <v>0</v>
      </c>
      <c r="N168">
        <v>1405.9</v>
      </c>
      <c r="O168">
        <v>1319.2</v>
      </c>
    </row>
    <row r="169" spans="1:15" x14ac:dyDescent="0.25">
      <c r="A169" t="s">
        <v>519</v>
      </c>
      <c r="B169" t="s">
        <v>520</v>
      </c>
      <c r="C169" t="s">
        <v>100</v>
      </c>
      <c r="D169" t="s">
        <v>521</v>
      </c>
      <c r="E169" t="s">
        <v>1540</v>
      </c>
      <c r="F169" t="s">
        <v>1540</v>
      </c>
      <c r="G169" t="s">
        <v>1540</v>
      </c>
      <c r="H169" t="s">
        <v>1540</v>
      </c>
      <c r="I169" t="s">
        <v>1540</v>
      </c>
      <c r="J169" t="s">
        <v>1540</v>
      </c>
      <c r="K169" t="s">
        <v>1538</v>
      </c>
      <c r="L169" t="s">
        <v>1539</v>
      </c>
      <c r="M169">
        <v>0</v>
      </c>
      <c r="N169">
        <v>1661.8</v>
      </c>
      <c r="O169">
        <v>1610.8</v>
      </c>
    </row>
    <row r="170" spans="1:15" x14ac:dyDescent="0.25">
      <c r="A170" t="s">
        <v>522</v>
      </c>
      <c r="B170" t="s">
        <v>523</v>
      </c>
      <c r="C170" t="s">
        <v>100</v>
      </c>
      <c r="D170" t="s">
        <v>524</v>
      </c>
      <c r="E170" t="s">
        <v>1540</v>
      </c>
      <c r="F170" t="s">
        <v>1540</v>
      </c>
      <c r="G170" t="s">
        <v>1540</v>
      </c>
      <c r="H170" t="s">
        <v>1540</v>
      </c>
      <c r="I170" t="s">
        <v>1540</v>
      </c>
      <c r="J170" t="s">
        <v>1540</v>
      </c>
      <c r="K170" t="s">
        <v>1538</v>
      </c>
      <c r="L170" t="s">
        <v>1539</v>
      </c>
      <c r="M170">
        <v>1666.7</v>
      </c>
      <c r="N170">
        <v>1666.7</v>
      </c>
      <c r="O170">
        <v>1666.7</v>
      </c>
    </row>
    <row r="171" spans="1:15" x14ac:dyDescent="0.25">
      <c r="A171" t="s">
        <v>525</v>
      </c>
      <c r="B171" t="s">
        <v>526</v>
      </c>
      <c r="C171" t="s">
        <v>100</v>
      </c>
      <c r="D171" t="s">
        <v>527</v>
      </c>
      <c r="E171" t="s">
        <v>1540</v>
      </c>
      <c r="F171" t="s">
        <v>1540</v>
      </c>
      <c r="G171" t="s">
        <v>1540</v>
      </c>
      <c r="H171" t="s">
        <v>1540</v>
      </c>
      <c r="I171" t="s">
        <v>1540</v>
      </c>
      <c r="J171" t="s">
        <v>1540</v>
      </c>
      <c r="K171" t="s">
        <v>1538</v>
      </c>
      <c r="L171">
        <v>254</v>
      </c>
      <c r="M171">
        <v>20.2</v>
      </c>
      <c r="N171">
        <v>18.7</v>
      </c>
      <c r="O171">
        <v>26</v>
      </c>
    </row>
    <row r="172" spans="1:15" x14ac:dyDescent="0.25">
      <c r="A172" t="s">
        <v>528</v>
      </c>
      <c r="B172" t="s">
        <v>529</v>
      </c>
      <c r="C172" t="s">
        <v>100</v>
      </c>
      <c r="D172" t="s">
        <v>530</v>
      </c>
      <c r="E172" t="s">
        <v>1540</v>
      </c>
      <c r="F172" t="s">
        <v>1540</v>
      </c>
      <c r="G172" t="s">
        <v>1540</v>
      </c>
      <c r="H172" t="s">
        <v>1540</v>
      </c>
      <c r="I172" t="s">
        <v>1540</v>
      </c>
      <c r="J172" t="s">
        <v>1540</v>
      </c>
      <c r="K172" t="s">
        <v>1538</v>
      </c>
      <c r="L172" t="s">
        <v>1539</v>
      </c>
      <c r="M172">
        <v>0</v>
      </c>
      <c r="N172">
        <v>1595.7</v>
      </c>
      <c r="O172">
        <v>1427.7</v>
      </c>
    </row>
    <row r="173" spans="1:15" x14ac:dyDescent="0.25">
      <c r="A173" t="s">
        <v>531</v>
      </c>
      <c r="B173" t="s">
        <v>532</v>
      </c>
      <c r="C173" t="s">
        <v>100</v>
      </c>
      <c r="D173" t="s">
        <v>533</v>
      </c>
      <c r="E173" t="s">
        <v>1540</v>
      </c>
      <c r="F173" t="s">
        <v>1540</v>
      </c>
      <c r="G173" t="s">
        <v>1540</v>
      </c>
      <c r="H173" t="s">
        <v>1540</v>
      </c>
      <c r="I173" t="s">
        <v>1540</v>
      </c>
      <c r="J173" t="s">
        <v>1540</v>
      </c>
      <c r="K173" t="s">
        <v>1538</v>
      </c>
      <c r="L173">
        <v>161</v>
      </c>
      <c r="M173">
        <v>234.7</v>
      </c>
      <c r="N173">
        <v>198.2</v>
      </c>
      <c r="O173">
        <v>227</v>
      </c>
    </row>
    <row r="174" spans="1:15" x14ac:dyDescent="0.25">
      <c r="A174" t="s">
        <v>534</v>
      </c>
      <c r="B174" t="s">
        <v>535</v>
      </c>
      <c r="C174" t="s">
        <v>100</v>
      </c>
      <c r="D174" t="s">
        <v>536</v>
      </c>
      <c r="E174" t="s">
        <v>1540</v>
      </c>
      <c r="F174" t="s">
        <v>1540</v>
      </c>
      <c r="G174" t="s">
        <v>1540</v>
      </c>
      <c r="H174" t="s">
        <v>1540</v>
      </c>
      <c r="I174" t="s">
        <v>1540</v>
      </c>
      <c r="J174" t="s">
        <v>1540</v>
      </c>
      <c r="K174" t="s">
        <v>1538</v>
      </c>
      <c r="L174" t="s">
        <v>1539</v>
      </c>
      <c r="M174">
        <v>1666.7</v>
      </c>
      <c r="N174">
        <v>1666.7</v>
      </c>
      <c r="O174">
        <v>1666.7</v>
      </c>
    </row>
    <row r="175" spans="1:15" x14ac:dyDescent="0.25">
      <c r="A175" t="s">
        <v>537</v>
      </c>
      <c r="B175" t="s">
        <v>538</v>
      </c>
      <c r="C175" t="s">
        <v>100</v>
      </c>
      <c r="D175" t="s">
        <v>539</v>
      </c>
      <c r="E175" t="s">
        <v>1540</v>
      </c>
      <c r="F175" t="s">
        <v>1540</v>
      </c>
      <c r="G175" t="s">
        <v>1540</v>
      </c>
      <c r="H175" t="s">
        <v>1540</v>
      </c>
      <c r="I175" t="s">
        <v>1540</v>
      </c>
      <c r="J175" t="s">
        <v>1540</v>
      </c>
      <c r="K175" t="s">
        <v>1538</v>
      </c>
      <c r="L175" t="s">
        <v>1539</v>
      </c>
      <c r="M175">
        <v>0</v>
      </c>
      <c r="N175">
        <v>1109.8</v>
      </c>
      <c r="O175">
        <v>1105.5999999999999</v>
      </c>
    </row>
    <row r="176" spans="1:15" x14ac:dyDescent="0.25">
      <c r="A176" t="s">
        <v>540</v>
      </c>
      <c r="B176" t="s">
        <v>541</v>
      </c>
      <c r="C176" t="s">
        <v>100</v>
      </c>
      <c r="D176" t="s">
        <v>542</v>
      </c>
      <c r="E176" t="s">
        <v>1540</v>
      </c>
      <c r="F176" t="s">
        <v>1540</v>
      </c>
      <c r="G176" t="s">
        <v>1540</v>
      </c>
      <c r="H176" t="s">
        <v>1540</v>
      </c>
      <c r="I176" t="s">
        <v>1540</v>
      </c>
      <c r="J176" t="s">
        <v>1540</v>
      </c>
      <c r="K176" t="s">
        <v>1538</v>
      </c>
      <c r="L176">
        <v>161</v>
      </c>
      <c r="M176">
        <v>40.9</v>
      </c>
      <c r="N176">
        <v>198.5</v>
      </c>
      <c r="O176">
        <v>162</v>
      </c>
    </row>
    <row r="177" spans="1:15" x14ac:dyDescent="0.25">
      <c r="A177" t="s">
        <v>543</v>
      </c>
      <c r="B177" t="s">
        <v>544</v>
      </c>
      <c r="C177" t="s">
        <v>100</v>
      </c>
      <c r="D177" t="s">
        <v>545</v>
      </c>
      <c r="E177" t="s">
        <v>1540</v>
      </c>
      <c r="F177" t="s">
        <v>1540</v>
      </c>
      <c r="G177" t="s">
        <v>1540</v>
      </c>
      <c r="H177" t="s">
        <v>1540</v>
      </c>
      <c r="I177" t="s">
        <v>1540</v>
      </c>
      <c r="J177" t="s">
        <v>1540</v>
      </c>
      <c r="K177" t="s">
        <v>1538</v>
      </c>
      <c r="L177" t="s">
        <v>1539</v>
      </c>
      <c r="M177">
        <v>1666.7</v>
      </c>
      <c r="N177">
        <v>1666.7</v>
      </c>
      <c r="O177">
        <v>1666.7</v>
      </c>
    </row>
    <row r="178" spans="1:15" x14ac:dyDescent="0.25">
      <c r="A178" t="s">
        <v>546</v>
      </c>
      <c r="B178" t="s">
        <v>547</v>
      </c>
      <c r="C178" t="s">
        <v>100</v>
      </c>
      <c r="D178" t="s">
        <v>548</v>
      </c>
      <c r="E178" t="s">
        <v>1540</v>
      </c>
      <c r="F178" t="s">
        <v>1540</v>
      </c>
      <c r="G178" t="s">
        <v>1540</v>
      </c>
      <c r="H178" t="s">
        <v>1540</v>
      </c>
      <c r="I178" t="s">
        <v>1540</v>
      </c>
      <c r="J178" t="s">
        <v>1540</v>
      </c>
      <c r="K178" t="s">
        <v>1538</v>
      </c>
      <c r="L178">
        <v>182</v>
      </c>
      <c r="M178">
        <v>5.9</v>
      </c>
      <c r="N178">
        <v>5.7</v>
      </c>
      <c r="O178">
        <v>5.7</v>
      </c>
    </row>
    <row r="179" spans="1:15" x14ac:dyDescent="0.25">
      <c r="A179" t="s">
        <v>549</v>
      </c>
      <c r="B179" t="s">
        <v>550</v>
      </c>
      <c r="C179" t="s">
        <v>100</v>
      </c>
      <c r="D179" t="s">
        <v>551</v>
      </c>
      <c r="E179" t="s">
        <v>1540</v>
      </c>
      <c r="F179" t="s">
        <v>1540</v>
      </c>
      <c r="G179" t="s">
        <v>1540</v>
      </c>
      <c r="H179" t="s">
        <v>1540</v>
      </c>
      <c r="I179" t="s">
        <v>1540</v>
      </c>
      <c r="J179" t="s">
        <v>1540</v>
      </c>
      <c r="K179" t="s">
        <v>1538</v>
      </c>
      <c r="L179">
        <v>169</v>
      </c>
      <c r="M179">
        <v>23.6</v>
      </c>
      <c r="N179">
        <v>247.6</v>
      </c>
      <c r="O179">
        <v>134.80000000000001</v>
      </c>
    </row>
    <row r="180" spans="1:15" x14ac:dyDescent="0.25">
      <c r="A180" t="s">
        <v>552</v>
      </c>
      <c r="B180" t="s">
        <v>553</v>
      </c>
      <c r="C180" t="s">
        <v>100</v>
      </c>
      <c r="D180" t="s">
        <v>554</v>
      </c>
      <c r="E180" t="s">
        <v>1540</v>
      </c>
      <c r="F180" t="s">
        <v>1540</v>
      </c>
      <c r="G180" t="s">
        <v>1540</v>
      </c>
      <c r="H180" t="s">
        <v>1540</v>
      </c>
      <c r="I180" t="s">
        <v>1540</v>
      </c>
      <c r="J180" t="s">
        <v>1540</v>
      </c>
      <c r="K180" t="s">
        <v>1538</v>
      </c>
      <c r="L180">
        <v>171</v>
      </c>
      <c r="M180">
        <v>5.8</v>
      </c>
      <c r="N180">
        <v>82.8</v>
      </c>
      <c r="O180">
        <v>92.2</v>
      </c>
    </row>
    <row r="181" spans="1:15" x14ac:dyDescent="0.25">
      <c r="A181" t="s">
        <v>555</v>
      </c>
      <c r="B181" t="s">
        <v>556</v>
      </c>
      <c r="C181" t="s">
        <v>100</v>
      </c>
      <c r="D181" t="s">
        <v>557</v>
      </c>
      <c r="E181" t="s">
        <v>1540</v>
      </c>
      <c r="F181" t="s">
        <v>1540</v>
      </c>
      <c r="G181" t="s">
        <v>1540</v>
      </c>
      <c r="H181" t="s">
        <v>1540</v>
      </c>
      <c r="I181" t="s">
        <v>1540</v>
      </c>
      <c r="J181" t="s">
        <v>1540</v>
      </c>
      <c r="K181" t="s">
        <v>1538</v>
      </c>
      <c r="L181">
        <v>175</v>
      </c>
      <c r="M181">
        <v>2.2000000000000002</v>
      </c>
      <c r="N181">
        <v>3.1</v>
      </c>
      <c r="O181">
        <v>2.4</v>
      </c>
    </row>
    <row r="182" spans="1:15" x14ac:dyDescent="0.25">
      <c r="A182" t="s">
        <v>558</v>
      </c>
      <c r="B182" t="s">
        <v>559</v>
      </c>
      <c r="C182" t="s">
        <v>100</v>
      </c>
      <c r="D182" t="s">
        <v>560</v>
      </c>
      <c r="E182" t="s">
        <v>1540</v>
      </c>
      <c r="F182" t="s">
        <v>1540</v>
      </c>
      <c r="G182" t="s">
        <v>1540</v>
      </c>
      <c r="H182" t="s">
        <v>1540</v>
      </c>
      <c r="I182" t="s">
        <v>1540</v>
      </c>
      <c r="J182" t="s">
        <v>1540</v>
      </c>
      <c r="K182" t="s">
        <v>1538</v>
      </c>
      <c r="L182" t="s">
        <v>1539</v>
      </c>
      <c r="M182">
        <v>0</v>
      </c>
      <c r="N182">
        <v>1662.5</v>
      </c>
      <c r="O182">
        <v>1615</v>
      </c>
    </row>
    <row r="183" spans="1:15" x14ac:dyDescent="0.25">
      <c r="A183" t="s">
        <v>561</v>
      </c>
      <c r="B183" t="s">
        <v>562</v>
      </c>
      <c r="C183" t="s">
        <v>100</v>
      </c>
      <c r="D183" t="s">
        <v>563</v>
      </c>
      <c r="E183" t="s">
        <v>1540</v>
      </c>
      <c r="F183" t="s">
        <v>1540</v>
      </c>
      <c r="G183" t="s">
        <v>1540</v>
      </c>
      <c r="H183" t="s">
        <v>1540</v>
      </c>
      <c r="I183" t="s">
        <v>1540</v>
      </c>
      <c r="J183" t="s">
        <v>1540</v>
      </c>
      <c r="K183" t="s">
        <v>1538</v>
      </c>
      <c r="L183">
        <v>171</v>
      </c>
      <c r="M183">
        <v>860.5</v>
      </c>
      <c r="N183">
        <v>881.7</v>
      </c>
      <c r="O183">
        <v>751</v>
      </c>
    </row>
    <row r="184" spans="1:15" x14ac:dyDescent="0.25">
      <c r="A184" t="s">
        <v>564</v>
      </c>
      <c r="B184" t="s">
        <v>565</v>
      </c>
      <c r="C184" t="s">
        <v>100</v>
      </c>
      <c r="D184" t="s">
        <v>566</v>
      </c>
      <c r="E184" t="s">
        <v>1540</v>
      </c>
      <c r="F184" t="s">
        <v>1540</v>
      </c>
      <c r="G184" t="s">
        <v>1540</v>
      </c>
      <c r="H184" t="s">
        <v>1540</v>
      </c>
      <c r="I184" t="s">
        <v>1540</v>
      </c>
      <c r="J184" t="s">
        <v>1540</v>
      </c>
      <c r="K184" t="s">
        <v>1538</v>
      </c>
      <c r="L184">
        <v>171</v>
      </c>
      <c r="M184">
        <v>563.29999999999995</v>
      </c>
      <c r="N184">
        <v>1377.2</v>
      </c>
      <c r="O184">
        <v>1095.9000000000001</v>
      </c>
    </row>
    <row r="185" spans="1:15" x14ac:dyDescent="0.25">
      <c r="A185" t="s">
        <v>567</v>
      </c>
      <c r="B185" t="s">
        <v>568</v>
      </c>
      <c r="C185" t="s">
        <v>100</v>
      </c>
      <c r="D185" t="s">
        <v>569</v>
      </c>
      <c r="E185" t="s">
        <v>1540</v>
      </c>
      <c r="F185" t="s">
        <v>1540</v>
      </c>
      <c r="G185" t="s">
        <v>1540</v>
      </c>
      <c r="H185" t="s">
        <v>1540</v>
      </c>
      <c r="I185" t="s">
        <v>1540</v>
      </c>
      <c r="J185" t="s">
        <v>1540</v>
      </c>
      <c r="K185" t="s">
        <v>1538</v>
      </c>
      <c r="L185">
        <v>171</v>
      </c>
      <c r="M185">
        <v>2.6</v>
      </c>
      <c r="N185">
        <v>2.7</v>
      </c>
      <c r="O185">
        <v>2.6</v>
      </c>
    </row>
    <row r="186" spans="1:15" x14ac:dyDescent="0.25">
      <c r="A186" t="s">
        <v>570</v>
      </c>
      <c r="B186" t="s">
        <v>571</v>
      </c>
      <c r="C186" t="s">
        <v>100</v>
      </c>
      <c r="D186" t="s">
        <v>572</v>
      </c>
      <c r="E186" t="s">
        <v>1540</v>
      </c>
      <c r="F186" t="s">
        <v>1540</v>
      </c>
      <c r="G186" t="s">
        <v>1540</v>
      </c>
      <c r="H186" t="s">
        <v>1540</v>
      </c>
      <c r="I186" t="s">
        <v>1540</v>
      </c>
      <c r="J186" t="s">
        <v>1540</v>
      </c>
      <c r="K186" t="s">
        <v>1538</v>
      </c>
      <c r="L186" t="s">
        <v>1539</v>
      </c>
      <c r="M186">
        <v>0</v>
      </c>
      <c r="N186">
        <v>1611.9</v>
      </c>
      <c r="O186">
        <v>1389</v>
      </c>
    </row>
    <row r="187" spans="1:15" x14ac:dyDescent="0.25">
      <c r="A187" t="s">
        <v>573</v>
      </c>
      <c r="B187" t="s">
        <v>574</v>
      </c>
      <c r="C187" t="s">
        <v>100</v>
      </c>
      <c r="D187" t="s">
        <v>575</v>
      </c>
      <c r="E187" t="s">
        <v>1540</v>
      </c>
      <c r="F187" t="s">
        <v>1540</v>
      </c>
      <c r="G187" t="s">
        <v>1540</v>
      </c>
      <c r="H187" t="s">
        <v>1540</v>
      </c>
      <c r="I187" t="s">
        <v>1540</v>
      </c>
      <c r="J187" t="s">
        <v>1540</v>
      </c>
      <c r="K187" t="s">
        <v>1538</v>
      </c>
      <c r="L187">
        <v>207</v>
      </c>
      <c r="M187">
        <v>34.5</v>
      </c>
      <c r="N187">
        <v>30</v>
      </c>
      <c r="O187">
        <v>25.3</v>
      </c>
    </row>
    <row r="188" spans="1:15" x14ac:dyDescent="0.25">
      <c r="A188" t="s">
        <v>576</v>
      </c>
      <c r="B188" t="s">
        <v>577</v>
      </c>
      <c r="C188" t="s">
        <v>100</v>
      </c>
      <c r="D188" t="s">
        <v>578</v>
      </c>
      <c r="E188" t="s">
        <v>1540</v>
      </c>
      <c r="F188" t="s">
        <v>1540</v>
      </c>
      <c r="G188" t="s">
        <v>1540</v>
      </c>
      <c r="H188" t="s">
        <v>1540</v>
      </c>
      <c r="I188" t="s">
        <v>1540</v>
      </c>
      <c r="J188" t="s">
        <v>1540</v>
      </c>
      <c r="K188" t="s">
        <v>1538</v>
      </c>
      <c r="L188">
        <v>207</v>
      </c>
      <c r="M188">
        <v>423.4</v>
      </c>
      <c r="N188">
        <v>1283.9000000000001</v>
      </c>
      <c r="O188">
        <v>979.9</v>
      </c>
    </row>
    <row r="189" spans="1:15" x14ac:dyDescent="0.25">
      <c r="A189" t="s">
        <v>579</v>
      </c>
      <c r="B189" t="s">
        <v>580</v>
      </c>
      <c r="C189" t="s">
        <v>100</v>
      </c>
      <c r="D189" t="s">
        <v>581</v>
      </c>
      <c r="E189" t="s">
        <v>1540</v>
      </c>
      <c r="F189" t="s">
        <v>1540</v>
      </c>
      <c r="G189" t="s">
        <v>1540</v>
      </c>
      <c r="H189" t="s">
        <v>1540</v>
      </c>
      <c r="I189" t="s">
        <v>1540</v>
      </c>
      <c r="J189" t="s">
        <v>1540</v>
      </c>
      <c r="K189" t="s">
        <v>1538</v>
      </c>
      <c r="L189" t="s">
        <v>1539</v>
      </c>
      <c r="M189">
        <v>1666.7</v>
      </c>
      <c r="N189">
        <v>1666.7</v>
      </c>
      <c r="O189">
        <v>1666.7</v>
      </c>
    </row>
    <row r="190" spans="1:15" x14ac:dyDescent="0.25">
      <c r="A190" t="s">
        <v>582</v>
      </c>
      <c r="B190" t="s">
        <v>583</v>
      </c>
      <c r="C190" t="s">
        <v>100</v>
      </c>
      <c r="D190" t="s">
        <v>584</v>
      </c>
      <c r="E190" t="s">
        <v>1540</v>
      </c>
      <c r="F190" t="s">
        <v>1540</v>
      </c>
      <c r="G190" t="s">
        <v>1540</v>
      </c>
      <c r="H190" t="s">
        <v>1540</v>
      </c>
      <c r="I190" t="s">
        <v>1540</v>
      </c>
      <c r="J190" t="s">
        <v>1540</v>
      </c>
      <c r="K190" t="s">
        <v>1538</v>
      </c>
      <c r="L190" t="s">
        <v>1539</v>
      </c>
      <c r="M190">
        <v>0</v>
      </c>
      <c r="N190">
        <v>1618.5</v>
      </c>
      <c r="O190">
        <v>1372.2</v>
      </c>
    </row>
    <row r="191" spans="1:15" x14ac:dyDescent="0.25">
      <c r="A191" t="s">
        <v>585</v>
      </c>
      <c r="B191" t="s">
        <v>586</v>
      </c>
      <c r="C191" t="s">
        <v>100</v>
      </c>
      <c r="D191" t="s">
        <v>587</v>
      </c>
      <c r="E191" t="s">
        <v>1540</v>
      </c>
      <c r="F191" t="s">
        <v>1540</v>
      </c>
      <c r="G191" t="s">
        <v>1540</v>
      </c>
      <c r="H191" t="s">
        <v>1540</v>
      </c>
      <c r="I191" t="s">
        <v>1540</v>
      </c>
      <c r="J191" t="s">
        <v>1540</v>
      </c>
      <c r="K191" t="s">
        <v>1538</v>
      </c>
      <c r="L191" t="s">
        <v>1539</v>
      </c>
      <c r="M191">
        <v>0</v>
      </c>
      <c r="N191">
        <v>258.60000000000002</v>
      </c>
      <c r="O191">
        <v>520.79999999999995</v>
      </c>
    </row>
    <row r="192" spans="1:15" x14ac:dyDescent="0.25">
      <c r="A192" t="s">
        <v>588</v>
      </c>
      <c r="B192" t="s">
        <v>589</v>
      </c>
      <c r="C192" t="s">
        <v>100</v>
      </c>
      <c r="D192" t="s">
        <v>590</v>
      </c>
      <c r="E192" t="s">
        <v>1540</v>
      </c>
      <c r="F192" t="s">
        <v>1540</v>
      </c>
      <c r="G192" t="s">
        <v>1540</v>
      </c>
      <c r="H192" t="s">
        <v>1540</v>
      </c>
      <c r="I192" t="s">
        <v>1540</v>
      </c>
      <c r="J192" t="s">
        <v>1540</v>
      </c>
      <c r="K192" t="s">
        <v>1538</v>
      </c>
      <c r="L192">
        <v>182</v>
      </c>
      <c r="M192">
        <v>87.6</v>
      </c>
      <c r="N192">
        <v>81.3</v>
      </c>
      <c r="O192">
        <v>73.599999999999994</v>
      </c>
    </row>
    <row r="193" spans="1:15" x14ac:dyDescent="0.25">
      <c r="A193" t="s">
        <v>591</v>
      </c>
      <c r="B193" t="s">
        <v>592</v>
      </c>
      <c r="C193" t="s">
        <v>100</v>
      </c>
      <c r="D193" t="s">
        <v>593</v>
      </c>
      <c r="E193" t="s">
        <v>1540</v>
      </c>
      <c r="F193" t="s">
        <v>1540</v>
      </c>
      <c r="G193" t="s">
        <v>1540</v>
      </c>
      <c r="H193" t="s">
        <v>1540</v>
      </c>
      <c r="I193" t="s">
        <v>1540</v>
      </c>
      <c r="J193" t="s">
        <v>1540</v>
      </c>
      <c r="K193" t="s">
        <v>1538</v>
      </c>
      <c r="L193">
        <v>171</v>
      </c>
      <c r="M193">
        <v>60.9</v>
      </c>
      <c r="N193">
        <v>49.7</v>
      </c>
      <c r="O193">
        <v>39.299999999999997</v>
      </c>
    </row>
    <row r="194" spans="1:15" x14ac:dyDescent="0.25">
      <c r="A194" t="s">
        <v>594</v>
      </c>
      <c r="B194" t="s">
        <v>595</v>
      </c>
      <c r="C194" t="s">
        <v>100</v>
      </c>
      <c r="D194" t="s">
        <v>596</v>
      </c>
      <c r="E194" t="s">
        <v>1540</v>
      </c>
      <c r="F194" t="s">
        <v>1540</v>
      </c>
      <c r="G194" t="s">
        <v>1540</v>
      </c>
      <c r="H194" t="s">
        <v>1540</v>
      </c>
      <c r="I194" t="s">
        <v>1540</v>
      </c>
      <c r="J194" t="s">
        <v>1540</v>
      </c>
      <c r="K194" t="s">
        <v>1538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597</v>
      </c>
      <c r="B195" t="s">
        <v>598</v>
      </c>
      <c r="C195" t="s">
        <v>100</v>
      </c>
      <c r="D195" t="s">
        <v>599</v>
      </c>
      <c r="E195" t="s">
        <v>1540</v>
      </c>
      <c r="F195" t="s">
        <v>1540</v>
      </c>
      <c r="G195" t="s">
        <v>1540</v>
      </c>
      <c r="H195" t="s">
        <v>1540</v>
      </c>
      <c r="I195" t="s">
        <v>1540</v>
      </c>
      <c r="J195" t="s">
        <v>1540</v>
      </c>
      <c r="K195" t="s">
        <v>1538</v>
      </c>
      <c r="L195" t="s">
        <v>1539</v>
      </c>
      <c r="M195">
        <v>0</v>
      </c>
      <c r="N195">
        <v>1627.6</v>
      </c>
      <c r="O195">
        <v>1464.1</v>
      </c>
    </row>
    <row r="196" spans="1:15" x14ac:dyDescent="0.25">
      <c r="A196" t="s">
        <v>600</v>
      </c>
      <c r="B196" t="s">
        <v>601</v>
      </c>
      <c r="C196" t="s">
        <v>100</v>
      </c>
      <c r="D196" t="s">
        <v>602</v>
      </c>
      <c r="E196" t="s">
        <v>1540</v>
      </c>
      <c r="F196" t="s">
        <v>1540</v>
      </c>
      <c r="G196" t="s">
        <v>1540</v>
      </c>
      <c r="H196" t="s">
        <v>1540</v>
      </c>
      <c r="I196" t="s">
        <v>1540</v>
      </c>
      <c r="J196" t="s">
        <v>1540</v>
      </c>
      <c r="K196" t="s">
        <v>1538</v>
      </c>
      <c r="L196" t="s">
        <v>1539</v>
      </c>
      <c r="M196">
        <v>1666.7</v>
      </c>
      <c r="N196">
        <v>1666.7</v>
      </c>
      <c r="O196">
        <v>1666.7</v>
      </c>
    </row>
    <row r="197" spans="1:15" x14ac:dyDescent="0.25">
      <c r="A197" t="s">
        <v>603</v>
      </c>
      <c r="B197" t="s">
        <v>604</v>
      </c>
      <c r="C197" t="s">
        <v>100</v>
      </c>
      <c r="D197" t="s">
        <v>605</v>
      </c>
      <c r="E197" t="s">
        <v>1540</v>
      </c>
      <c r="F197" t="s">
        <v>1540</v>
      </c>
      <c r="G197" t="s">
        <v>1540</v>
      </c>
      <c r="H197" t="s">
        <v>1540</v>
      </c>
      <c r="I197" t="s">
        <v>1540</v>
      </c>
      <c r="J197" t="s">
        <v>1540</v>
      </c>
      <c r="K197" t="s">
        <v>1538</v>
      </c>
      <c r="L197" t="s">
        <v>1539</v>
      </c>
      <c r="M197">
        <v>0</v>
      </c>
      <c r="N197">
        <v>423.6</v>
      </c>
      <c r="O197">
        <v>1000.8</v>
      </c>
    </row>
    <row r="198" spans="1:15" x14ac:dyDescent="0.25">
      <c r="A198" t="s">
        <v>606</v>
      </c>
      <c r="B198" t="s">
        <v>607</v>
      </c>
      <c r="C198" t="s">
        <v>100</v>
      </c>
      <c r="D198" t="s">
        <v>608</v>
      </c>
      <c r="E198" t="s">
        <v>1540</v>
      </c>
      <c r="F198" t="s">
        <v>1540</v>
      </c>
      <c r="G198" t="s">
        <v>1540</v>
      </c>
      <c r="H198" t="s">
        <v>1540</v>
      </c>
      <c r="I198" t="s">
        <v>1540</v>
      </c>
      <c r="J198" t="s">
        <v>1540</v>
      </c>
      <c r="K198" t="s">
        <v>1538</v>
      </c>
      <c r="L198" t="s">
        <v>1539</v>
      </c>
      <c r="M198">
        <v>0</v>
      </c>
      <c r="N198">
        <v>1334.9</v>
      </c>
      <c r="O198">
        <v>1324</v>
      </c>
    </row>
    <row r="199" spans="1:15" x14ac:dyDescent="0.25">
      <c r="A199" t="s">
        <v>609</v>
      </c>
      <c r="B199" t="s">
        <v>610</v>
      </c>
      <c r="C199" t="s">
        <v>100</v>
      </c>
      <c r="D199" t="s">
        <v>611</v>
      </c>
      <c r="E199" t="s">
        <v>1540</v>
      </c>
      <c r="F199" t="s">
        <v>1540</v>
      </c>
      <c r="G199" t="s">
        <v>1540</v>
      </c>
      <c r="H199" t="s">
        <v>1540</v>
      </c>
      <c r="I199" t="s">
        <v>1540</v>
      </c>
      <c r="J199" t="s">
        <v>1540</v>
      </c>
      <c r="K199" t="s">
        <v>1538</v>
      </c>
      <c r="L199" t="s">
        <v>1539</v>
      </c>
      <c r="M199">
        <v>1666.7</v>
      </c>
      <c r="N199">
        <v>1666.7</v>
      </c>
      <c r="O199">
        <v>1666.7</v>
      </c>
    </row>
    <row r="200" spans="1:15" x14ac:dyDescent="0.25">
      <c r="A200" t="s">
        <v>612</v>
      </c>
      <c r="B200" t="s">
        <v>613</v>
      </c>
      <c r="C200" t="s">
        <v>100</v>
      </c>
      <c r="D200" t="s">
        <v>614</v>
      </c>
      <c r="E200" t="s">
        <v>1540</v>
      </c>
      <c r="F200" t="s">
        <v>1540</v>
      </c>
      <c r="G200" t="s">
        <v>1540</v>
      </c>
      <c r="H200" t="s">
        <v>1540</v>
      </c>
      <c r="I200" t="s">
        <v>1540</v>
      </c>
      <c r="J200" t="s">
        <v>1540</v>
      </c>
      <c r="K200" t="s">
        <v>1538</v>
      </c>
      <c r="L200" t="s">
        <v>1539</v>
      </c>
      <c r="M200">
        <v>1666.7</v>
      </c>
      <c r="N200">
        <v>1666.7</v>
      </c>
      <c r="O200">
        <v>1666.7</v>
      </c>
    </row>
    <row r="201" spans="1:15" x14ac:dyDescent="0.25">
      <c r="A201" t="s">
        <v>615</v>
      </c>
      <c r="B201" t="s">
        <v>616</v>
      </c>
      <c r="C201" t="s">
        <v>100</v>
      </c>
      <c r="D201" t="s">
        <v>617</v>
      </c>
      <c r="E201" t="s">
        <v>1540</v>
      </c>
      <c r="F201" t="s">
        <v>1540</v>
      </c>
      <c r="G201" t="s">
        <v>1540</v>
      </c>
      <c r="H201" t="s">
        <v>1540</v>
      </c>
      <c r="I201" t="s">
        <v>1540</v>
      </c>
      <c r="J201" t="s">
        <v>1540</v>
      </c>
      <c r="K201" t="s">
        <v>1538</v>
      </c>
      <c r="L201" t="s">
        <v>1539</v>
      </c>
      <c r="M201">
        <v>1666.7</v>
      </c>
      <c r="N201">
        <v>1666.7</v>
      </c>
      <c r="O201">
        <v>1666.7</v>
      </c>
    </row>
    <row r="202" spans="1:15" x14ac:dyDescent="0.25">
      <c r="A202" t="s">
        <v>618</v>
      </c>
      <c r="B202" t="s">
        <v>619</v>
      </c>
      <c r="C202" t="s">
        <v>100</v>
      </c>
      <c r="D202" t="s">
        <v>620</v>
      </c>
      <c r="E202" t="s">
        <v>1540</v>
      </c>
      <c r="F202" t="s">
        <v>1540</v>
      </c>
      <c r="G202" t="s">
        <v>1540</v>
      </c>
      <c r="H202" t="s">
        <v>1540</v>
      </c>
      <c r="I202" t="s">
        <v>1540</v>
      </c>
      <c r="J202" t="s">
        <v>1540</v>
      </c>
      <c r="K202" t="s">
        <v>1538</v>
      </c>
      <c r="L202">
        <v>182</v>
      </c>
      <c r="M202">
        <v>0</v>
      </c>
      <c r="N202">
        <v>-0.1</v>
      </c>
      <c r="O202">
        <v>0</v>
      </c>
    </row>
    <row r="203" spans="1:15" x14ac:dyDescent="0.25">
      <c r="A203" t="s">
        <v>621</v>
      </c>
      <c r="B203" t="s">
        <v>622</v>
      </c>
      <c r="C203" t="s">
        <v>100</v>
      </c>
      <c r="D203" t="s">
        <v>623</v>
      </c>
      <c r="E203" t="s">
        <v>1540</v>
      </c>
      <c r="F203" t="s">
        <v>1540</v>
      </c>
      <c r="G203" t="s">
        <v>1540</v>
      </c>
      <c r="H203" t="s">
        <v>1540</v>
      </c>
      <c r="I203" t="s">
        <v>1540</v>
      </c>
      <c r="J203" t="s">
        <v>1540</v>
      </c>
      <c r="K203" t="s">
        <v>1538</v>
      </c>
      <c r="L203" t="s">
        <v>1539</v>
      </c>
      <c r="M203">
        <v>0</v>
      </c>
      <c r="N203">
        <v>1060.3</v>
      </c>
      <c r="O203">
        <v>764.9</v>
      </c>
    </row>
    <row r="204" spans="1:15" x14ac:dyDescent="0.25">
      <c r="A204" t="s">
        <v>624</v>
      </c>
      <c r="B204" t="s">
        <v>625</v>
      </c>
      <c r="C204" t="s">
        <v>100</v>
      </c>
      <c r="D204" t="s">
        <v>626</v>
      </c>
      <c r="E204" t="s">
        <v>1540</v>
      </c>
      <c r="F204" t="s">
        <v>1540</v>
      </c>
      <c r="G204" t="s">
        <v>1540</v>
      </c>
      <c r="H204" t="s">
        <v>1540</v>
      </c>
      <c r="I204" t="s">
        <v>1540</v>
      </c>
      <c r="J204" t="s">
        <v>1540</v>
      </c>
      <c r="K204" t="s">
        <v>1538</v>
      </c>
      <c r="L204" t="s">
        <v>1539</v>
      </c>
      <c r="M204">
        <v>1666.7</v>
      </c>
      <c r="N204">
        <v>1666.7</v>
      </c>
      <c r="O204">
        <v>1666.7</v>
      </c>
    </row>
    <row r="205" spans="1:15" x14ac:dyDescent="0.25">
      <c r="A205" t="s">
        <v>627</v>
      </c>
      <c r="B205" t="s">
        <v>628</v>
      </c>
      <c r="C205" t="s">
        <v>100</v>
      </c>
      <c r="D205" t="s">
        <v>629</v>
      </c>
      <c r="E205" t="s">
        <v>1540</v>
      </c>
      <c r="F205" t="s">
        <v>1540</v>
      </c>
      <c r="G205" t="s">
        <v>1540</v>
      </c>
      <c r="H205" t="s">
        <v>1540</v>
      </c>
      <c r="I205" t="s">
        <v>1540</v>
      </c>
      <c r="J205" t="s">
        <v>1540</v>
      </c>
      <c r="K205" t="s">
        <v>1538</v>
      </c>
      <c r="L205" t="s">
        <v>1539</v>
      </c>
      <c r="M205">
        <v>1666.7</v>
      </c>
      <c r="N205">
        <v>1666.7</v>
      </c>
      <c r="O205">
        <v>1666.7</v>
      </c>
    </row>
    <row r="206" spans="1:15" x14ac:dyDescent="0.25">
      <c r="A206" t="s">
        <v>630</v>
      </c>
      <c r="B206" t="s">
        <v>631</v>
      </c>
      <c r="C206" t="s">
        <v>100</v>
      </c>
      <c r="D206" t="s">
        <v>632</v>
      </c>
      <c r="E206" t="s">
        <v>1540</v>
      </c>
      <c r="F206" t="s">
        <v>1540</v>
      </c>
      <c r="G206" t="s">
        <v>1540</v>
      </c>
      <c r="H206" t="s">
        <v>1540</v>
      </c>
      <c r="I206" t="s">
        <v>1540</v>
      </c>
      <c r="J206" t="s">
        <v>1540</v>
      </c>
      <c r="K206" t="s">
        <v>1538</v>
      </c>
      <c r="L206" t="s">
        <v>1539</v>
      </c>
      <c r="M206">
        <v>1666.7</v>
      </c>
      <c r="N206">
        <v>1666.7</v>
      </c>
      <c r="O206">
        <v>1666.7</v>
      </c>
    </row>
    <row r="207" spans="1:15" x14ac:dyDescent="0.25">
      <c r="A207" t="s">
        <v>633</v>
      </c>
      <c r="B207" t="s">
        <v>634</v>
      </c>
      <c r="C207" t="s">
        <v>100</v>
      </c>
      <c r="D207" t="s">
        <v>635</v>
      </c>
      <c r="E207" t="s">
        <v>1540</v>
      </c>
      <c r="F207" t="s">
        <v>1540</v>
      </c>
      <c r="G207" t="s">
        <v>1540</v>
      </c>
      <c r="H207" t="s">
        <v>1540</v>
      </c>
      <c r="I207" t="s">
        <v>1540</v>
      </c>
      <c r="J207" t="s">
        <v>1540</v>
      </c>
      <c r="K207" t="s">
        <v>1538</v>
      </c>
      <c r="L207" t="s">
        <v>1539</v>
      </c>
      <c r="M207">
        <v>0</v>
      </c>
      <c r="N207">
        <v>-16.2</v>
      </c>
      <c r="O207">
        <v>-136.9</v>
      </c>
    </row>
    <row r="208" spans="1:15" x14ac:dyDescent="0.25">
      <c r="A208" t="s">
        <v>636</v>
      </c>
      <c r="B208" t="s">
        <v>637</v>
      </c>
      <c r="C208" t="s">
        <v>100</v>
      </c>
      <c r="D208" t="s">
        <v>638</v>
      </c>
      <c r="E208" t="s">
        <v>1540</v>
      </c>
      <c r="F208" t="s">
        <v>1540</v>
      </c>
      <c r="G208" t="s">
        <v>1540</v>
      </c>
      <c r="H208" t="s">
        <v>1540</v>
      </c>
      <c r="I208" t="s">
        <v>1540</v>
      </c>
      <c r="J208" t="s">
        <v>1540</v>
      </c>
      <c r="K208" t="s">
        <v>1538</v>
      </c>
      <c r="L208" t="s">
        <v>1539</v>
      </c>
      <c r="M208">
        <v>0</v>
      </c>
      <c r="N208">
        <v>1666.7</v>
      </c>
      <c r="O208">
        <v>1665.3</v>
      </c>
    </row>
    <row r="209" spans="1:15" x14ac:dyDescent="0.25">
      <c r="A209" t="s">
        <v>639</v>
      </c>
      <c r="B209" t="s">
        <v>640</v>
      </c>
      <c r="C209" t="s">
        <v>100</v>
      </c>
      <c r="D209" t="s">
        <v>641</v>
      </c>
      <c r="E209" t="s">
        <v>1540</v>
      </c>
      <c r="F209" t="s">
        <v>1540</v>
      </c>
      <c r="G209" t="s">
        <v>1540</v>
      </c>
      <c r="H209" t="s">
        <v>1540</v>
      </c>
      <c r="I209" t="s">
        <v>1540</v>
      </c>
      <c r="J209" t="s">
        <v>1540</v>
      </c>
      <c r="K209" t="s">
        <v>1538</v>
      </c>
      <c r="L209">
        <v>171</v>
      </c>
      <c r="M209">
        <v>158.80000000000001</v>
      </c>
      <c r="N209">
        <v>552.79999999999995</v>
      </c>
      <c r="O209">
        <v>356.9</v>
      </c>
    </row>
    <row r="210" spans="1:15" x14ac:dyDescent="0.25">
      <c r="A210" t="s">
        <v>642</v>
      </c>
      <c r="B210" t="s">
        <v>643</v>
      </c>
      <c r="C210" t="s">
        <v>100</v>
      </c>
      <c r="D210" t="s">
        <v>644</v>
      </c>
      <c r="E210" t="s">
        <v>1540</v>
      </c>
      <c r="F210" t="s">
        <v>1540</v>
      </c>
      <c r="G210" t="s">
        <v>1540</v>
      </c>
      <c r="H210" t="s">
        <v>1540</v>
      </c>
      <c r="I210" t="s">
        <v>1540</v>
      </c>
      <c r="J210" t="s">
        <v>1540</v>
      </c>
      <c r="K210" t="s">
        <v>1538</v>
      </c>
      <c r="L210" t="s">
        <v>1539</v>
      </c>
      <c r="M210">
        <v>0</v>
      </c>
      <c r="N210">
        <v>876</v>
      </c>
      <c r="O210">
        <v>1456.3</v>
      </c>
    </row>
    <row r="211" spans="1:15" x14ac:dyDescent="0.25">
      <c r="A211" t="s">
        <v>645</v>
      </c>
      <c r="B211" t="s">
        <v>646</v>
      </c>
      <c r="C211" t="s">
        <v>100</v>
      </c>
      <c r="D211" t="s">
        <v>647</v>
      </c>
      <c r="E211" t="s">
        <v>1540</v>
      </c>
      <c r="F211" t="s">
        <v>1540</v>
      </c>
      <c r="G211" t="s">
        <v>1540</v>
      </c>
      <c r="H211" t="s">
        <v>1540</v>
      </c>
      <c r="I211" t="s">
        <v>1540</v>
      </c>
      <c r="J211" t="s">
        <v>1540</v>
      </c>
      <c r="K211" t="s">
        <v>1538</v>
      </c>
      <c r="L211" t="s">
        <v>1539</v>
      </c>
      <c r="M211">
        <v>0</v>
      </c>
      <c r="N211">
        <v>1588.1</v>
      </c>
      <c r="O211">
        <v>1385.1</v>
      </c>
    </row>
    <row r="212" spans="1:15" x14ac:dyDescent="0.25">
      <c r="A212" t="s">
        <v>648</v>
      </c>
      <c r="B212" t="s">
        <v>649</v>
      </c>
      <c r="C212" t="s">
        <v>100</v>
      </c>
      <c r="D212" t="s">
        <v>650</v>
      </c>
      <c r="E212" t="s">
        <v>1540</v>
      </c>
      <c r="F212" t="s">
        <v>1540</v>
      </c>
      <c r="G212" t="s">
        <v>1540</v>
      </c>
      <c r="H212" t="s">
        <v>1540</v>
      </c>
      <c r="I212" t="s">
        <v>1540</v>
      </c>
      <c r="J212" t="s">
        <v>1540</v>
      </c>
      <c r="K212" t="s">
        <v>1538</v>
      </c>
      <c r="L212" t="s">
        <v>1539</v>
      </c>
      <c r="M212">
        <v>1666.7</v>
      </c>
      <c r="N212">
        <v>1666.7</v>
      </c>
      <c r="O212">
        <v>1666.7</v>
      </c>
    </row>
    <row r="213" spans="1:15" x14ac:dyDescent="0.25">
      <c r="A213" t="s">
        <v>651</v>
      </c>
      <c r="B213" t="s">
        <v>652</v>
      </c>
      <c r="C213" t="s">
        <v>100</v>
      </c>
      <c r="D213" t="s">
        <v>653</v>
      </c>
      <c r="E213" t="s">
        <v>1540</v>
      </c>
      <c r="F213" t="s">
        <v>1540</v>
      </c>
      <c r="G213" t="s">
        <v>1540</v>
      </c>
      <c r="H213" t="s">
        <v>1540</v>
      </c>
      <c r="I213" t="s">
        <v>1540</v>
      </c>
      <c r="J213" t="s">
        <v>1540</v>
      </c>
      <c r="K213" t="s">
        <v>1538</v>
      </c>
      <c r="L213" t="s">
        <v>1539</v>
      </c>
      <c r="M213">
        <v>1666.7</v>
      </c>
      <c r="N213">
        <v>1666.7</v>
      </c>
      <c r="O213">
        <v>1666.7</v>
      </c>
    </row>
    <row r="214" spans="1:15" x14ac:dyDescent="0.25">
      <c r="A214" t="s">
        <v>654</v>
      </c>
      <c r="B214" t="s">
        <v>655</v>
      </c>
      <c r="C214" t="s">
        <v>100</v>
      </c>
      <c r="D214" t="s">
        <v>656</v>
      </c>
      <c r="E214" t="s">
        <v>1540</v>
      </c>
      <c r="F214" t="s">
        <v>1540</v>
      </c>
      <c r="G214" t="s">
        <v>1540</v>
      </c>
      <c r="H214" t="s">
        <v>1540</v>
      </c>
      <c r="I214" t="s">
        <v>1540</v>
      </c>
      <c r="J214" t="s">
        <v>1540</v>
      </c>
      <c r="K214" t="s">
        <v>1538</v>
      </c>
      <c r="L214" t="s">
        <v>1539</v>
      </c>
      <c r="M214">
        <v>1666.7</v>
      </c>
      <c r="N214">
        <v>1666.7</v>
      </c>
      <c r="O214">
        <v>1666.7</v>
      </c>
    </row>
    <row r="215" spans="1:15" x14ac:dyDescent="0.25">
      <c r="A215" t="s">
        <v>657</v>
      </c>
      <c r="B215" t="s">
        <v>658</v>
      </c>
      <c r="C215" t="s">
        <v>100</v>
      </c>
      <c r="D215" t="s">
        <v>659</v>
      </c>
      <c r="E215" t="s">
        <v>1540</v>
      </c>
      <c r="F215" t="s">
        <v>1540</v>
      </c>
      <c r="G215" t="s">
        <v>1540</v>
      </c>
      <c r="H215" t="s">
        <v>1540</v>
      </c>
      <c r="I215" t="s">
        <v>1540</v>
      </c>
      <c r="J215" t="s">
        <v>1540</v>
      </c>
      <c r="K215" t="s">
        <v>1538</v>
      </c>
      <c r="L215">
        <v>182</v>
      </c>
      <c r="M215">
        <v>352.2</v>
      </c>
      <c r="N215">
        <v>229.2</v>
      </c>
      <c r="O215">
        <v>253.9</v>
      </c>
    </row>
    <row r="216" spans="1:15" x14ac:dyDescent="0.25">
      <c r="A216" t="s">
        <v>660</v>
      </c>
      <c r="B216" t="s">
        <v>661</v>
      </c>
      <c r="C216" t="s">
        <v>100</v>
      </c>
      <c r="D216" t="s">
        <v>662</v>
      </c>
      <c r="E216" t="s">
        <v>1540</v>
      </c>
      <c r="F216" t="s">
        <v>1540</v>
      </c>
      <c r="G216" t="s">
        <v>1540</v>
      </c>
      <c r="H216" t="s">
        <v>1540</v>
      </c>
      <c r="I216" t="s">
        <v>1540</v>
      </c>
      <c r="J216" t="s">
        <v>1540</v>
      </c>
      <c r="K216" t="s">
        <v>1538</v>
      </c>
      <c r="L216" t="s">
        <v>1539</v>
      </c>
      <c r="M216">
        <v>0</v>
      </c>
      <c r="N216">
        <v>1612</v>
      </c>
      <c r="O216">
        <v>1545.6</v>
      </c>
    </row>
    <row r="217" spans="1:15" x14ac:dyDescent="0.25">
      <c r="A217" t="s">
        <v>663</v>
      </c>
      <c r="B217" t="s">
        <v>664</v>
      </c>
      <c r="C217" t="s">
        <v>100</v>
      </c>
      <c r="D217" t="s">
        <v>665</v>
      </c>
      <c r="E217" t="s">
        <v>1540</v>
      </c>
      <c r="F217" t="s">
        <v>1540</v>
      </c>
      <c r="G217" t="s">
        <v>1540</v>
      </c>
      <c r="H217" t="s">
        <v>1540</v>
      </c>
      <c r="I217" t="s">
        <v>1540</v>
      </c>
      <c r="J217" t="s">
        <v>1540</v>
      </c>
      <c r="K217" t="s">
        <v>1538</v>
      </c>
      <c r="L217" t="s">
        <v>1539</v>
      </c>
      <c r="M217">
        <v>0</v>
      </c>
      <c r="N217">
        <v>1631</v>
      </c>
      <c r="O217">
        <v>1632.9</v>
      </c>
    </row>
    <row r="218" spans="1:15" x14ac:dyDescent="0.25">
      <c r="A218" t="s">
        <v>666</v>
      </c>
      <c r="B218" t="s">
        <v>667</v>
      </c>
      <c r="C218" t="s">
        <v>100</v>
      </c>
      <c r="D218" t="s">
        <v>668</v>
      </c>
      <c r="E218" t="s">
        <v>1540</v>
      </c>
      <c r="F218" t="s">
        <v>1540</v>
      </c>
      <c r="G218" t="s">
        <v>1540</v>
      </c>
      <c r="H218" t="s">
        <v>1540</v>
      </c>
      <c r="I218" t="s">
        <v>1540</v>
      </c>
      <c r="J218" t="s">
        <v>1540</v>
      </c>
      <c r="K218" t="s">
        <v>1538</v>
      </c>
      <c r="L218" t="s">
        <v>1539</v>
      </c>
      <c r="M218">
        <v>1666.7</v>
      </c>
      <c r="N218">
        <v>1666.7</v>
      </c>
      <c r="O218">
        <v>1666.7</v>
      </c>
    </row>
    <row r="219" spans="1:15" x14ac:dyDescent="0.25">
      <c r="A219" t="s">
        <v>669</v>
      </c>
      <c r="B219" t="s">
        <v>670</v>
      </c>
      <c r="C219" t="s">
        <v>100</v>
      </c>
      <c r="D219" t="s">
        <v>671</v>
      </c>
      <c r="E219" t="s">
        <v>1540</v>
      </c>
      <c r="F219" t="s">
        <v>1540</v>
      </c>
      <c r="G219" t="s">
        <v>1540</v>
      </c>
      <c r="H219" t="s">
        <v>1540</v>
      </c>
      <c r="I219" t="s">
        <v>1540</v>
      </c>
      <c r="J219" t="s">
        <v>1540</v>
      </c>
      <c r="K219" t="s">
        <v>1538</v>
      </c>
      <c r="L219">
        <v>3.16</v>
      </c>
      <c r="M219">
        <v>38</v>
      </c>
      <c r="N219">
        <v>53.6</v>
      </c>
      <c r="O219">
        <v>52.7</v>
      </c>
    </row>
    <row r="220" spans="1:15" x14ac:dyDescent="0.25">
      <c r="A220" t="s">
        <v>672</v>
      </c>
      <c r="B220" t="s">
        <v>673</v>
      </c>
      <c r="C220" t="s">
        <v>100</v>
      </c>
      <c r="D220" t="s">
        <v>674</v>
      </c>
      <c r="E220" t="s">
        <v>1540</v>
      </c>
      <c r="F220" t="s">
        <v>1540</v>
      </c>
      <c r="G220" t="s">
        <v>1540</v>
      </c>
      <c r="H220" t="s">
        <v>1540</v>
      </c>
      <c r="I220" t="s">
        <v>1540</v>
      </c>
      <c r="J220" t="s">
        <v>1540</v>
      </c>
      <c r="K220" t="s">
        <v>1538</v>
      </c>
      <c r="L220" t="s">
        <v>1539</v>
      </c>
      <c r="M220">
        <v>0</v>
      </c>
      <c r="N220">
        <v>1656.9</v>
      </c>
      <c r="O220">
        <v>1642.1</v>
      </c>
    </row>
    <row r="221" spans="1:15" x14ac:dyDescent="0.25">
      <c r="A221" t="s">
        <v>675</v>
      </c>
      <c r="B221" t="s">
        <v>676</v>
      </c>
      <c r="C221" t="s">
        <v>100</v>
      </c>
      <c r="D221" t="s">
        <v>677</v>
      </c>
      <c r="E221" t="s">
        <v>1540</v>
      </c>
      <c r="F221" t="s">
        <v>1540</v>
      </c>
      <c r="G221" t="s">
        <v>1540</v>
      </c>
      <c r="H221" t="s">
        <v>1540</v>
      </c>
      <c r="I221" t="s">
        <v>1540</v>
      </c>
      <c r="J221" t="s">
        <v>1540</v>
      </c>
      <c r="K221" t="s">
        <v>1538</v>
      </c>
      <c r="L221">
        <v>161</v>
      </c>
      <c r="M221">
        <v>148.19999999999999</v>
      </c>
      <c r="N221">
        <v>176.7</v>
      </c>
      <c r="O221">
        <v>170.6</v>
      </c>
    </row>
    <row r="222" spans="1:15" x14ac:dyDescent="0.25">
      <c r="A222" t="s">
        <v>678</v>
      </c>
      <c r="B222" t="s">
        <v>679</v>
      </c>
      <c r="C222" t="s">
        <v>100</v>
      </c>
      <c r="D222" t="s">
        <v>680</v>
      </c>
      <c r="E222" t="s">
        <v>1540</v>
      </c>
      <c r="F222" t="s">
        <v>1540</v>
      </c>
      <c r="G222" t="s">
        <v>1540</v>
      </c>
      <c r="H222" t="s">
        <v>1540</v>
      </c>
      <c r="I222" t="s">
        <v>1540</v>
      </c>
      <c r="J222" t="s">
        <v>1540</v>
      </c>
      <c r="K222" t="s">
        <v>1538</v>
      </c>
      <c r="L222">
        <v>0</v>
      </c>
      <c r="M222">
        <v>-0.1</v>
      </c>
      <c r="N222">
        <v>0</v>
      </c>
      <c r="O222">
        <v>0</v>
      </c>
    </row>
    <row r="223" spans="1:15" x14ac:dyDescent="0.25">
      <c r="A223" t="s">
        <v>681</v>
      </c>
      <c r="B223" t="s">
        <v>682</v>
      </c>
      <c r="C223" t="s">
        <v>100</v>
      </c>
      <c r="D223" t="s">
        <v>683</v>
      </c>
      <c r="E223" t="s">
        <v>1540</v>
      </c>
      <c r="F223" t="s">
        <v>1540</v>
      </c>
      <c r="G223" t="s">
        <v>1540</v>
      </c>
      <c r="H223" t="s">
        <v>1540</v>
      </c>
      <c r="I223" t="s">
        <v>1540</v>
      </c>
      <c r="J223" t="s">
        <v>1540</v>
      </c>
      <c r="K223" t="s">
        <v>1538</v>
      </c>
      <c r="L223" t="s">
        <v>1539</v>
      </c>
      <c r="M223">
        <v>0</v>
      </c>
      <c r="N223">
        <v>1438.6</v>
      </c>
      <c r="O223">
        <v>1294.4000000000001</v>
      </c>
    </row>
    <row r="224" spans="1:15" x14ac:dyDescent="0.25">
      <c r="A224" t="s">
        <v>684</v>
      </c>
      <c r="B224" t="s">
        <v>685</v>
      </c>
      <c r="C224" t="s">
        <v>100</v>
      </c>
      <c r="D224" t="s">
        <v>686</v>
      </c>
      <c r="E224" t="s">
        <v>1540</v>
      </c>
      <c r="F224" t="s">
        <v>1540</v>
      </c>
      <c r="G224" t="s">
        <v>1540</v>
      </c>
      <c r="H224" t="s">
        <v>1540</v>
      </c>
      <c r="I224" t="s">
        <v>1540</v>
      </c>
      <c r="J224" t="s">
        <v>1540</v>
      </c>
      <c r="K224" t="s">
        <v>1538</v>
      </c>
      <c r="L224">
        <v>6.68</v>
      </c>
      <c r="M224">
        <v>4</v>
      </c>
      <c r="N224">
        <v>3.8</v>
      </c>
      <c r="O224">
        <v>111.4</v>
      </c>
    </row>
    <row r="225" spans="1:15" x14ac:dyDescent="0.25">
      <c r="A225" t="s">
        <v>687</v>
      </c>
      <c r="B225" t="s">
        <v>688</v>
      </c>
      <c r="C225" t="s">
        <v>100</v>
      </c>
      <c r="D225" t="s">
        <v>689</v>
      </c>
      <c r="E225" t="s">
        <v>1540</v>
      </c>
      <c r="F225" t="s">
        <v>1540</v>
      </c>
      <c r="G225" t="s">
        <v>1540</v>
      </c>
      <c r="H225" t="s">
        <v>1540</v>
      </c>
      <c r="I225" t="s">
        <v>1540</v>
      </c>
      <c r="J225" t="s">
        <v>1540</v>
      </c>
      <c r="K225" t="s">
        <v>1538</v>
      </c>
      <c r="L225" t="s">
        <v>1539</v>
      </c>
      <c r="M225">
        <v>0</v>
      </c>
      <c r="N225">
        <v>967.4</v>
      </c>
      <c r="O225">
        <v>1140.7</v>
      </c>
    </row>
    <row r="226" spans="1:15" x14ac:dyDescent="0.25">
      <c r="A226" t="s">
        <v>690</v>
      </c>
      <c r="B226" t="s">
        <v>691</v>
      </c>
      <c r="C226" t="s">
        <v>100</v>
      </c>
      <c r="D226" t="s">
        <v>692</v>
      </c>
      <c r="E226" t="s">
        <v>1540</v>
      </c>
      <c r="F226" t="s">
        <v>1540</v>
      </c>
      <c r="G226" t="s">
        <v>1540</v>
      </c>
      <c r="H226" t="s">
        <v>1540</v>
      </c>
      <c r="I226" t="s">
        <v>1540</v>
      </c>
      <c r="J226" t="s">
        <v>1540</v>
      </c>
      <c r="K226" t="s">
        <v>1538</v>
      </c>
      <c r="L226" t="s">
        <v>1539</v>
      </c>
      <c r="M226">
        <v>0</v>
      </c>
      <c r="N226">
        <v>1138.2</v>
      </c>
      <c r="O226">
        <v>1613.2</v>
      </c>
    </row>
    <row r="227" spans="1:15" x14ac:dyDescent="0.25">
      <c r="A227" t="s">
        <v>693</v>
      </c>
      <c r="B227" t="s">
        <v>694</v>
      </c>
      <c r="C227" t="s">
        <v>100</v>
      </c>
      <c r="D227" t="s">
        <v>695</v>
      </c>
      <c r="E227" t="s">
        <v>1540</v>
      </c>
      <c r="F227" t="s">
        <v>1540</v>
      </c>
      <c r="G227" t="s">
        <v>1540</v>
      </c>
      <c r="H227" t="s">
        <v>1540</v>
      </c>
      <c r="I227" t="s">
        <v>1540</v>
      </c>
      <c r="J227" t="s">
        <v>1540</v>
      </c>
      <c r="K227" t="s">
        <v>1538</v>
      </c>
      <c r="L227">
        <v>1.37</v>
      </c>
      <c r="M227">
        <v>26.6</v>
      </c>
      <c r="N227">
        <v>24.9</v>
      </c>
      <c r="O227">
        <v>22.8</v>
      </c>
    </row>
    <row r="228" spans="1:15" x14ac:dyDescent="0.25">
      <c r="A228" t="s">
        <v>696</v>
      </c>
      <c r="B228" t="s">
        <v>697</v>
      </c>
      <c r="C228" t="s">
        <v>100</v>
      </c>
      <c r="D228" t="s">
        <v>698</v>
      </c>
      <c r="E228" t="s">
        <v>1540</v>
      </c>
      <c r="F228" t="s">
        <v>1540</v>
      </c>
      <c r="G228" t="s">
        <v>1540</v>
      </c>
      <c r="H228" t="s">
        <v>1540</v>
      </c>
      <c r="I228" t="s">
        <v>1540</v>
      </c>
      <c r="J228" t="s">
        <v>1540</v>
      </c>
      <c r="K228" t="s">
        <v>1538</v>
      </c>
      <c r="L228" t="s">
        <v>1539</v>
      </c>
      <c r="M228">
        <v>1666.7</v>
      </c>
      <c r="N228">
        <v>1666.7</v>
      </c>
      <c r="O228">
        <v>1666.7</v>
      </c>
    </row>
    <row r="229" spans="1:15" x14ac:dyDescent="0.25">
      <c r="A229" t="s">
        <v>699</v>
      </c>
      <c r="B229" t="s">
        <v>700</v>
      </c>
      <c r="C229" t="s">
        <v>100</v>
      </c>
      <c r="D229" t="s">
        <v>701</v>
      </c>
      <c r="E229" t="s">
        <v>1540</v>
      </c>
      <c r="F229" t="s">
        <v>1540</v>
      </c>
      <c r="G229" t="s">
        <v>1540</v>
      </c>
      <c r="H229" t="s">
        <v>1540</v>
      </c>
      <c r="I229" t="s">
        <v>1540</v>
      </c>
      <c r="J229" t="s">
        <v>1540</v>
      </c>
      <c r="K229" t="s">
        <v>1538</v>
      </c>
      <c r="L229" t="s">
        <v>1539</v>
      </c>
      <c r="M229">
        <v>0</v>
      </c>
      <c r="N229">
        <v>843.3</v>
      </c>
      <c r="O229">
        <v>593.79999999999995</v>
      </c>
    </row>
    <row r="230" spans="1:15" x14ac:dyDescent="0.25">
      <c r="A230" t="s">
        <v>702</v>
      </c>
      <c r="B230" t="s">
        <v>703</v>
      </c>
      <c r="C230" t="s">
        <v>100</v>
      </c>
      <c r="D230" t="s">
        <v>704</v>
      </c>
      <c r="E230" t="s">
        <v>1540</v>
      </c>
      <c r="F230" t="s">
        <v>1540</v>
      </c>
      <c r="G230" t="s">
        <v>1540</v>
      </c>
      <c r="H230" t="s">
        <v>1540</v>
      </c>
      <c r="I230" t="s">
        <v>1540</v>
      </c>
      <c r="J230" t="s">
        <v>1540</v>
      </c>
      <c r="K230" t="s">
        <v>1538</v>
      </c>
      <c r="L230" t="s">
        <v>1539</v>
      </c>
      <c r="M230">
        <v>0</v>
      </c>
      <c r="N230">
        <v>909</v>
      </c>
      <c r="O230">
        <v>745.4</v>
      </c>
    </row>
    <row r="231" spans="1:15" x14ac:dyDescent="0.25">
      <c r="A231" t="s">
        <v>705</v>
      </c>
      <c r="B231" t="s">
        <v>706</v>
      </c>
      <c r="C231" t="s">
        <v>100</v>
      </c>
      <c r="D231" t="s">
        <v>707</v>
      </c>
      <c r="E231" t="s">
        <v>1540</v>
      </c>
      <c r="F231" t="s">
        <v>1540</v>
      </c>
      <c r="G231" t="s">
        <v>1540</v>
      </c>
      <c r="H231" t="s">
        <v>1540</v>
      </c>
      <c r="I231" t="s">
        <v>1540</v>
      </c>
      <c r="J231" t="s">
        <v>1540</v>
      </c>
      <c r="K231" t="s">
        <v>1538</v>
      </c>
      <c r="L231">
        <v>182</v>
      </c>
      <c r="M231">
        <v>79</v>
      </c>
      <c r="N231">
        <v>109.6</v>
      </c>
      <c r="O231">
        <v>129</v>
      </c>
    </row>
    <row r="232" spans="1:15" x14ac:dyDescent="0.25">
      <c r="A232" t="s">
        <v>708</v>
      </c>
      <c r="B232" t="s">
        <v>709</v>
      </c>
      <c r="C232" t="s">
        <v>100</v>
      </c>
      <c r="D232" t="s">
        <v>710</v>
      </c>
      <c r="E232" t="s">
        <v>1540</v>
      </c>
      <c r="F232" t="s">
        <v>1540</v>
      </c>
      <c r="G232" t="s">
        <v>1540</v>
      </c>
      <c r="H232" t="s">
        <v>1540</v>
      </c>
      <c r="I232" t="s">
        <v>1540</v>
      </c>
      <c r="J232" t="s">
        <v>1540</v>
      </c>
      <c r="K232" t="s">
        <v>1538</v>
      </c>
      <c r="L232">
        <v>171</v>
      </c>
      <c r="M232">
        <v>3.7</v>
      </c>
      <c r="N232">
        <v>3.6</v>
      </c>
      <c r="O232">
        <v>3.5</v>
      </c>
    </row>
    <row r="233" spans="1:15" x14ac:dyDescent="0.25">
      <c r="A233" t="s">
        <v>711</v>
      </c>
      <c r="B233" t="s">
        <v>712</v>
      </c>
      <c r="C233" t="s">
        <v>100</v>
      </c>
      <c r="D233" t="s">
        <v>713</v>
      </c>
      <c r="E233" t="s">
        <v>1540</v>
      </c>
      <c r="F233" t="s">
        <v>1540</v>
      </c>
      <c r="G233" t="s">
        <v>1540</v>
      </c>
      <c r="H233" t="s">
        <v>1540</v>
      </c>
      <c r="I233" t="s">
        <v>1540</v>
      </c>
      <c r="J233" t="s">
        <v>1540</v>
      </c>
      <c r="K233" t="s">
        <v>1538</v>
      </c>
      <c r="L233" t="s">
        <v>1539</v>
      </c>
      <c r="M233">
        <v>0</v>
      </c>
      <c r="N233">
        <v>1577.1</v>
      </c>
      <c r="O233">
        <v>1353.8</v>
      </c>
    </row>
    <row r="234" spans="1:15" x14ac:dyDescent="0.25">
      <c r="A234" t="s">
        <v>714</v>
      </c>
      <c r="B234" t="s">
        <v>715</v>
      </c>
      <c r="C234" t="s">
        <v>100</v>
      </c>
      <c r="D234" t="s">
        <v>716</v>
      </c>
      <c r="E234" t="s">
        <v>1540</v>
      </c>
      <c r="F234" t="s">
        <v>1540</v>
      </c>
      <c r="G234" t="s">
        <v>1540</v>
      </c>
      <c r="H234" t="s">
        <v>1540</v>
      </c>
      <c r="I234" t="s">
        <v>1540</v>
      </c>
      <c r="J234" t="s">
        <v>1540</v>
      </c>
      <c r="K234" t="s">
        <v>1538</v>
      </c>
      <c r="L234" t="s">
        <v>1539</v>
      </c>
      <c r="M234">
        <v>0</v>
      </c>
      <c r="N234">
        <v>1145</v>
      </c>
      <c r="O234">
        <v>841.5</v>
      </c>
    </row>
    <row r="235" spans="1:15" x14ac:dyDescent="0.25">
      <c r="A235" t="s">
        <v>717</v>
      </c>
      <c r="B235" t="s">
        <v>718</v>
      </c>
      <c r="C235" t="s">
        <v>100</v>
      </c>
      <c r="D235" t="s">
        <v>719</v>
      </c>
      <c r="E235" t="s">
        <v>1540</v>
      </c>
      <c r="F235" t="s">
        <v>1540</v>
      </c>
      <c r="G235" t="s">
        <v>1540</v>
      </c>
      <c r="H235" t="s">
        <v>1540</v>
      </c>
      <c r="I235" t="s">
        <v>1540</v>
      </c>
      <c r="J235" t="s">
        <v>1540</v>
      </c>
      <c r="K235" t="s">
        <v>1538</v>
      </c>
      <c r="L235">
        <v>182</v>
      </c>
      <c r="M235">
        <v>3.5</v>
      </c>
      <c r="N235">
        <v>3.4</v>
      </c>
      <c r="O235">
        <v>3.3</v>
      </c>
    </row>
    <row r="236" spans="1:15" x14ac:dyDescent="0.25">
      <c r="A236" t="s">
        <v>720</v>
      </c>
      <c r="B236" t="s">
        <v>721</v>
      </c>
      <c r="C236" t="s">
        <v>100</v>
      </c>
      <c r="D236" t="s">
        <v>722</v>
      </c>
      <c r="E236" t="s">
        <v>1540</v>
      </c>
      <c r="F236" t="s">
        <v>1540</v>
      </c>
      <c r="G236" t="s">
        <v>1540</v>
      </c>
      <c r="H236" t="s">
        <v>1540</v>
      </c>
      <c r="I236" t="s">
        <v>1540</v>
      </c>
      <c r="J236" t="s">
        <v>1540</v>
      </c>
      <c r="K236" t="s">
        <v>1538</v>
      </c>
      <c r="L236" t="s">
        <v>1539</v>
      </c>
      <c r="M236">
        <v>0</v>
      </c>
      <c r="N236">
        <v>1215.8</v>
      </c>
      <c r="O236">
        <v>1216.5999999999999</v>
      </c>
    </row>
    <row r="237" spans="1:15" x14ac:dyDescent="0.25">
      <c r="A237" t="s">
        <v>723</v>
      </c>
      <c r="B237" t="s">
        <v>724</v>
      </c>
      <c r="C237" t="s">
        <v>100</v>
      </c>
      <c r="D237" t="s">
        <v>725</v>
      </c>
      <c r="E237" t="s">
        <v>1540</v>
      </c>
      <c r="F237" t="s">
        <v>1540</v>
      </c>
      <c r="G237" t="s">
        <v>1540</v>
      </c>
      <c r="H237" t="s">
        <v>1540</v>
      </c>
      <c r="I237" t="s">
        <v>1540</v>
      </c>
      <c r="J237" t="s">
        <v>1540</v>
      </c>
      <c r="K237" t="s">
        <v>1538</v>
      </c>
      <c r="L237" t="s">
        <v>1539</v>
      </c>
      <c r="M237">
        <v>0</v>
      </c>
      <c r="N237">
        <v>1661.3</v>
      </c>
      <c r="O237">
        <v>1612.8</v>
      </c>
    </row>
    <row r="238" spans="1:15" x14ac:dyDescent="0.25">
      <c r="A238" t="s">
        <v>726</v>
      </c>
      <c r="B238" t="s">
        <v>727</v>
      </c>
      <c r="C238" t="s">
        <v>100</v>
      </c>
      <c r="D238" t="s">
        <v>728</v>
      </c>
      <c r="E238" t="s">
        <v>1540</v>
      </c>
      <c r="F238" t="s">
        <v>1540</v>
      </c>
      <c r="G238" t="s">
        <v>1540</v>
      </c>
      <c r="H238" t="s">
        <v>1540</v>
      </c>
      <c r="I238" t="s">
        <v>1540</v>
      </c>
      <c r="J238" t="s">
        <v>1540</v>
      </c>
      <c r="K238" t="s">
        <v>1538</v>
      </c>
      <c r="L238" t="s">
        <v>1539</v>
      </c>
      <c r="M238">
        <v>0</v>
      </c>
      <c r="N238">
        <v>1488.9</v>
      </c>
      <c r="O238">
        <v>1237.9000000000001</v>
      </c>
    </row>
    <row r="239" spans="1:15" x14ac:dyDescent="0.25">
      <c r="A239" t="s">
        <v>729</v>
      </c>
      <c r="B239" t="s">
        <v>730</v>
      </c>
      <c r="C239" t="s">
        <v>100</v>
      </c>
      <c r="D239" t="s">
        <v>731</v>
      </c>
      <c r="E239" t="s">
        <v>1540</v>
      </c>
      <c r="F239" t="s">
        <v>1540</v>
      </c>
      <c r="G239" t="s">
        <v>1540</v>
      </c>
      <c r="H239" t="s">
        <v>1540</v>
      </c>
      <c r="I239" t="s">
        <v>1540</v>
      </c>
      <c r="J239" t="s">
        <v>1540</v>
      </c>
      <c r="K239" t="s">
        <v>1538</v>
      </c>
      <c r="L239" t="s">
        <v>1539</v>
      </c>
      <c r="M239">
        <v>0</v>
      </c>
      <c r="N239">
        <v>1527.7</v>
      </c>
      <c r="O239">
        <v>1302.5999999999999</v>
      </c>
    </row>
    <row r="240" spans="1:15" x14ac:dyDescent="0.25">
      <c r="A240" t="s">
        <v>732</v>
      </c>
      <c r="B240" t="s">
        <v>733</v>
      </c>
      <c r="C240" t="s">
        <v>100</v>
      </c>
      <c r="D240" t="s">
        <v>734</v>
      </c>
      <c r="E240" t="s">
        <v>1540</v>
      </c>
      <c r="F240" t="s">
        <v>1540</v>
      </c>
      <c r="G240" t="s">
        <v>1540</v>
      </c>
      <c r="H240" t="s">
        <v>1540</v>
      </c>
      <c r="I240" t="s">
        <v>1540</v>
      </c>
      <c r="J240" t="s">
        <v>1540</v>
      </c>
      <c r="K240" t="s">
        <v>1538</v>
      </c>
      <c r="L240" t="s">
        <v>1539</v>
      </c>
      <c r="M240">
        <v>0</v>
      </c>
      <c r="N240">
        <v>14</v>
      </c>
      <c r="O240">
        <v>783.1</v>
      </c>
    </row>
    <row r="241" spans="1:15" x14ac:dyDescent="0.25">
      <c r="A241" t="s">
        <v>735</v>
      </c>
      <c r="B241" t="s">
        <v>736</v>
      </c>
      <c r="C241" t="s">
        <v>100</v>
      </c>
      <c r="D241" t="s">
        <v>737</v>
      </c>
      <c r="E241" t="s">
        <v>1540</v>
      </c>
      <c r="F241" t="s">
        <v>1540</v>
      </c>
      <c r="G241" t="s">
        <v>1540</v>
      </c>
      <c r="H241" t="s">
        <v>1540</v>
      </c>
      <c r="I241" t="s">
        <v>1540</v>
      </c>
      <c r="J241" t="s">
        <v>1540</v>
      </c>
      <c r="K241" t="s">
        <v>1538</v>
      </c>
      <c r="L241">
        <v>169</v>
      </c>
      <c r="M241">
        <v>0.1</v>
      </c>
      <c r="N241">
        <v>0.1</v>
      </c>
      <c r="O241">
        <v>0.1</v>
      </c>
    </row>
    <row r="242" spans="1:15" x14ac:dyDescent="0.25">
      <c r="A242" t="s">
        <v>738</v>
      </c>
      <c r="B242" t="s">
        <v>739</v>
      </c>
      <c r="C242" t="s">
        <v>100</v>
      </c>
      <c r="D242" t="s">
        <v>740</v>
      </c>
      <c r="E242" t="s">
        <v>1540</v>
      </c>
      <c r="F242" t="s">
        <v>1540</v>
      </c>
      <c r="G242" t="s">
        <v>1540</v>
      </c>
      <c r="H242" t="s">
        <v>1540</v>
      </c>
      <c r="I242" t="s">
        <v>1540</v>
      </c>
      <c r="J242" t="s">
        <v>1540</v>
      </c>
      <c r="K242" t="s">
        <v>1538</v>
      </c>
      <c r="L242" t="s">
        <v>1539</v>
      </c>
      <c r="M242">
        <v>0</v>
      </c>
      <c r="N242">
        <v>999.8</v>
      </c>
      <c r="O242">
        <v>712.6</v>
      </c>
    </row>
    <row r="243" spans="1:15" x14ac:dyDescent="0.25">
      <c r="A243" t="s">
        <v>741</v>
      </c>
      <c r="B243" t="s">
        <v>742</v>
      </c>
      <c r="C243" t="s">
        <v>100</v>
      </c>
      <c r="D243" t="s">
        <v>743</v>
      </c>
      <c r="E243" t="s">
        <v>1540</v>
      </c>
      <c r="F243" t="s">
        <v>1540</v>
      </c>
      <c r="G243" t="s">
        <v>1540</v>
      </c>
      <c r="H243" t="s">
        <v>1540</v>
      </c>
      <c r="I243" t="s">
        <v>1540</v>
      </c>
      <c r="J243" t="s">
        <v>1540</v>
      </c>
      <c r="K243" t="s">
        <v>1538</v>
      </c>
      <c r="L243" t="s">
        <v>1539</v>
      </c>
      <c r="M243">
        <v>0</v>
      </c>
      <c r="N243">
        <v>1309.4000000000001</v>
      </c>
      <c r="O243">
        <v>1142.2</v>
      </c>
    </row>
    <row r="244" spans="1:15" x14ac:dyDescent="0.25">
      <c r="A244" t="s">
        <v>744</v>
      </c>
      <c r="B244" t="s">
        <v>745</v>
      </c>
      <c r="C244" t="s">
        <v>100</v>
      </c>
      <c r="D244" t="s">
        <v>746</v>
      </c>
      <c r="E244" t="s">
        <v>1540</v>
      </c>
      <c r="F244" t="s">
        <v>1540</v>
      </c>
      <c r="G244" t="s">
        <v>1540</v>
      </c>
      <c r="H244" t="s">
        <v>1540</v>
      </c>
      <c r="I244" t="s">
        <v>1540</v>
      </c>
      <c r="J244" t="s">
        <v>1540</v>
      </c>
      <c r="K244" t="s">
        <v>1538</v>
      </c>
      <c r="L244" t="s">
        <v>1539</v>
      </c>
      <c r="M244">
        <v>0</v>
      </c>
      <c r="N244">
        <v>1643.1</v>
      </c>
      <c r="O244">
        <v>1513.7</v>
      </c>
    </row>
    <row r="245" spans="1:15" x14ac:dyDescent="0.25">
      <c r="A245" t="s">
        <v>747</v>
      </c>
      <c r="B245" t="s">
        <v>748</v>
      </c>
      <c r="C245" t="s">
        <v>100</v>
      </c>
      <c r="D245" t="s">
        <v>749</v>
      </c>
      <c r="E245" t="s">
        <v>1540</v>
      </c>
      <c r="F245" t="s">
        <v>1540</v>
      </c>
      <c r="G245" t="s">
        <v>1540</v>
      </c>
      <c r="H245" t="s">
        <v>1540</v>
      </c>
      <c r="I245" t="s">
        <v>1540</v>
      </c>
      <c r="J245" t="s">
        <v>1540</v>
      </c>
      <c r="K245" t="s">
        <v>1538</v>
      </c>
      <c r="L245">
        <v>169</v>
      </c>
      <c r="M245">
        <v>224.2</v>
      </c>
      <c r="N245">
        <v>177.2</v>
      </c>
      <c r="O245">
        <v>167.6</v>
      </c>
    </row>
    <row r="246" spans="1:15" x14ac:dyDescent="0.25">
      <c r="A246" t="s">
        <v>750</v>
      </c>
      <c r="B246" t="s">
        <v>751</v>
      </c>
      <c r="C246" t="s">
        <v>100</v>
      </c>
      <c r="D246" t="s">
        <v>752</v>
      </c>
      <c r="E246" t="s">
        <v>1540</v>
      </c>
      <c r="F246" t="s">
        <v>1540</v>
      </c>
      <c r="G246" t="s">
        <v>1540</v>
      </c>
      <c r="H246" t="s">
        <v>1540</v>
      </c>
      <c r="I246" t="s">
        <v>1540</v>
      </c>
      <c r="J246" t="s">
        <v>1540</v>
      </c>
      <c r="K246" t="s">
        <v>1538</v>
      </c>
      <c r="L246" t="s">
        <v>1539</v>
      </c>
      <c r="M246">
        <v>1666.7</v>
      </c>
      <c r="N246">
        <v>1666.7</v>
      </c>
      <c r="O246">
        <v>1666.7</v>
      </c>
    </row>
    <row r="247" spans="1:15" x14ac:dyDescent="0.25">
      <c r="A247" t="s">
        <v>753</v>
      </c>
      <c r="B247" t="s">
        <v>754</v>
      </c>
      <c r="C247" t="s">
        <v>100</v>
      </c>
      <c r="D247" t="s">
        <v>755</v>
      </c>
      <c r="E247" t="s">
        <v>1540</v>
      </c>
      <c r="F247" t="s">
        <v>1540</v>
      </c>
      <c r="G247" t="s">
        <v>1540</v>
      </c>
      <c r="H247" t="s">
        <v>1540</v>
      </c>
      <c r="I247" t="s">
        <v>1540</v>
      </c>
      <c r="J247" t="s">
        <v>1540</v>
      </c>
      <c r="K247" t="s">
        <v>1538</v>
      </c>
      <c r="L247" t="s">
        <v>1539</v>
      </c>
      <c r="M247">
        <v>1666.7</v>
      </c>
      <c r="N247">
        <v>1666.7</v>
      </c>
      <c r="O247">
        <v>1666.7</v>
      </c>
    </row>
    <row r="248" spans="1:15" x14ac:dyDescent="0.25">
      <c r="A248" t="s">
        <v>756</v>
      </c>
      <c r="B248" t="s">
        <v>757</v>
      </c>
      <c r="C248" t="s">
        <v>100</v>
      </c>
      <c r="D248" t="s">
        <v>758</v>
      </c>
      <c r="E248" t="s">
        <v>1540</v>
      </c>
      <c r="F248" t="s">
        <v>1540</v>
      </c>
      <c r="G248" t="s">
        <v>1540</v>
      </c>
      <c r="H248" t="s">
        <v>1540</v>
      </c>
      <c r="I248" t="s">
        <v>1540</v>
      </c>
      <c r="J248" t="s">
        <v>1540</v>
      </c>
      <c r="K248" t="s">
        <v>1538</v>
      </c>
      <c r="L248" t="s">
        <v>1539</v>
      </c>
      <c r="M248">
        <v>0</v>
      </c>
      <c r="N248">
        <v>1665.6</v>
      </c>
      <c r="O248">
        <v>1642.6</v>
      </c>
    </row>
    <row r="249" spans="1:15" x14ac:dyDescent="0.25">
      <c r="A249" t="s">
        <v>759</v>
      </c>
      <c r="B249" t="s">
        <v>760</v>
      </c>
      <c r="C249" t="s">
        <v>100</v>
      </c>
      <c r="D249" t="s">
        <v>761</v>
      </c>
      <c r="E249" t="s">
        <v>1540</v>
      </c>
      <c r="F249" t="s">
        <v>1540</v>
      </c>
      <c r="G249" t="s">
        <v>1540</v>
      </c>
      <c r="H249" t="s">
        <v>1540</v>
      </c>
      <c r="I249" t="s">
        <v>1540</v>
      </c>
      <c r="J249" t="s">
        <v>1540</v>
      </c>
      <c r="K249" t="s">
        <v>1538</v>
      </c>
      <c r="L249">
        <v>169</v>
      </c>
      <c r="M249">
        <v>0.8</v>
      </c>
      <c r="N249">
        <v>0.7</v>
      </c>
      <c r="O249">
        <v>0.7</v>
      </c>
    </row>
    <row r="250" spans="1:15" x14ac:dyDescent="0.25">
      <c r="A250" t="s">
        <v>762</v>
      </c>
      <c r="B250" t="s">
        <v>763</v>
      </c>
      <c r="C250" t="s">
        <v>100</v>
      </c>
      <c r="D250" t="s">
        <v>764</v>
      </c>
      <c r="E250" t="s">
        <v>1540</v>
      </c>
      <c r="F250" t="s">
        <v>1540</v>
      </c>
      <c r="G250" t="s">
        <v>1540</v>
      </c>
      <c r="H250" t="s">
        <v>1540</v>
      </c>
      <c r="I250" t="s">
        <v>1540</v>
      </c>
      <c r="J250" t="s">
        <v>1540</v>
      </c>
      <c r="K250" t="s">
        <v>1538</v>
      </c>
      <c r="L250">
        <v>227</v>
      </c>
      <c r="M250">
        <v>729.4</v>
      </c>
      <c r="N250">
        <v>599.5</v>
      </c>
      <c r="O250">
        <v>410.4</v>
      </c>
    </row>
    <row r="251" spans="1:15" x14ac:dyDescent="0.25">
      <c r="A251" t="s">
        <v>765</v>
      </c>
      <c r="B251" t="s">
        <v>766</v>
      </c>
      <c r="C251" t="s">
        <v>100</v>
      </c>
      <c r="D251" t="s">
        <v>767</v>
      </c>
      <c r="E251" t="s">
        <v>1540</v>
      </c>
      <c r="F251" t="s">
        <v>1540</v>
      </c>
      <c r="G251" t="s">
        <v>1540</v>
      </c>
      <c r="H251" t="s">
        <v>1540</v>
      </c>
      <c r="I251" t="s">
        <v>1540</v>
      </c>
      <c r="J251" t="s">
        <v>1540</v>
      </c>
      <c r="K251" t="s">
        <v>1538</v>
      </c>
      <c r="L251">
        <v>169</v>
      </c>
      <c r="M251">
        <v>3.3</v>
      </c>
      <c r="N251">
        <v>3.2</v>
      </c>
      <c r="O251">
        <v>3.8</v>
      </c>
    </row>
    <row r="252" spans="1:15" x14ac:dyDescent="0.25">
      <c r="A252" t="s">
        <v>768</v>
      </c>
      <c r="B252" t="s">
        <v>769</v>
      </c>
      <c r="C252" t="s">
        <v>100</v>
      </c>
      <c r="D252" t="s">
        <v>770</v>
      </c>
      <c r="E252" t="s">
        <v>1540</v>
      </c>
      <c r="F252" t="s">
        <v>1540</v>
      </c>
      <c r="G252" t="s">
        <v>1540</v>
      </c>
      <c r="H252" t="s">
        <v>1540</v>
      </c>
      <c r="I252" t="s">
        <v>1540</v>
      </c>
      <c r="J252" t="s">
        <v>1540</v>
      </c>
      <c r="K252" t="s">
        <v>1538</v>
      </c>
      <c r="L252">
        <v>169</v>
      </c>
      <c r="M252">
        <v>13.3</v>
      </c>
      <c r="N252">
        <v>180.6</v>
      </c>
      <c r="O252">
        <v>104.6</v>
      </c>
    </row>
    <row r="253" spans="1:15" x14ac:dyDescent="0.25">
      <c r="A253" t="s">
        <v>771</v>
      </c>
      <c r="B253" t="s">
        <v>772</v>
      </c>
      <c r="C253" t="s">
        <v>100</v>
      </c>
      <c r="D253" t="s">
        <v>773</v>
      </c>
      <c r="E253" t="s">
        <v>1540</v>
      </c>
      <c r="F253" t="s">
        <v>1540</v>
      </c>
      <c r="G253" t="s">
        <v>1540</v>
      </c>
      <c r="H253" t="s">
        <v>1540</v>
      </c>
      <c r="I253" t="s">
        <v>1540</v>
      </c>
      <c r="J253" t="s">
        <v>1540</v>
      </c>
      <c r="K253" t="s">
        <v>1538</v>
      </c>
      <c r="L253" t="s">
        <v>1539</v>
      </c>
      <c r="M253">
        <v>0</v>
      </c>
      <c r="N253">
        <v>1391.7</v>
      </c>
      <c r="O253">
        <v>1253.0999999999999</v>
      </c>
    </row>
    <row r="254" spans="1:15" x14ac:dyDescent="0.25">
      <c r="A254" t="s">
        <v>774</v>
      </c>
      <c r="B254" t="s">
        <v>775</v>
      </c>
      <c r="C254" t="s">
        <v>100</v>
      </c>
      <c r="D254" t="s">
        <v>776</v>
      </c>
      <c r="E254" t="s">
        <v>1540</v>
      </c>
      <c r="F254" t="s">
        <v>1540</v>
      </c>
      <c r="G254" t="s">
        <v>1540</v>
      </c>
      <c r="H254" t="s">
        <v>1540</v>
      </c>
      <c r="I254" t="s">
        <v>1540</v>
      </c>
      <c r="J254" t="s">
        <v>1540</v>
      </c>
      <c r="K254" t="s">
        <v>1538</v>
      </c>
      <c r="L254" t="s">
        <v>1539</v>
      </c>
      <c r="M254">
        <v>0</v>
      </c>
      <c r="N254">
        <v>1360.7</v>
      </c>
      <c r="O254">
        <v>1139</v>
      </c>
    </row>
    <row r="255" spans="1:15" x14ac:dyDescent="0.25">
      <c r="A255" t="s">
        <v>777</v>
      </c>
      <c r="B255" t="s">
        <v>778</v>
      </c>
      <c r="C255" t="s">
        <v>100</v>
      </c>
      <c r="D255" t="s">
        <v>779</v>
      </c>
      <c r="E255" t="s">
        <v>1540</v>
      </c>
      <c r="F255" t="s">
        <v>1540</v>
      </c>
      <c r="G255" t="s">
        <v>1540</v>
      </c>
      <c r="H255" t="s">
        <v>1540</v>
      </c>
      <c r="I255" t="s">
        <v>1540</v>
      </c>
      <c r="J255" t="s">
        <v>1540</v>
      </c>
      <c r="K255" t="s">
        <v>1538</v>
      </c>
      <c r="L255" t="s">
        <v>1539</v>
      </c>
      <c r="M255">
        <v>0</v>
      </c>
      <c r="N255">
        <v>1629.2</v>
      </c>
      <c r="O255">
        <v>1498.2</v>
      </c>
    </row>
    <row r="256" spans="1:15" x14ac:dyDescent="0.25">
      <c r="A256" t="s">
        <v>780</v>
      </c>
      <c r="B256" t="s">
        <v>781</v>
      </c>
      <c r="C256" t="s">
        <v>100</v>
      </c>
      <c r="D256" t="s">
        <v>782</v>
      </c>
      <c r="E256" t="s">
        <v>1540</v>
      </c>
      <c r="F256" t="s">
        <v>1540</v>
      </c>
      <c r="G256" t="s">
        <v>1540</v>
      </c>
      <c r="H256" t="s">
        <v>1540</v>
      </c>
      <c r="I256" t="s">
        <v>1540</v>
      </c>
      <c r="J256" t="s">
        <v>1540</v>
      </c>
      <c r="K256" t="s">
        <v>1538</v>
      </c>
      <c r="L256" t="s">
        <v>1539</v>
      </c>
      <c r="M256">
        <v>0</v>
      </c>
      <c r="N256">
        <v>2.1</v>
      </c>
      <c r="O256">
        <v>1358.7</v>
      </c>
    </row>
    <row r="257" spans="1:15" x14ac:dyDescent="0.25">
      <c r="A257" t="s">
        <v>783</v>
      </c>
      <c r="B257" t="s">
        <v>784</v>
      </c>
      <c r="C257" t="s">
        <v>100</v>
      </c>
      <c r="D257" t="s">
        <v>785</v>
      </c>
      <c r="E257" t="s">
        <v>1540</v>
      </c>
      <c r="F257" t="s">
        <v>1540</v>
      </c>
      <c r="G257" t="s">
        <v>1540</v>
      </c>
      <c r="H257" t="s">
        <v>1540</v>
      </c>
      <c r="I257" t="s">
        <v>1540</v>
      </c>
      <c r="J257" t="s">
        <v>1540</v>
      </c>
      <c r="K257" t="s">
        <v>1538</v>
      </c>
      <c r="L257" t="s">
        <v>1539</v>
      </c>
      <c r="M257">
        <v>0</v>
      </c>
      <c r="N257">
        <v>1415.2</v>
      </c>
      <c r="O257">
        <v>1313.2</v>
      </c>
    </row>
    <row r="258" spans="1:15" x14ac:dyDescent="0.25">
      <c r="A258" t="s">
        <v>786</v>
      </c>
      <c r="B258" t="s">
        <v>787</v>
      </c>
      <c r="C258" t="s">
        <v>100</v>
      </c>
      <c r="D258" t="s">
        <v>788</v>
      </c>
      <c r="E258" t="s">
        <v>1540</v>
      </c>
      <c r="F258" t="s">
        <v>1540</v>
      </c>
      <c r="G258" t="s">
        <v>1540</v>
      </c>
      <c r="H258" t="s">
        <v>1540</v>
      </c>
      <c r="I258" t="s">
        <v>1540</v>
      </c>
      <c r="J258" t="s">
        <v>1540</v>
      </c>
      <c r="K258" t="s">
        <v>1538</v>
      </c>
      <c r="L258" t="s">
        <v>1539</v>
      </c>
      <c r="M258">
        <v>0</v>
      </c>
      <c r="N258">
        <v>20.100000000000001</v>
      </c>
      <c r="O258">
        <v>588.70000000000005</v>
      </c>
    </row>
    <row r="259" spans="1:15" x14ac:dyDescent="0.25">
      <c r="A259" t="s">
        <v>789</v>
      </c>
      <c r="B259" t="s">
        <v>790</v>
      </c>
      <c r="C259" t="s">
        <v>100</v>
      </c>
      <c r="D259" t="s">
        <v>791</v>
      </c>
      <c r="E259" t="s">
        <v>1540</v>
      </c>
      <c r="F259" t="s">
        <v>1540</v>
      </c>
      <c r="G259" t="s">
        <v>1540</v>
      </c>
      <c r="H259" t="s">
        <v>1540</v>
      </c>
      <c r="I259" t="s">
        <v>1540</v>
      </c>
      <c r="J259" t="s">
        <v>1540</v>
      </c>
      <c r="K259" t="s">
        <v>1538</v>
      </c>
      <c r="L259" t="s">
        <v>1539</v>
      </c>
      <c r="M259">
        <v>0</v>
      </c>
      <c r="N259">
        <v>1589.1</v>
      </c>
      <c r="O259">
        <v>1364</v>
      </c>
    </row>
    <row r="260" spans="1:15" x14ac:dyDescent="0.25">
      <c r="A260" t="s">
        <v>792</v>
      </c>
      <c r="B260" t="s">
        <v>793</v>
      </c>
      <c r="C260" t="s">
        <v>100</v>
      </c>
      <c r="D260" t="s">
        <v>794</v>
      </c>
      <c r="E260" t="s">
        <v>1540</v>
      </c>
      <c r="F260" t="s">
        <v>1540</v>
      </c>
      <c r="G260" t="s">
        <v>1540</v>
      </c>
      <c r="H260" t="s">
        <v>1540</v>
      </c>
      <c r="I260" t="s">
        <v>1540</v>
      </c>
      <c r="J260" t="s">
        <v>1540</v>
      </c>
      <c r="K260" t="s">
        <v>1538</v>
      </c>
      <c r="L260">
        <v>125</v>
      </c>
      <c r="M260">
        <v>202.8</v>
      </c>
      <c r="N260">
        <v>188.9</v>
      </c>
      <c r="O260">
        <v>175.3</v>
      </c>
    </row>
    <row r="261" spans="1:15" x14ac:dyDescent="0.25">
      <c r="A261" t="s">
        <v>795</v>
      </c>
      <c r="B261" t="s">
        <v>796</v>
      </c>
      <c r="C261" t="s">
        <v>100</v>
      </c>
      <c r="D261" t="s">
        <v>797</v>
      </c>
      <c r="E261" t="s">
        <v>1540</v>
      </c>
      <c r="F261" t="s">
        <v>1540</v>
      </c>
      <c r="G261" t="s">
        <v>1540</v>
      </c>
      <c r="H261" t="s">
        <v>1540</v>
      </c>
      <c r="I261" t="s">
        <v>1540</v>
      </c>
      <c r="J261" t="s">
        <v>1540</v>
      </c>
      <c r="K261" t="s">
        <v>1538</v>
      </c>
      <c r="L261" t="s">
        <v>1539</v>
      </c>
      <c r="M261">
        <v>0</v>
      </c>
      <c r="N261">
        <v>1613.6</v>
      </c>
      <c r="O261">
        <v>1460.4</v>
      </c>
    </row>
    <row r="262" spans="1:15" x14ac:dyDescent="0.25">
      <c r="A262" t="s">
        <v>798</v>
      </c>
      <c r="B262" t="s">
        <v>799</v>
      </c>
      <c r="C262" t="s">
        <v>100</v>
      </c>
      <c r="D262" t="s">
        <v>800</v>
      </c>
      <c r="E262" t="s">
        <v>1540</v>
      </c>
      <c r="F262" t="s">
        <v>1540</v>
      </c>
      <c r="G262" t="s">
        <v>1540</v>
      </c>
      <c r="H262" t="s">
        <v>1540</v>
      </c>
      <c r="I262" t="s">
        <v>1540</v>
      </c>
      <c r="J262" t="s">
        <v>1540</v>
      </c>
      <c r="K262" t="s">
        <v>1538</v>
      </c>
      <c r="L262" t="s">
        <v>1539</v>
      </c>
      <c r="M262">
        <v>0</v>
      </c>
      <c r="N262">
        <v>1666.7</v>
      </c>
      <c r="O262">
        <v>1666.3</v>
      </c>
    </row>
    <row r="263" spans="1:15" x14ac:dyDescent="0.25">
      <c r="A263" t="s">
        <v>801</v>
      </c>
      <c r="B263" t="s">
        <v>802</v>
      </c>
      <c r="C263" t="s">
        <v>100</v>
      </c>
      <c r="D263" t="s">
        <v>803</v>
      </c>
      <c r="E263" t="s">
        <v>1540</v>
      </c>
      <c r="F263" t="s">
        <v>1540</v>
      </c>
      <c r="G263" t="s">
        <v>1540</v>
      </c>
      <c r="H263" t="s">
        <v>1540</v>
      </c>
      <c r="I263" t="s">
        <v>1540</v>
      </c>
      <c r="J263" t="s">
        <v>1540</v>
      </c>
      <c r="K263" t="s">
        <v>1538</v>
      </c>
      <c r="L263" t="s">
        <v>1539</v>
      </c>
      <c r="M263">
        <v>0</v>
      </c>
      <c r="N263">
        <v>1343.6</v>
      </c>
      <c r="O263">
        <v>1353.6</v>
      </c>
    </row>
    <row r="264" spans="1:15" x14ac:dyDescent="0.25">
      <c r="A264" t="s">
        <v>804</v>
      </c>
      <c r="B264" t="s">
        <v>805</v>
      </c>
      <c r="C264" t="s">
        <v>100</v>
      </c>
      <c r="D264" t="s">
        <v>806</v>
      </c>
      <c r="E264" t="s">
        <v>1540</v>
      </c>
      <c r="F264" t="s">
        <v>1540</v>
      </c>
      <c r="G264" t="s">
        <v>1540</v>
      </c>
      <c r="H264" t="s">
        <v>1540</v>
      </c>
      <c r="I264" t="s">
        <v>1540</v>
      </c>
      <c r="J264" t="s">
        <v>1540</v>
      </c>
      <c r="K264" t="s">
        <v>1538</v>
      </c>
      <c r="L264">
        <v>125</v>
      </c>
      <c r="M264">
        <v>192.5</v>
      </c>
      <c r="N264">
        <v>184.2</v>
      </c>
      <c r="O264">
        <v>181.3</v>
      </c>
    </row>
    <row r="265" spans="1:15" x14ac:dyDescent="0.25">
      <c r="A265" t="s">
        <v>807</v>
      </c>
      <c r="B265" t="s">
        <v>808</v>
      </c>
      <c r="C265" t="s">
        <v>100</v>
      </c>
      <c r="D265" t="s">
        <v>809</v>
      </c>
      <c r="E265" t="s">
        <v>1540</v>
      </c>
      <c r="F265" t="s">
        <v>1540</v>
      </c>
      <c r="G265" t="s">
        <v>1540</v>
      </c>
      <c r="H265" t="s">
        <v>1540</v>
      </c>
      <c r="I265" t="s">
        <v>1540</v>
      </c>
      <c r="J265" t="s">
        <v>1540</v>
      </c>
      <c r="K265" t="s">
        <v>1538</v>
      </c>
      <c r="L265" t="s">
        <v>1539</v>
      </c>
      <c r="M265">
        <v>0</v>
      </c>
      <c r="N265">
        <v>10.8</v>
      </c>
      <c r="O265">
        <v>442.5</v>
      </c>
    </row>
    <row r="266" spans="1:15" x14ac:dyDescent="0.25">
      <c r="A266" t="s">
        <v>810</v>
      </c>
      <c r="B266" t="s">
        <v>811</v>
      </c>
      <c r="C266" t="s">
        <v>100</v>
      </c>
      <c r="D266" t="s">
        <v>812</v>
      </c>
      <c r="E266" t="s">
        <v>1540</v>
      </c>
      <c r="F266" t="s">
        <v>1540</v>
      </c>
      <c r="G266" t="s">
        <v>1540</v>
      </c>
      <c r="H266" t="s">
        <v>1540</v>
      </c>
      <c r="I266" t="s">
        <v>1540</v>
      </c>
      <c r="J266" t="s">
        <v>1540</v>
      </c>
      <c r="K266" t="s">
        <v>1538</v>
      </c>
      <c r="L266">
        <v>169</v>
      </c>
      <c r="M266">
        <v>131.80000000000001</v>
      </c>
      <c r="N266">
        <v>155.9</v>
      </c>
      <c r="O266">
        <v>164.7</v>
      </c>
    </row>
    <row r="267" spans="1:15" x14ac:dyDescent="0.25">
      <c r="A267" t="s">
        <v>813</v>
      </c>
      <c r="B267" t="s">
        <v>814</v>
      </c>
      <c r="C267" t="s">
        <v>100</v>
      </c>
      <c r="D267" t="s">
        <v>815</v>
      </c>
      <c r="E267" t="s">
        <v>1540</v>
      </c>
      <c r="F267" t="s">
        <v>1540</v>
      </c>
      <c r="G267" t="s">
        <v>1540</v>
      </c>
      <c r="H267" t="s">
        <v>1540</v>
      </c>
      <c r="I267" t="s">
        <v>1540</v>
      </c>
      <c r="J267" t="s">
        <v>1540</v>
      </c>
      <c r="K267" t="s">
        <v>1538</v>
      </c>
      <c r="L267" t="s">
        <v>1539</v>
      </c>
      <c r="M267">
        <v>0</v>
      </c>
      <c r="N267">
        <v>748.8</v>
      </c>
      <c r="O267">
        <v>1037.7</v>
      </c>
    </row>
    <row r="268" spans="1:15" x14ac:dyDescent="0.25">
      <c r="A268" t="s">
        <v>816</v>
      </c>
      <c r="B268" t="s">
        <v>817</v>
      </c>
      <c r="C268" t="s">
        <v>100</v>
      </c>
      <c r="D268" t="s">
        <v>818</v>
      </c>
      <c r="E268" t="s">
        <v>1540</v>
      </c>
      <c r="F268" t="s">
        <v>1540</v>
      </c>
      <c r="G268" t="s">
        <v>1540</v>
      </c>
      <c r="H268" t="s">
        <v>1540</v>
      </c>
      <c r="I268" t="s">
        <v>1540</v>
      </c>
      <c r="J268" t="s">
        <v>1540</v>
      </c>
      <c r="K268" t="s">
        <v>1538</v>
      </c>
      <c r="L268" t="s">
        <v>1539</v>
      </c>
      <c r="M268">
        <v>0</v>
      </c>
      <c r="N268">
        <v>655.1</v>
      </c>
      <c r="O268">
        <v>854.3</v>
      </c>
    </row>
    <row r="269" spans="1:15" x14ac:dyDescent="0.25">
      <c r="A269" t="s">
        <v>819</v>
      </c>
      <c r="B269" t="s">
        <v>820</v>
      </c>
      <c r="C269" t="s">
        <v>100</v>
      </c>
      <c r="D269" t="s">
        <v>821</v>
      </c>
      <c r="E269" t="s">
        <v>1540</v>
      </c>
      <c r="F269" t="s">
        <v>1540</v>
      </c>
      <c r="G269" t="s">
        <v>1540</v>
      </c>
      <c r="H269" t="s">
        <v>1540</v>
      </c>
      <c r="I269" t="s">
        <v>1540</v>
      </c>
      <c r="J269" t="s">
        <v>1540</v>
      </c>
      <c r="K269" t="s">
        <v>1538</v>
      </c>
      <c r="L269" t="s">
        <v>1539</v>
      </c>
      <c r="M269">
        <v>0</v>
      </c>
      <c r="N269">
        <v>1451.3</v>
      </c>
      <c r="O269">
        <v>1623.1</v>
      </c>
    </row>
    <row r="270" spans="1:15" x14ac:dyDescent="0.25">
      <c r="A270" t="s">
        <v>822</v>
      </c>
      <c r="B270" t="s">
        <v>823</v>
      </c>
      <c r="C270" t="s">
        <v>100</v>
      </c>
      <c r="D270" t="s">
        <v>824</v>
      </c>
      <c r="E270" t="s">
        <v>1540</v>
      </c>
      <c r="F270" t="s">
        <v>1540</v>
      </c>
      <c r="G270" t="s">
        <v>1540</v>
      </c>
      <c r="H270" t="s">
        <v>1540</v>
      </c>
      <c r="I270" t="s">
        <v>1540</v>
      </c>
      <c r="J270" t="s">
        <v>1540</v>
      </c>
      <c r="K270" t="s">
        <v>1538</v>
      </c>
      <c r="L270">
        <v>161</v>
      </c>
      <c r="M270">
        <v>172.2</v>
      </c>
      <c r="N270">
        <v>166.2</v>
      </c>
      <c r="O270">
        <v>148.69999999999999</v>
      </c>
    </row>
    <row r="271" spans="1:15" x14ac:dyDescent="0.25">
      <c r="A271" t="s">
        <v>825</v>
      </c>
      <c r="B271" t="s">
        <v>826</v>
      </c>
      <c r="C271" t="s">
        <v>100</v>
      </c>
      <c r="D271" t="s">
        <v>827</v>
      </c>
      <c r="E271" t="s">
        <v>1540</v>
      </c>
      <c r="F271" t="s">
        <v>1540</v>
      </c>
      <c r="G271" t="s">
        <v>1540</v>
      </c>
      <c r="H271" t="s">
        <v>1540</v>
      </c>
      <c r="I271" t="s">
        <v>1540</v>
      </c>
      <c r="J271" t="s">
        <v>1540</v>
      </c>
      <c r="K271" t="s">
        <v>1538</v>
      </c>
      <c r="L271" t="s">
        <v>1539</v>
      </c>
      <c r="M271">
        <v>0</v>
      </c>
      <c r="N271">
        <v>889</v>
      </c>
      <c r="O271">
        <v>1005.6</v>
      </c>
    </row>
    <row r="272" spans="1:15" x14ac:dyDescent="0.25">
      <c r="A272" t="s">
        <v>828</v>
      </c>
      <c r="B272" t="s">
        <v>829</v>
      </c>
      <c r="C272" t="s">
        <v>100</v>
      </c>
      <c r="D272" t="s">
        <v>830</v>
      </c>
      <c r="E272" t="s">
        <v>1540</v>
      </c>
      <c r="F272" t="s">
        <v>1540</v>
      </c>
      <c r="G272" t="s">
        <v>1540</v>
      </c>
      <c r="H272" t="s">
        <v>1540</v>
      </c>
      <c r="I272" t="s">
        <v>1540</v>
      </c>
      <c r="J272" t="s">
        <v>1540</v>
      </c>
      <c r="K272" t="s">
        <v>1538</v>
      </c>
      <c r="L272" t="s">
        <v>1539</v>
      </c>
      <c r="M272">
        <v>1666.7</v>
      </c>
      <c r="N272">
        <v>1666.7</v>
      </c>
      <c r="O272">
        <v>1666.7</v>
      </c>
    </row>
    <row r="273" spans="1:15" x14ac:dyDescent="0.25">
      <c r="A273" t="s">
        <v>831</v>
      </c>
      <c r="B273" t="s">
        <v>832</v>
      </c>
      <c r="C273" t="s">
        <v>100</v>
      </c>
      <c r="D273" t="s">
        <v>833</v>
      </c>
      <c r="E273" t="s">
        <v>1540</v>
      </c>
      <c r="F273" t="s">
        <v>1540</v>
      </c>
      <c r="G273" t="s">
        <v>1540</v>
      </c>
      <c r="H273" t="s">
        <v>1540</v>
      </c>
      <c r="I273" t="s">
        <v>1540</v>
      </c>
      <c r="J273" t="s">
        <v>1540</v>
      </c>
      <c r="K273" t="s">
        <v>1538</v>
      </c>
      <c r="L273" t="s">
        <v>1539</v>
      </c>
      <c r="M273">
        <v>0</v>
      </c>
      <c r="N273">
        <v>415.5</v>
      </c>
      <c r="O273">
        <v>659.5</v>
      </c>
    </row>
    <row r="274" spans="1:15" x14ac:dyDescent="0.25">
      <c r="A274" t="s">
        <v>834</v>
      </c>
      <c r="B274" t="s">
        <v>835</v>
      </c>
      <c r="C274" t="s">
        <v>100</v>
      </c>
      <c r="D274" t="s">
        <v>836</v>
      </c>
      <c r="E274" t="s">
        <v>1540</v>
      </c>
      <c r="F274" t="s">
        <v>1540</v>
      </c>
      <c r="G274" t="s">
        <v>1540</v>
      </c>
      <c r="H274" t="s">
        <v>1540</v>
      </c>
      <c r="I274" t="s">
        <v>1540</v>
      </c>
      <c r="J274" t="s">
        <v>1540</v>
      </c>
      <c r="K274" t="s">
        <v>1538</v>
      </c>
      <c r="L274">
        <v>2.15</v>
      </c>
      <c r="M274">
        <v>23.1</v>
      </c>
      <c r="N274">
        <v>36.5</v>
      </c>
      <c r="O274">
        <v>35.9</v>
      </c>
    </row>
    <row r="275" spans="1:15" x14ac:dyDescent="0.25">
      <c r="A275" t="s">
        <v>837</v>
      </c>
      <c r="B275" t="s">
        <v>838</v>
      </c>
      <c r="C275" t="s">
        <v>100</v>
      </c>
      <c r="D275" t="s">
        <v>839</v>
      </c>
      <c r="E275" t="s">
        <v>1540</v>
      </c>
      <c r="F275" t="s">
        <v>1540</v>
      </c>
      <c r="G275" t="s">
        <v>1540</v>
      </c>
      <c r="H275" t="s">
        <v>1540</v>
      </c>
      <c r="I275" t="s">
        <v>1540</v>
      </c>
      <c r="J275" t="s">
        <v>1540</v>
      </c>
      <c r="K275" t="s">
        <v>1538</v>
      </c>
      <c r="L275" t="s">
        <v>1539</v>
      </c>
      <c r="M275">
        <v>0</v>
      </c>
      <c r="N275">
        <v>703.3</v>
      </c>
      <c r="O275">
        <v>824.3</v>
      </c>
    </row>
    <row r="276" spans="1:15" x14ac:dyDescent="0.25">
      <c r="A276" t="s">
        <v>840</v>
      </c>
      <c r="B276" t="s">
        <v>841</v>
      </c>
      <c r="C276" t="s">
        <v>100</v>
      </c>
      <c r="D276" t="s">
        <v>842</v>
      </c>
      <c r="E276" t="s">
        <v>1540</v>
      </c>
      <c r="F276" t="s">
        <v>1540</v>
      </c>
      <c r="G276" t="s">
        <v>1540</v>
      </c>
      <c r="H276" t="s">
        <v>1540</v>
      </c>
      <c r="I276" t="s">
        <v>1540</v>
      </c>
      <c r="J276" t="s">
        <v>1540</v>
      </c>
      <c r="K276" t="s">
        <v>1538</v>
      </c>
      <c r="L276" t="s">
        <v>1539</v>
      </c>
      <c r="M276">
        <v>0</v>
      </c>
      <c r="N276">
        <v>1318.4</v>
      </c>
      <c r="O276">
        <v>1333.8</v>
      </c>
    </row>
    <row r="277" spans="1:15" x14ac:dyDescent="0.25">
      <c r="A277" t="s">
        <v>843</v>
      </c>
      <c r="B277" t="s">
        <v>844</v>
      </c>
      <c r="C277" t="s">
        <v>100</v>
      </c>
      <c r="D277" t="s">
        <v>845</v>
      </c>
      <c r="E277" t="s">
        <v>1540</v>
      </c>
      <c r="F277" t="s">
        <v>1540</v>
      </c>
      <c r="G277" t="s">
        <v>1540</v>
      </c>
      <c r="H277" t="s">
        <v>1540</v>
      </c>
      <c r="I277" t="s">
        <v>1540</v>
      </c>
      <c r="J277" t="s">
        <v>1540</v>
      </c>
      <c r="K277" t="s">
        <v>1538</v>
      </c>
      <c r="L277">
        <v>161</v>
      </c>
      <c r="M277">
        <v>124.9</v>
      </c>
      <c r="N277">
        <v>148.30000000000001</v>
      </c>
      <c r="O277">
        <v>153.4</v>
      </c>
    </row>
    <row r="278" spans="1:15" x14ac:dyDescent="0.25">
      <c r="A278" t="s">
        <v>846</v>
      </c>
      <c r="B278" t="s">
        <v>847</v>
      </c>
      <c r="C278" t="s">
        <v>100</v>
      </c>
      <c r="D278" t="s">
        <v>848</v>
      </c>
      <c r="E278" t="s">
        <v>1540</v>
      </c>
      <c r="F278" t="s">
        <v>1540</v>
      </c>
      <c r="G278" t="s">
        <v>1540</v>
      </c>
      <c r="H278" t="s">
        <v>1540</v>
      </c>
      <c r="I278" t="s">
        <v>1540</v>
      </c>
      <c r="J278" t="s">
        <v>1540</v>
      </c>
      <c r="K278" t="s">
        <v>1538</v>
      </c>
      <c r="L278">
        <v>161</v>
      </c>
      <c r="M278">
        <v>198.8</v>
      </c>
      <c r="N278">
        <v>177.9</v>
      </c>
      <c r="O278">
        <v>142.6</v>
      </c>
    </row>
    <row r="279" spans="1:15" x14ac:dyDescent="0.25">
      <c r="A279" t="s">
        <v>849</v>
      </c>
      <c r="B279" t="s">
        <v>850</v>
      </c>
      <c r="C279" t="s">
        <v>100</v>
      </c>
      <c r="D279" t="s">
        <v>851</v>
      </c>
      <c r="E279" t="s">
        <v>1540</v>
      </c>
      <c r="F279" t="s">
        <v>1540</v>
      </c>
      <c r="G279" t="s">
        <v>1540</v>
      </c>
      <c r="H279" t="s">
        <v>1540</v>
      </c>
      <c r="I279" t="s">
        <v>1540</v>
      </c>
      <c r="J279" t="s">
        <v>1540</v>
      </c>
      <c r="K279" t="s">
        <v>1538</v>
      </c>
      <c r="L279" t="s">
        <v>1539</v>
      </c>
      <c r="M279">
        <v>0</v>
      </c>
      <c r="N279">
        <v>-951.2</v>
      </c>
      <c r="O279">
        <v>-311.8</v>
      </c>
    </row>
    <row r="280" spans="1:15" x14ac:dyDescent="0.25">
      <c r="A280" t="s">
        <v>852</v>
      </c>
      <c r="B280" t="s">
        <v>853</v>
      </c>
      <c r="C280" t="s">
        <v>100</v>
      </c>
      <c r="D280" t="s">
        <v>854</v>
      </c>
      <c r="E280" t="s">
        <v>1540</v>
      </c>
      <c r="F280" t="s">
        <v>1540</v>
      </c>
      <c r="G280" t="s">
        <v>1540</v>
      </c>
      <c r="H280" t="s">
        <v>1540</v>
      </c>
      <c r="I280" t="s">
        <v>1540</v>
      </c>
      <c r="J280" t="s">
        <v>1540</v>
      </c>
      <c r="K280" t="s">
        <v>1538</v>
      </c>
      <c r="L280">
        <v>125</v>
      </c>
      <c r="M280">
        <v>131.5</v>
      </c>
      <c r="N280">
        <v>156.9</v>
      </c>
      <c r="O280">
        <v>149.6</v>
      </c>
    </row>
    <row r="281" spans="1:15" x14ac:dyDescent="0.25">
      <c r="A281" t="s">
        <v>855</v>
      </c>
      <c r="B281" t="s">
        <v>856</v>
      </c>
      <c r="C281" t="s">
        <v>100</v>
      </c>
      <c r="D281" t="s">
        <v>857</v>
      </c>
      <c r="E281" t="s">
        <v>1540</v>
      </c>
      <c r="F281" t="s">
        <v>1540</v>
      </c>
      <c r="G281" t="s">
        <v>1540</v>
      </c>
      <c r="H281" t="s">
        <v>1540</v>
      </c>
      <c r="I281" t="s">
        <v>1540</v>
      </c>
      <c r="J281" t="s">
        <v>1540</v>
      </c>
      <c r="K281" t="s">
        <v>1538</v>
      </c>
      <c r="L281" t="s">
        <v>1539</v>
      </c>
      <c r="M281">
        <v>0</v>
      </c>
      <c r="N281">
        <v>1629.5</v>
      </c>
      <c r="O281">
        <v>1603.4</v>
      </c>
    </row>
    <row r="282" spans="1:15" x14ac:dyDescent="0.25">
      <c r="A282" t="s">
        <v>858</v>
      </c>
      <c r="B282" t="s">
        <v>859</v>
      </c>
      <c r="C282" t="s">
        <v>100</v>
      </c>
      <c r="D282" t="s">
        <v>860</v>
      </c>
      <c r="E282" t="s">
        <v>1540</v>
      </c>
      <c r="F282" t="s">
        <v>1540</v>
      </c>
      <c r="G282" t="s">
        <v>1540</v>
      </c>
      <c r="H282" t="s">
        <v>1540</v>
      </c>
      <c r="I282" t="s">
        <v>1540</v>
      </c>
      <c r="J282" t="s">
        <v>1540</v>
      </c>
      <c r="K282" t="s">
        <v>1538</v>
      </c>
      <c r="L282">
        <v>1.33</v>
      </c>
      <c r="M282">
        <v>14.7</v>
      </c>
      <c r="N282">
        <v>24.2</v>
      </c>
      <c r="O282">
        <v>22.2</v>
      </c>
    </row>
    <row r="283" spans="1:15" x14ac:dyDescent="0.25">
      <c r="A283" t="s">
        <v>861</v>
      </c>
      <c r="B283" t="s">
        <v>862</v>
      </c>
      <c r="C283" t="s">
        <v>100</v>
      </c>
      <c r="D283" t="s">
        <v>863</v>
      </c>
      <c r="E283" t="s">
        <v>1540</v>
      </c>
      <c r="F283" t="s">
        <v>1540</v>
      </c>
      <c r="G283" t="s">
        <v>1540</v>
      </c>
      <c r="H283" t="s">
        <v>1540</v>
      </c>
      <c r="I283" t="s">
        <v>1540</v>
      </c>
      <c r="J283" t="s">
        <v>1540</v>
      </c>
      <c r="K283" t="s">
        <v>1538</v>
      </c>
      <c r="L283" t="s">
        <v>1539</v>
      </c>
      <c r="M283">
        <v>0</v>
      </c>
      <c r="N283">
        <v>609.20000000000005</v>
      </c>
      <c r="O283">
        <v>1362.6</v>
      </c>
    </row>
    <row r="284" spans="1:15" x14ac:dyDescent="0.25">
      <c r="A284" t="s">
        <v>864</v>
      </c>
      <c r="B284" t="s">
        <v>865</v>
      </c>
      <c r="C284" t="s">
        <v>100</v>
      </c>
      <c r="D284" t="s">
        <v>866</v>
      </c>
      <c r="E284" t="s">
        <v>1540</v>
      </c>
      <c r="F284" t="s">
        <v>1540</v>
      </c>
      <c r="G284" t="s">
        <v>1540</v>
      </c>
      <c r="H284" t="s">
        <v>1540</v>
      </c>
      <c r="I284" t="s">
        <v>1540</v>
      </c>
      <c r="J284" t="s">
        <v>1540</v>
      </c>
      <c r="K284" t="s">
        <v>1538</v>
      </c>
      <c r="L284">
        <v>169</v>
      </c>
      <c r="M284">
        <v>388.5</v>
      </c>
      <c r="N284">
        <v>217.3</v>
      </c>
      <c r="O284">
        <v>192.3</v>
      </c>
    </row>
    <row r="285" spans="1:15" x14ac:dyDescent="0.25">
      <c r="A285" t="s">
        <v>867</v>
      </c>
      <c r="B285" t="s">
        <v>868</v>
      </c>
      <c r="C285" t="s">
        <v>100</v>
      </c>
      <c r="D285" t="s">
        <v>869</v>
      </c>
      <c r="E285" t="s">
        <v>1540</v>
      </c>
      <c r="F285" t="s">
        <v>1540</v>
      </c>
      <c r="G285" t="s">
        <v>1540</v>
      </c>
      <c r="H285" t="s">
        <v>1540</v>
      </c>
      <c r="I285" t="s">
        <v>1540</v>
      </c>
      <c r="J285" t="s">
        <v>1540</v>
      </c>
      <c r="K285" t="s">
        <v>1538</v>
      </c>
      <c r="L285">
        <v>125</v>
      </c>
      <c r="M285">
        <v>151.5</v>
      </c>
      <c r="N285">
        <v>154.9</v>
      </c>
      <c r="O285">
        <v>151.4</v>
      </c>
    </row>
    <row r="286" spans="1:15" x14ac:dyDescent="0.25">
      <c r="A286" t="s">
        <v>870</v>
      </c>
      <c r="B286" t="s">
        <v>871</v>
      </c>
      <c r="C286" t="s">
        <v>100</v>
      </c>
      <c r="D286" t="s">
        <v>872</v>
      </c>
      <c r="E286" t="s">
        <v>1540</v>
      </c>
      <c r="F286" t="s">
        <v>1540</v>
      </c>
      <c r="G286" t="s">
        <v>1540</v>
      </c>
      <c r="H286" t="s">
        <v>1540</v>
      </c>
      <c r="I286" t="s">
        <v>1540</v>
      </c>
      <c r="J286" t="s">
        <v>1540</v>
      </c>
      <c r="K286" t="s">
        <v>1538</v>
      </c>
      <c r="L286">
        <v>7.44</v>
      </c>
      <c r="M286">
        <v>193.2</v>
      </c>
      <c r="N286">
        <v>167.6</v>
      </c>
      <c r="O286">
        <v>124</v>
      </c>
    </row>
    <row r="287" spans="1:15" x14ac:dyDescent="0.25">
      <c r="A287" t="s">
        <v>873</v>
      </c>
      <c r="B287" t="s">
        <v>874</v>
      </c>
      <c r="C287" t="s">
        <v>100</v>
      </c>
      <c r="D287" t="s">
        <v>875</v>
      </c>
      <c r="E287" t="s">
        <v>1540</v>
      </c>
      <c r="F287" t="s">
        <v>1540</v>
      </c>
      <c r="G287" t="s">
        <v>1540</v>
      </c>
      <c r="H287" t="s">
        <v>1540</v>
      </c>
      <c r="I287" t="s">
        <v>1540</v>
      </c>
      <c r="J287" t="s">
        <v>1540</v>
      </c>
      <c r="K287" t="s">
        <v>1538</v>
      </c>
      <c r="L287" t="s">
        <v>1539</v>
      </c>
      <c r="M287">
        <v>0</v>
      </c>
      <c r="N287">
        <v>1614.8</v>
      </c>
      <c r="O287">
        <v>1414.5</v>
      </c>
    </row>
    <row r="288" spans="1:15" x14ac:dyDescent="0.25">
      <c r="A288" t="s">
        <v>876</v>
      </c>
      <c r="B288" t="s">
        <v>877</v>
      </c>
      <c r="C288" t="s">
        <v>100</v>
      </c>
      <c r="D288" t="s">
        <v>878</v>
      </c>
      <c r="E288" t="s">
        <v>1540</v>
      </c>
      <c r="F288" t="s">
        <v>1540</v>
      </c>
      <c r="G288" t="s">
        <v>1540</v>
      </c>
      <c r="H288" t="s">
        <v>1540</v>
      </c>
      <c r="I288" t="s">
        <v>1540</v>
      </c>
      <c r="J288" t="s">
        <v>1540</v>
      </c>
      <c r="K288" t="s">
        <v>1538</v>
      </c>
      <c r="L288">
        <v>169</v>
      </c>
      <c r="M288">
        <v>26.3</v>
      </c>
      <c r="N288">
        <v>43.3</v>
      </c>
      <c r="O288">
        <v>46.4</v>
      </c>
    </row>
    <row r="289" spans="1:15" x14ac:dyDescent="0.25">
      <c r="A289" t="s">
        <v>879</v>
      </c>
      <c r="B289" t="s">
        <v>880</v>
      </c>
      <c r="C289" t="s">
        <v>100</v>
      </c>
      <c r="D289" t="s">
        <v>881</v>
      </c>
      <c r="E289" t="s">
        <v>1540</v>
      </c>
      <c r="F289" t="s">
        <v>1540</v>
      </c>
      <c r="G289" t="s">
        <v>1540</v>
      </c>
      <c r="H289" t="s">
        <v>1540</v>
      </c>
      <c r="I289" t="s">
        <v>1540</v>
      </c>
      <c r="J289" t="s">
        <v>1540</v>
      </c>
      <c r="K289" t="s">
        <v>1538</v>
      </c>
      <c r="L289">
        <v>169</v>
      </c>
      <c r="M289">
        <v>1344.5</v>
      </c>
      <c r="N289">
        <v>714.6</v>
      </c>
      <c r="O289">
        <v>416.9</v>
      </c>
    </row>
    <row r="290" spans="1:15" x14ac:dyDescent="0.25">
      <c r="A290" t="s">
        <v>882</v>
      </c>
      <c r="B290" t="s">
        <v>883</v>
      </c>
      <c r="C290" t="s">
        <v>100</v>
      </c>
      <c r="D290" t="s">
        <v>884</v>
      </c>
      <c r="E290" t="s">
        <v>1540</v>
      </c>
      <c r="F290" t="s">
        <v>1540</v>
      </c>
      <c r="G290" t="s">
        <v>1540</v>
      </c>
      <c r="H290" t="s">
        <v>1540</v>
      </c>
      <c r="I290" t="s">
        <v>1540</v>
      </c>
      <c r="J290" t="s">
        <v>1540</v>
      </c>
      <c r="K290" t="s">
        <v>1538</v>
      </c>
      <c r="L290">
        <v>125</v>
      </c>
      <c r="M290">
        <v>5.9</v>
      </c>
      <c r="N290">
        <v>21.9</v>
      </c>
      <c r="O290">
        <v>13.3</v>
      </c>
    </row>
    <row r="291" spans="1:15" x14ac:dyDescent="0.25">
      <c r="A291" t="s">
        <v>885</v>
      </c>
      <c r="B291" t="s">
        <v>886</v>
      </c>
      <c r="C291" t="s">
        <v>100</v>
      </c>
      <c r="D291" t="s">
        <v>887</v>
      </c>
      <c r="E291" t="s">
        <v>1540</v>
      </c>
      <c r="F291" t="s">
        <v>1540</v>
      </c>
      <c r="G291" t="s">
        <v>1540</v>
      </c>
      <c r="H291" t="s">
        <v>1540</v>
      </c>
      <c r="I291" t="s">
        <v>1540</v>
      </c>
      <c r="J291" t="s">
        <v>1540</v>
      </c>
      <c r="K291" t="s">
        <v>1538</v>
      </c>
      <c r="L291" t="s">
        <v>1539</v>
      </c>
      <c r="M291">
        <v>0</v>
      </c>
      <c r="N291">
        <v>1419.8</v>
      </c>
      <c r="O291">
        <v>1333.8</v>
      </c>
    </row>
    <row r="292" spans="1:15" x14ac:dyDescent="0.25">
      <c r="A292" t="s">
        <v>888</v>
      </c>
      <c r="B292" t="s">
        <v>889</v>
      </c>
      <c r="C292" t="s">
        <v>100</v>
      </c>
      <c r="D292" t="s">
        <v>890</v>
      </c>
      <c r="E292" t="s">
        <v>1540</v>
      </c>
      <c r="F292" t="s">
        <v>1540</v>
      </c>
      <c r="G292" t="s">
        <v>1540</v>
      </c>
      <c r="H292" t="s">
        <v>1540</v>
      </c>
      <c r="I292" t="s">
        <v>1540</v>
      </c>
      <c r="J292" t="s">
        <v>1540</v>
      </c>
      <c r="K292" t="s">
        <v>1538</v>
      </c>
      <c r="L292" t="s">
        <v>1539</v>
      </c>
      <c r="M292">
        <v>0</v>
      </c>
      <c r="N292">
        <v>319.10000000000002</v>
      </c>
      <c r="O292">
        <v>1211.0999999999999</v>
      </c>
    </row>
    <row r="293" spans="1:15" x14ac:dyDescent="0.25">
      <c r="A293" t="s">
        <v>891</v>
      </c>
      <c r="B293" t="s">
        <v>892</v>
      </c>
      <c r="C293" t="s">
        <v>100</v>
      </c>
      <c r="D293" t="s">
        <v>893</v>
      </c>
      <c r="E293" t="s">
        <v>1540</v>
      </c>
      <c r="F293" t="s">
        <v>1540</v>
      </c>
      <c r="G293" t="s">
        <v>1540</v>
      </c>
      <c r="H293" t="s">
        <v>1540</v>
      </c>
      <c r="I293" t="s">
        <v>1540</v>
      </c>
      <c r="J293" t="s">
        <v>1540</v>
      </c>
      <c r="K293" t="s">
        <v>1538</v>
      </c>
      <c r="L293">
        <v>125</v>
      </c>
      <c r="M293">
        <v>182.6</v>
      </c>
      <c r="N293">
        <v>146</v>
      </c>
      <c r="O293">
        <v>130.6</v>
      </c>
    </row>
    <row r="294" spans="1:15" x14ac:dyDescent="0.25">
      <c r="A294" t="s">
        <v>894</v>
      </c>
      <c r="B294" t="s">
        <v>895</v>
      </c>
      <c r="C294" t="s">
        <v>100</v>
      </c>
      <c r="D294" t="s">
        <v>896</v>
      </c>
      <c r="E294" t="s">
        <v>1540</v>
      </c>
      <c r="F294" t="s">
        <v>1540</v>
      </c>
      <c r="G294" t="s">
        <v>1540</v>
      </c>
      <c r="H294" t="s">
        <v>1540</v>
      </c>
      <c r="I294" t="s">
        <v>1540</v>
      </c>
      <c r="J294" t="s">
        <v>1540</v>
      </c>
      <c r="K294" t="s">
        <v>1538</v>
      </c>
      <c r="L294">
        <v>169</v>
      </c>
      <c r="M294">
        <v>41.6</v>
      </c>
      <c r="N294">
        <v>41.8</v>
      </c>
      <c r="O294">
        <v>40.200000000000003</v>
      </c>
    </row>
    <row r="295" spans="1:15" x14ac:dyDescent="0.25">
      <c r="A295" t="s">
        <v>897</v>
      </c>
      <c r="B295" t="s">
        <v>898</v>
      </c>
      <c r="C295" t="s">
        <v>100</v>
      </c>
      <c r="D295" t="s">
        <v>899</v>
      </c>
      <c r="E295" t="s">
        <v>1540</v>
      </c>
      <c r="F295" t="s">
        <v>1540</v>
      </c>
      <c r="G295" t="s">
        <v>1540</v>
      </c>
      <c r="H295" t="s">
        <v>1540</v>
      </c>
      <c r="I295" t="s">
        <v>1540</v>
      </c>
      <c r="J295" t="s">
        <v>1540</v>
      </c>
      <c r="K295" t="s">
        <v>1538</v>
      </c>
      <c r="L295" t="s">
        <v>1539</v>
      </c>
      <c r="M295">
        <v>0</v>
      </c>
      <c r="N295">
        <v>1466.7</v>
      </c>
      <c r="O295">
        <v>1341.2</v>
      </c>
    </row>
    <row r="296" spans="1:15" x14ac:dyDescent="0.25">
      <c r="A296" t="s">
        <v>900</v>
      </c>
      <c r="B296" t="s">
        <v>901</v>
      </c>
      <c r="C296" t="s">
        <v>100</v>
      </c>
      <c r="D296" t="s">
        <v>902</v>
      </c>
      <c r="E296" t="s">
        <v>1540</v>
      </c>
      <c r="F296" t="s">
        <v>1540</v>
      </c>
      <c r="G296" t="s">
        <v>1540</v>
      </c>
      <c r="H296" t="s">
        <v>1540</v>
      </c>
      <c r="I296" t="s">
        <v>1540</v>
      </c>
      <c r="J296" t="s">
        <v>1540</v>
      </c>
      <c r="K296" t="s">
        <v>1538</v>
      </c>
      <c r="L296" t="s">
        <v>1539</v>
      </c>
      <c r="M296">
        <v>0</v>
      </c>
      <c r="N296">
        <v>1657.2</v>
      </c>
      <c r="O296">
        <v>1658.7</v>
      </c>
    </row>
    <row r="297" spans="1:15" x14ac:dyDescent="0.25">
      <c r="A297" t="s">
        <v>903</v>
      </c>
      <c r="B297" t="s">
        <v>904</v>
      </c>
      <c r="C297" t="s">
        <v>100</v>
      </c>
      <c r="D297" t="s">
        <v>905</v>
      </c>
      <c r="E297" t="s">
        <v>1540</v>
      </c>
      <c r="F297" t="s">
        <v>1540</v>
      </c>
      <c r="G297" t="s">
        <v>1540</v>
      </c>
      <c r="H297" t="s">
        <v>1540</v>
      </c>
      <c r="I297" t="s">
        <v>1540</v>
      </c>
      <c r="J297" t="s">
        <v>1540</v>
      </c>
      <c r="K297" t="s">
        <v>1538</v>
      </c>
      <c r="L297">
        <v>161</v>
      </c>
      <c r="M297">
        <v>102.2</v>
      </c>
      <c r="N297">
        <v>230.5</v>
      </c>
      <c r="O297">
        <v>168.2</v>
      </c>
    </row>
    <row r="298" spans="1:15" x14ac:dyDescent="0.25">
      <c r="A298" t="s">
        <v>906</v>
      </c>
      <c r="B298" t="s">
        <v>907</v>
      </c>
      <c r="C298" t="s">
        <v>100</v>
      </c>
      <c r="D298" t="s">
        <v>908</v>
      </c>
      <c r="E298" t="s">
        <v>1540</v>
      </c>
      <c r="F298" t="s">
        <v>1540</v>
      </c>
      <c r="G298" t="s">
        <v>1540</v>
      </c>
      <c r="H298" t="s">
        <v>1540</v>
      </c>
      <c r="I298" t="s">
        <v>1540</v>
      </c>
      <c r="J298" t="s">
        <v>1540</v>
      </c>
      <c r="K298" t="s">
        <v>1538</v>
      </c>
      <c r="L298">
        <v>3.23</v>
      </c>
      <c r="M298">
        <v>55</v>
      </c>
      <c r="N298">
        <v>54.8</v>
      </c>
      <c r="O298">
        <v>53.8</v>
      </c>
    </row>
    <row r="299" spans="1:15" x14ac:dyDescent="0.25">
      <c r="A299" t="s">
        <v>909</v>
      </c>
      <c r="B299" t="s">
        <v>910</v>
      </c>
      <c r="C299" t="s">
        <v>100</v>
      </c>
      <c r="D299" t="s">
        <v>911</v>
      </c>
      <c r="E299" t="s">
        <v>1540</v>
      </c>
      <c r="F299" t="s">
        <v>1540</v>
      </c>
      <c r="G299" t="s">
        <v>1540</v>
      </c>
      <c r="H299" t="s">
        <v>1540</v>
      </c>
      <c r="I299" t="s">
        <v>1540</v>
      </c>
      <c r="J299" t="s">
        <v>1540</v>
      </c>
      <c r="K299" t="s">
        <v>1538</v>
      </c>
      <c r="L299" t="s">
        <v>1539</v>
      </c>
      <c r="M299">
        <v>1666.7</v>
      </c>
      <c r="N299">
        <v>1666.7</v>
      </c>
      <c r="O299">
        <v>1666.7</v>
      </c>
    </row>
    <row r="300" spans="1:15" x14ac:dyDescent="0.25">
      <c r="A300" t="s">
        <v>912</v>
      </c>
      <c r="B300" t="s">
        <v>913</v>
      </c>
      <c r="C300" t="s">
        <v>100</v>
      </c>
      <c r="D300" t="s">
        <v>914</v>
      </c>
      <c r="E300" t="s">
        <v>1540</v>
      </c>
      <c r="F300" t="s">
        <v>1540</v>
      </c>
      <c r="G300" t="s">
        <v>1540</v>
      </c>
      <c r="H300" t="s">
        <v>1540</v>
      </c>
      <c r="I300" t="s">
        <v>1540</v>
      </c>
      <c r="J300" t="s">
        <v>1540</v>
      </c>
      <c r="K300" t="s">
        <v>1538</v>
      </c>
      <c r="L300">
        <v>10.14</v>
      </c>
      <c r="M300">
        <v>70.400000000000006</v>
      </c>
      <c r="N300">
        <v>94</v>
      </c>
      <c r="O300">
        <v>169</v>
      </c>
    </row>
    <row r="301" spans="1:15" x14ac:dyDescent="0.25">
      <c r="A301" t="s">
        <v>915</v>
      </c>
      <c r="B301" t="s">
        <v>916</v>
      </c>
      <c r="C301" t="s">
        <v>100</v>
      </c>
      <c r="D301" t="s">
        <v>917</v>
      </c>
      <c r="E301" t="s">
        <v>1540</v>
      </c>
      <c r="F301" t="s">
        <v>1540</v>
      </c>
      <c r="G301" t="s">
        <v>1540</v>
      </c>
      <c r="H301" t="s">
        <v>1540</v>
      </c>
      <c r="I301" t="s">
        <v>1540</v>
      </c>
      <c r="J301" t="s">
        <v>1540</v>
      </c>
      <c r="K301" t="s">
        <v>1538</v>
      </c>
      <c r="L301" t="s">
        <v>1539</v>
      </c>
      <c r="M301">
        <v>0</v>
      </c>
      <c r="N301">
        <v>1658.7</v>
      </c>
      <c r="O301">
        <v>1630.6</v>
      </c>
    </row>
    <row r="302" spans="1:15" x14ac:dyDescent="0.25">
      <c r="A302" t="s">
        <v>918</v>
      </c>
      <c r="B302" t="s">
        <v>919</v>
      </c>
      <c r="C302" t="s">
        <v>100</v>
      </c>
      <c r="D302" t="s">
        <v>920</v>
      </c>
      <c r="E302" t="s">
        <v>1540</v>
      </c>
      <c r="F302" t="s">
        <v>1540</v>
      </c>
      <c r="G302" t="s">
        <v>1540</v>
      </c>
      <c r="H302" t="s">
        <v>1540</v>
      </c>
      <c r="I302" t="s">
        <v>1540</v>
      </c>
      <c r="J302" t="s">
        <v>1540</v>
      </c>
      <c r="K302" t="s">
        <v>1538</v>
      </c>
      <c r="L302">
        <v>17.649999999999999</v>
      </c>
      <c r="M302">
        <v>96.1</v>
      </c>
      <c r="N302">
        <v>518.1</v>
      </c>
      <c r="O302">
        <v>294.2</v>
      </c>
    </row>
    <row r="303" spans="1:15" x14ac:dyDescent="0.25">
      <c r="A303" t="s">
        <v>921</v>
      </c>
      <c r="B303" t="s">
        <v>922</v>
      </c>
      <c r="C303" t="s">
        <v>100</v>
      </c>
      <c r="D303" t="s">
        <v>923</v>
      </c>
      <c r="E303" t="s">
        <v>1540</v>
      </c>
      <c r="F303" t="s">
        <v>1540</v>
      </c>
      <c r="G303" t="s">
        <v>1540</v>
      </c>
      <c r="H303" t="s">
        <v>1540</v>
      </c>
      <c r="I303" t="s">
        <v>1540</v>
      </c>
      <c r="J303" t="s">
        <v>1540</v>
      </c>
      <c r="K303" t="s">
        <v>1538</v>
      </c>
      <c r="L303">
        <v>169</v>
      </c>
      <c r="M303">
        <v>874.8</v>
      </c>
      <c r="N303">
        <v>379.9</v>
      </c>
      <c r="O303">
        <v>357.4</v>
      </c>
    </row>
    <row r="304" spans="1:15" x14ac:dyDescent="0.25">
      <c r="A304" t="s">
        <v>924</v>
      </c>
      <c r="B304" t="s">
        <v>925</v>
      </c>
      <c r="C304" t="s">
        <v>100</v>
      </c>
      <c r="D304" t="s">
        <v>926</v>
      </c>
      <c r="E304" t="s">
        <v>1540</v>
      </c>
      <c r="F304" t="s">
        <v>1540</v>
      </c>
      <c r="G304" t="s">
        <v>1540</v>
      </c>
      <c r="H304" t="s">
        <v>1540</v>
      </c>
      <c r="I304" t="s">
        <v>1540</v>
      </c>
      <c r="J304" t="s">
        <v>1540</v>
      </c>
      <c r="K304" t="s">
        <v>1538</v>
      </c>
      <c r="L304">
        <v>161</v>
      </c>
      <c r="M304">
        <v>205.3</v>
      </c>
      <c r="N304">
        <v>126.7</v>
      </c>
      <c r="O304">
        <v>130.30000000000001</v>
      </c>
    </row>
    <row r="305" spans="1:16" x14ac:dyDescent="0.25">
      <c r="A305" t="s">
        <v>927</v>
      </c>
      <c r="B305" t="s">
        <v>928</v>
      </c>
      <c r="C305" t="s">
        <v>100</v>
      </c>
      <c r="D305" t="s">
        <v>929</v>
      </c>
      <c r="E305" t="s">
        <v>1540</v>
      </c>
      <c r="F305" t="s">
        <v>1540</v>
      </c>
      <c r="G305" t="s">
        <v>1540</v>
      </c>
      <c r="H305" t="s">
        <v>1540</v>
      </c>
      <c r="I305" t="s">
        <v>1540</v>
      </c>
      <c r="J305" t="s">
        <v>1540</v>
      </c>
      <c r="K305" t="s">
        <v>1538</v>
      </c>
      <c r="L305">
        <v>0.72</v>
      </c>
      <c r="M305">
        <v>9.1</v>
      </c>
      <c r="N305">
        <v>12.2</v>
      </c>
      <c r="O305">
        <v>12.1</v>
      </c>
    </row>
    <row r="306" spans="1:16" x14ac:dyDescent="0.25">
      <c r="A306" t="s">
        <v>930</v>
      </c>
      <c r="B306" t="s">
        <v>931</v>
      </c>
      <c r="C306" t="s">
        <v>100</v>
      </c>
      <c r="D306" t="s">
        <v>932</v>
      </c>
      <c r="E306" t="s">
        <v>1540</v>
      </c>
      <c r="F306" t="s">
        <v>1540</v>
      </c>
      <c r="G306" t="s">
        <v>1540</v>
      </c>
      <c r="H306" t="s">
        <v>1540</v>
      </c>
      <c r="I306" t="s">
        <v>1540</v>
      </c>
      <c r="J306" t="s">
        <v>1540</v>
      </c>
      <c r="K306" t="s">
        <v>1538</v>
      </c>
      <c r="L306" t="s">
        <v>1539</v>
      </c>
      <c r="M306">
        <v>0</v>
      </c>
      <c r="N306">
        <v>1665.8</v>
      </c>
      <c r="O306">
        <v>1625.8</v>
      </c>
    </row>
    <row r="307" spans="1:16" x14ac:dyDescent="0.25">
      <c r="A307" t="s">
        <v>933</v>
      </c>
      <c r="B307" t="s">
        <v>934</v>
      </c>
      <c r="C307" t="s">
        <v>100</v>
      </c>
      <c r="D307" t="s">
        <v>935</v>
      </c>
      <c r="E307" t="s">
        <v>1540</v>
      </c>
      <c r="F307" t="s">
        <v>1540</v>
      </c>
      <c r="G307" t="s">
        <v>1540</v>
      </c>
      <c r="H307" t="s">
        <v>1540</v>
      </c>
      <c r="I307" t="s">
        <v>1540</v>
      </c>
      <c r="J307" t="s">
        <v>1540</v>
      </c>
      <c r="K307" t="s">
        <v>1538</v>
      </c>
      <c r="L307">
        <v>0</v>
      </c>
      <c r="M307">
        <v>0</v>
      </c>
      <c r="N307">
        <v>0</v>
      </c>
      <c r="O307">
        <v>0</v>
      </c>
    </row>
    <row r="308" spans="1:16" x14ac:dyDescent="0.25">
      <c r="A308" t="s">
        <v>936</v>
      </c>
      <c r="B308" t="s">
        <v>937</v>
      </c>
      <c r="C308" t="s">
        <v>100</v>
      </c>
      <c r="D308" t="s">
        <v>938</v>
      </c>
      <c r="E308" t="s">
        <v>1540</v>
      </c>
      <c r="F308" t="s">
        <v>1540</v>
      </c>
      <c r="G308" t="s">
        <v>1540</v>
      </c>
      <c r="H308" t="s">
        <v>1540</v>
      </c>
      <c r="I308" t="s">
        <v>1540</v>
      </c>
      <c r="J308" t="s">
        <v>1540</v>
      </c>
      <c r="K308" t="s">
        <v>1538</v>
      </c>
      <c r="L308">
        <v>161</v>
      </c>
      <c r="M308">
        <v>54.8</v>
      </c>
      <c r="N308">
        <v>32.799999999999997</v>
      </c>
      <c r="O308">
        <v>190.5</v>
      </c>
      <c r="P308" t="s">
        <v>1541</v>
      </c>
    </row>
    <row r="309" spans="1:16" x14ac:dyDescent="0.25">
      <c r="A309" t="s">
        <v>939</v>
      </c>
      <c r="B309" t="s">
        <v>940</v>
      </c>
      <c r="C309" t="s">
        <v>100</v>
      </c>
      <c r="D309" t="s">
        <v>941</v>
      </c>
      <c r="E309" t="s">
        <v>1540</v>
      </c>
      <c r="F309" t="s">
        <v>1540</v>
      </c>
      <c r="G309" t="s">
        <v>1540</v>
      </c>
      <c r="H309" t="s">
        <v>1540</v>
      </c>
      <c r="I309" t="s">
        <v>1540</v>
      </c>
      <c r="J309" t="s">
        <v>1540</v>
      </c>
      <c r="K309" t="s">
        <v>1538</v>
      </c>
      <c r="L309">
        <v>227</v>
      </c>
      <c r="M309">
        <v>132.19999999999999</v>
      </c>
      <c r="N309">
        <v>130</v>
      </c>
      <c r="O309">
        <v>139.30000000000001</v>
      </c>
    </row>
    <row r="310" spans="1:16" x14ac:dyDescent="0.25">
      <c r="A310" t="s">
        <v>942</v>
      </c>
      <c r="B310" t="s">
        <v>943</v>
      </c>
      <c r="C310" t="s">
        <v>100</v>
      </c>
      <c r="D310" t="s">
        <v>944</v>
      </c>
      <c r="E310" t="s">
        <v>1540</v>
      </c>
      <c r="F310" t="s">
        <v>1540</v>
      </c>
      <c r="G310" t="s">
        <v>1540</v>
      </c>
      <c r="H310" t="s">
        <v>1540</v>
      </c>
      <c r="I310" t="s">
        <v>1540</v>
      </c>
      <c r="J310" t="s">
        <v>1540</v>
      </c>
      <c r="K310" t="s">
        <v>1539</v>
      </c>
      <c r="L310" t="s">
        <v>1539</v>
      </c>
      <c r="M310">
        <v>1666.7</v>
      </c>
      <c r="N310">
        <v>1666.7</v>
      </c>
      <c r="O310">
        <v>1666.7</v>
      </c>
    </row>
    <row r="311" spans="1:16" x14ac:dyDescent="0.25">
      <c r="A311" t="s">
        <v>945</v>
      </c>
      <c r="B311" t="s">
        <v>946</v>
      </c>
      <c r="C311" t="s">
        <v>100</v>
      </c>
      <c r="D311" t="s">
        <v>947</v>
      </c>
      <c r="E311" t="s">
        <v>1540</v>
      </c>
      <c r="F311" t="s">
        <v>1540</v>
      </c>
      <c r="G311" t="s">
        <v>1540</v>
      </c>
      <c r="H311" t="s">
        <v>1540</v>
      </c>
      <c r="I311" t="s">
        <v>1540</v>
      </c>
      <c r="J311" t="s">
        <v>1540</v>
      </c>
      <c r="K311" t="s">
        <v>1539</v>
      </c>
      <c r="L311" t="s">
        <v>1539</v>
      </c>
      <c r="M311">
        <v>1666.7</v>
      </c>
      <c r="N311">
        <v>1666.7</v>
      </c>
      <c r="O311">
        <v>1666.7</v>
      </c>
    </row>
    <row r="312" spans="1:16" x14ac:dyDescent="0.25">
      <c r="A312" t="s">
        <v>948</v>
      </c>
      <c r="B312" t="s">
        <v>949</v>
      </c>
      <c r="C312" t="s">
        <v>100</v>
      </c>
      <c r="D312" t="s">
        <v>950</v>
      </c>
      <c r="E312" t="s">
        <v>1540</v>
      </c>
      <c r="F312" t="s">
        <v>1540</v>
      </c>
      <c r="G312" t="s">
        <v>1540</v>
      </c>
      <c r="H312" t="s">
        <v>1540</v>
      </c>
      <c r="I312" t="s">
        <v>1540</v>
      </c>
      <c r="J312" t="s">
        <v>1540</v>
      </c>
      <c r="K312" t="s">
        <v>1542</v>
      </c>
      <c r="L312">
        <v>65.040000000000006</v>
      </c>
      <c r="M312">
        <v>0</v>
      </c>
      <c r="N312">
        <v>0</v>
      </c>
      <c r="O312">
        <v>1084</v>
      </c>
    </row>
    <row r="313" spans="1:16" x14ac:dyDescent="0.25">
      <c r="A313" t="s">
        <v>951</v>
      </c>
      <c r="B313" t="s">
        <v>952</v>
      </c>
      <c r="C313" t="s">
        <v>100</v>
      </c>
      <c r="D313" t="s">
        <v>953</v>
      </c>
      <c r="E313" t="s">
        <v>1540</v>
      </c>
      <c r="F313" t="s">
        <v>1540</v>
      </c>
      <c r="G313" t="s">
        <v>1540</v>
      </c>
      <c r="H313" t="s">
        <v>1540</v>
      </c>
      <c r="I313" t="s">
        <v>1540</v>
      </c>
      <c r="J313" t="s">
        <v>1540</v>
      </c>
      <c r="K313" t="s">
        <v>1539</v>
      </c>
      <c r="L313" t="s">
        <v>1539</v>
      </c>
      <c r="M313">
        <v>0</v>
      </c>
      <c r="N313">
        <v>743.9</v>
      </c>
      <c r="O313">
        <v>1064.7</v>
      </c>
    </row>
    <row r="314" spans="1:16" x14ac:dyDescent="0.25">
      <c r="A314" t="s">
        <v>954</v>
      </c>
      <c r="B314" t="s">
        <v>955</v>
      </c>
      <c r="C314" t="s">
        <v>100</v>
      </c>
      <c r="D314" t="s">
        <v>956</v>
      </c>
      <c r="E314" t="s">
        <v>1540</v>
      </c>
      <c r="F314" t="s">
        <v>1540</v>
      </c>
      <c r="G314" t="s">
        <v>1540</v>
      </c>
      <c r="H314" t="s">
        <v>1540</v>
      </c>
      <c r="I314" t="s">
        <v>1540</v>
      </c>
      <c r="J314" t="s">
        <v>1540</v>
      </c>
      <c r="K314" t="s">
        <v>1542</v>
      </c>
      <c r="L314">
        <v>0.01</v>
      </c>
      <c r="M314">
        <v>0.6</v>
      </c>
      <c r="N314">
        <v>0.3</v>
      </c>
      <c r="O314">
        <v>0.2</v>
      </c>
    </row>
    <row r="315" spans="1:16" x14ac:dyDescent="0.25">
      <c r="A315" t="s">
        <v>957</v>
      </c>
      <c r="B315" t="s">
        <v>958</v>
      </c>
      <c r="C315" t="s">
        <v>100</v>
      </c>
      <c r="D315" t="s">
        <v>959</v>
      </c>
      <c r="E315" t="s">
        <v>1540</v>
      </c>
      <c r="F315" t="s">
        <v>1540</v>
      </c>
      <c r="G315" t="s">
        <v>1540</v>
      </c>
      <c r="H315" t="s">
        <v>1540</v>
      </c>
      <c r="I315" t="s">
        <v>1540</v>
      </c>
      <c r="J315" t="s">
        <v>1540</v>
      </c>
      <c r="K315" t="s">
        <v>1539</v>
      </c>
      <c r="L315" t="s">
        <v>1539</v>
      </c>
      <c r="M315">
        <v>0</v>
      </c>
      <c r="N315">
        <v>1112.5999999999999</v>
      </c>
      <c r="O315">
        <v>1353.2</v>
      </c>
    </row>
    <row r="316" spans="1:16" x14ac:dyDescent="0.25">
      <c r="A316" t="s">
        <v>960</v>
      </c>
      <c r="B316" t="s">
        <v>961</v>
      </c>
      <c r="C316" t="s">
        <v>100</v>
      </c>
      <c r="D316" t="s">
        <v>962</v>
      </c>
      <c r="E316" t="s">
        <v>1540</v>
      </c>
      <c r="F316" t="s">
        <v>1540</v>
      </c>
      <c r="G316" t="s">
        <v>1540</v>
      </c>
      <c r="H316" t="s">
        <v>1540</v>
      </c>
      <c r="I316" t="s">
        <v>1540</v>
      </c>
      <c r="J316" t="s">
        <v>1540</v>
      </c>
      <c r="K316" t="s">
        <v>1539</v>
      </c>
      <c r="L316" t="s">
        <v>1539</v>
      </c>
      <c r="M316">
        <v>0</v>
      </c>
      <c r="N316">
        <v>1654.3</v>
      </c>
      <c r="O316">
        <v>1542.3</v>
      </c>
    </row>
    <row r="317" spans="1:16" x14ac:dyDescent="0.25">
      <c r="A317" t="s">
        <v>963</v>
      </c>
      <c r="B317" t="s">
        <v>964</v>
      </c>
      <c r="C317" t="s">
        <v>100</v>
      </c>
      <c r="D317" t="s">
        <v>965</v>
      </c>
      <c r="E317" t="s">
        <v>1540</v>
      </c>
      <c r="F317" t="s">
        <v>1540</v>
      </c>
      <c r="G317" t="s">
        <v>1540</v>
      </c>
      <c r="H317" t="s">
        <v>1540</v>
      </c>
      <c r="I317" t="s">
        <v>1540</v>
      </c>
      <c r="J317" t="s">
        <v>1540</v>
      </c>
      <c r="K317" t="s">
        <v>1538</v>
      </c>
      <c r="L317">
        <v>161</v>
      </c>
      <c r="M317">
        <v>62.9</v>
      </c>
      <c r="N317">
        <v>251.8</v>
      </c>
      <c r="O317">
        <v>238.4</v>
      </c>
    </row>
    <row r="318" spans="1:16" x14ac:dyDescent="0.25">
      <c r="A318" t="s">
        <v>966</v>
      </c>
      <c r="B318" t="s">
        <v>967</v>
      </c>
      <c r="C318" t="s">
        <v>100</v>
      </c>
      <c r="D318" t="s">
        <v>968</v>
      </c>
      <c r="E318" t="s">
        <v>1540</v>
      </c>
      <c r="F318" t="s">
        <v>1540</v>
      </c>
      <c r="G318" t="s">
        <v>1540</v>
      </c>
      <c r="H318" t="s">
        <v>1540</v>
      </c>
      <c r="I318" t="s">
        <v>1540</v>
      </c>
      <c r="J318" t="s">
        <v>1540</v>
      </c>
      <c r="K318" t="s">
        <v>1542</v>
      </c>
      <c r="L318">
        <v>2.6</v>
      </c>
      <c r="M318">
        <v>2.9</v>
      </c>
      <c r="N318">
        <v>12.1</v>
      </c>
      <c r="O318">
        <v>43.3</v>
      </c>
    </row>
    <row r="319" spans="1:16" x14ac:dyDescent="0.25">
      <c r="A319" t="s">
        <v>969</v>
      </c>
      <c r="B319" t="s">
        <v>970</v>
      </c>
      <c r="C319" t="s">
        <v>100</v>
      </c>
      <c r="D319" t="s">
        <v>971</v>
      </c>
      <c r="E319" t="s">
        <v>1540</v>
      </c>
      <c r="F319" t="s">
        <v>1540</v>
      </c>
      <c r="G319" t="s">
        <v>1540</v>
      </c>
      <c r="H319" t="s">
        <v>1540</v>
      </c>
      <c r="I319" t="s">
        <v>1540</v>
      </c>
      <c r="J319" t="s">
        <v>1540</v>
      </c>
      <c r="K319" t="s">
        <v>1539</v>
      </c>
      <c r="L319" t="s">
        <v>1539</v>
      </c>
      <c r="M319">
        <v>1666.7</v>
      </c>
      <c r="N319">
        <v>1666.7</v>
      </c>
      <c r="O319">
        <v>1666.7</v>
      </c>
    </row>
    <row r="320" spans="1:16" x14ac:dyDescent="0.25">
      <c r="A320" t="s">
        <v>972</v>
      </c>
      <c r="B320" t="s">
        <v>973</v>
      </c>
      <c r="C320" t="s">
        <v>100</v>
      </c>
      <c r="D320" t="s">
        <v>974</v>
      </c>
      <c r="E320" t="s">
        <v>1540</v>
      </c>
      <c r="F320" t="s">
        <v>1540</v>
      </c>
      <c r="G320" t="s">
        <v>1540</v>
      </c>
      <c r="H320" t="s">
        <v>1540</v>
      </c>
      <c r="I320" t="s">
        <v>1540</v>
      </c>
      <c r="J320" t="s">
        <v>1540</v>
      </c>
      <c r="K320" t="s">
        <v>1539</v>
      </c>
      <c r="L320" t="s">
        <v>1539</v>
      </c>
      <c r="M320">
        <v>0</v>
      </c>
      <c r="N320">
        <v>899.3</v>
      </c>
      <c r="O320">
        <v>869.3</v>
      </c>
    </row>
    <row r="321" spans="1:15" x14ac:dyDescent="0.25">
      <c r="A321" t="s">
        <v>975</v>
      </c>
      <c r="B321" t="s">
        <v>976</v>
      </c>
      <c r="C321" t="s">
        <v>100</v>
      </c>
      <c r="D321" t="s">
        <v>977</v>
      </c>
      <c r="E321" t="s">
        <v>1540</v>
      </c>
      <c r="F321" t="s">
        <v>1540</v>
      </c>
      <c r="G321" t="s">
        <v>1540</v>
      </c>
      <c r="H321" t="s">
        <v>1540</v>
      </c>
      <c r="I321" t="s">
        <v>1540</v>
      </c>
      <c r="J321" t="s">
        <v>1540</v>
      </c>
      <c r="K321" t="s">
        <v>1539</v>
      </c>
      <c r="L321" t="s">
        <v>1539</v>
      </c>
      <c r="M321">
        <v>1666.7</v>
      </c>
      <c r="N321">
        <v>1666.7</v>
      </c>
      <c r="O321">
        <v>1666.7</v>
      </c>
    </row>
    <row r="322" spans="1:15" x14ac:dyDescent="0.25">
      <c r="A322" t="s">
        <v>978</v>
      </c>
      <c r="B322" t="s">
        <v>979</v>
      </c>
      <c r="C322" t="s">
        <v>100</v>
      </c>
      <c r="D322" t="s">
        <v>980</v>
      </c>
      <c r="E322" t="s">
        <v>1540</v>
      </c>
      <c r="F322" t="s">
        <v>1540</v>
      </c>
      <c r="G322" t="s">
        <v>1540</v>
      </c>
      <c r="H322" t="s">
        <v>1540</v>
      </c>
      <c r="I322" t="s">
        <v>1540</v>
      </c>
      <c r="J322" t="s">
        <v>1540</v>
      </c>
      <c r="K322" t="s">
        <v>1542</v>
      </c>
      <c r="L322">
        <v>0</v>
      </c>
      <c r="M322">
        <v>0.1</v>
      </c>
      <c r="N322">
        <v>0</v>
      </c>
      <c r="O322">
        <v>0</v>
      </c>
    </row>
    <row r="323" spans="1:15" x14ac:dyDescent="0.25">
      <c r="A323" t="s">
        <v>981</v>
      </c>
      <c r="B323" t="s">
        <v>982</v>
      </c>
      <c r="C323" t="s">
        <v>100</v>
      </c>
      <c r="D323" t="s">
        <v>983</v>
      </c>
      <c r="E323" t="s">
        <v>1540</v>
      </c>
      <c r="F323" t="s">
        <v>1540</v>
      </c>
      <c r="G323" t="s">
        <v>1540</v>
      </c>
      <c r="H323" t="s">
        <v>1540</v>
      </c>
      <c r="I323" t="s">
        <v>1540</v>
      </c>
      <c r="J323" t="s">
        <v>1540</v>
      </c>
      <c r="K323" t="s">
        <v>1538</v>
      </c>
      <c r="L323">
        <v>161</v>
      </c>
      <c r="M323">
        <v>5</v>
      </c>
      <c r="N323">
        <v>7</v>
      </c>
      <c r="O323">
        <v>12.4</v>
      </c>
    </row>
    <row r="324" spans="1:15" x14ac:dyDescent="0.25">
      <c r="A324" t="s">
        <v>984</v>
      </c>
      <c r="B324" t="s">
        <v>985</v>
      </c>
      <c r="C324" t="s">
        <v>100</v>
      </c>
      <c r="D324" t="s">
        <v>986</v>
      </c>
      <c r="E324" t="s">
        <v>1540</v>
      </c>
      <c r="F324" t="s">
        <v>1540</v>
      </c>
      <c r="G324" t="s">
        <v>1540</v>
      </c>
      <c r="H324" t="s">
        <v>1540</v>
      </c>
      <c r="I324" t="s">
        <v>1540</v>
      </c>
      <c r="J324" t="s">
        <v>1540</v>
      </c>
      <c r="K324" t="s">
        <v>1539</v>
      </c>
      <c r="L324" t="s">
        <v>1539</v>
      </c>
      <c r="M324">
        <v>0</v>
      </c>
      <c r="N324">
        <v>-1.3</v>
      </c>
      <c r="O324">
        <v>-0.8</v>
      </c>
    </row>
    <row r="325" spans="1:15" x14ac:dyDescent="0.25">
      <c r="A325" t="s">
        <v>987</v>
      </c>
      <c r="B325" t="s">
        <v>988</v>
      </c>
      <c r="C325" t="s">
        <v>100</v>
      </c>
      <c r="D325" t="s">
        <v>989</v>
      </c>
      <c r="E325" t="s">
        <v>1540</v>
      </c>
      <c r="F325" t="s">
        <v>1540</v>
      </c>
      <c r="G325" t="s">
        <v>1540</v>
      </c>
      <c r="H325" t="s">
        <v>1540</v>
      </c>
      <c r="I325" t="s">
        <v>1540</v>
      </c>
      <c r="J325" t="s">
        <v>1540</v>
      </c>
      <c r="K325" t="s">
        <v>1542</v>
      </c>
      <c r="L325">
        <v>2.0499999999999998</v>
      </c>
      <c r="M325">
        <v>31.7</v>
      </c>
      <c r="N325">
        <v>34.4</v>
      </c>
      <c r="O325">
        <v>34.1</v>
      </c>
    </row>
    <row r="326" spans="1:15" x14ac:dyDescent="0.25">
      <c r="A326" t="s">
        <v>990</v>
      </c>
      <c r="B326" t="s">
        <v>991</v>
      </c>
      <c r="C326" t="s">
        <v>100</v>
      </c>
      <c r="D326" t="s">
        <v>992</v>
      </c>
      <c r="E326" t="s">
        <v>1540</v>
      </c>
      <c r="F326" t="s">
        <v>1540</v>
      </c>
      <c r="G326" t="s">
        <v>1540</v>
      </c>
      <c r="H326" t="s">
        <v>1540</v>
      </c>
      <c r="I326" t="s">
        <v>1540</v>
      </c>
      <c r="J326" t="s">
        <v>1540</v>
      </c>
      <c r="K326" t="s">
        <v>1542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993</v>
      </c>
      <c r="B327" t="s">
        <v>994</v>
      </c>
      <c r="C327" t="s">
        <v>100</v>
      </c>
      <c r="D327" t="s">
        <v>995</v>
      </c>
      <c r="E327" t="s">
        <v>1540</v>
      </c>
      <c r="F327" t="s">
        <v>1540</v>
      </c>
      <c r="G327" t="s">
        <v>1540</v>
      </c>
      <c r="H327" t="s">
        <v>1540</v>
      </c>
      <c r="I327" t="s">
        <v>1540</v>
      </c>
      <c r="J327" t="s">
        <v>1540</v>
      </c>
      <c r="K327" t="s">
        <v>1542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996</v>
      </c>
      <c r="B328" t="s">
        <v>997</v>
      </c>
      <c r="C328" t="s">
        <v>100</v>
      </c>
      <c r="D328" t="s">
        <v>998</v>
      </c>
      <c r="E328" t="s">
        <v>1540</v>
      </c>
      <c r="F328" t="s">
        <v>1540</v>
      </c>
      <c r="G328" t="s">
        <v>1540</v>
      </c>
      <c r="H328" t="s">
        <v>1540</v>
      </c>
      <c r="I328" t="s">
        <v>1540</v>
      </c>
      <c r="J328" t="s">
        <v>1540</v>
      </c>
      <c r="K328" t="s">
        <v>1539</v>
      </c>
      <c r="L328" t="s">
        <v>1539</v>
      </c>
      <c r="M328">
        <v>1666.7</v>
      </c>
      <c r="N328">
        <v>1666.7</v>
      </c>
      <c r="O328">
        <v>1666.7</v>
      </c>
    </row>
    <row r="329" spans="1:15" x14ac:dyDescent="0.25">
      <c r="A329" t="s">
        <v>999</v>
      </c>
      <c r="B329" t="s">
        <v>1000</v>
      </c>
      <c r="C329" t="s">
        <v>100</v>
      </c>
      <c r="D329" t="s">
        <v>1001</v>
      </c>
      <c r="E329" t="s">
        <v>1540</v>
      </c>
      <c r="F329" t="s">
        <v>1540</v>
      </c>
      <c r="G329" t="s">
        <v>1540</v>
      </c>
      <c r="H329" t="s">
        <v>1540</v>
      </c>
      <c r="I329" t="s">
        <v>1540</v>
      </c>
      <c r="J329" t="s">
        <v>1540</v>
      </c>
      <c r="K329" t="s">
        <v>1542</v>
      </c>
      <c r="L329">
        <v>0.25</v>
      </c>
      <c r="M329">
        <v>4.5</v>
      </c>
      <c r="N329">
        <v>4.3</v>
      </c>
      <c r="O329">
        <v>4.2</v>
      </c>
    </row>
    <row r="330" spans="1:15" x14ac:dyDescent="0.25">
      <c r="A330" t="s">
        <v>1002</v>
      </c>
      <c r="B330" t="s">
        <v>1003</v>
      </c>
      <c r="C330" t="s">
        <v>100</v>
      </c>
      <c r="D330" t="s">
        <v>1004</v>
      </c>
      <c r="E330" t="s">
        <v>1540</v>
      </c>
      <c r="F330" t="s">
        <v>1540</v>
      </c>
      <c r="G330" t="s">
        <v>1540</v>
      </c>
      <c r="H330" t="s">
        <v>1540</v>
      </c>
      <c r="I330" t="s">
        <v>1540</v>
      </c>
      <c r="J330" t="s">
        <v>1540</v>
      </c>
      <c r="K330" t="s">
        <v>1542</v>
      </c>
      <c r="L330">
        <v>0.01</v>
      </c>
      <c r="M330">
        <v>0</v>
      </c>
      <c r="N330">
        <v>0</v>
      </c>
      <c r="O330">
        <v>0.1</v>
      </c>
    </row>
    <row r="331" spans="1:15" x14ac:dyDescent="0.25">
      <c r="A331" t="s">
        <v>1005</v>
      </c>
      <c r="B331" t="s">
        <v>1006</v>
      </c>
      <c r="C331" t="s">
        <v>100</v>
      </c>
      <c r="D331" t="s">
        <v>1007</v>
      </c>
      <c r="E331" t="s">
        <v>1540</v>
      </c>
      <c r="F331" t="s">
        <v>1540</v>
      </c>
      <c r="G331" t="s">
        <v>1540</v>
      </c>
      <c r="H331" t="s">
        <v>1540</v>
      </c>
      <c r="I331" t="s">
        <v>1540</v>
      </c>
      <c r="J331" t="s">
        <v>1540</v>
      </c>
      <c r="K331" t="s">
        <v>1542</v>
      </c>
      <c r="L331">
        <v>3.55</v>
      </c>
      <c r="M331">
        <v>16.600000000000001</v>
      </c>
      <c r="N331">
        <v>46.8</v>
      </c>
      <c r="O331">
        <v>59.1</v>
      </c>
    </row>
    <row r="332" spans="1:15" x14ac:dyDescent="0.25">
      <c r="A332" t="s">
        <v>1008</v>
      </c>
      <c r="B332" t="s">
        <v>1009</v>
      </c>
      <c r="C332" t="s">
        <v>100</v>
      </c>
      <c r="D332" t="s">
        <v>1010</v>
      </c>
      <c r="E332" t="s">
        <v>1540</v>
      </c>
      <c r="F332" t="s">
        <v>1540</v>
      </c>
      <c r="G332" t="s">
        <v>1540</v>
      </c>
      <c r="H332" t="s">
        <v>1540</v>
      </c>
      <c r="I332" t="s">
        <v>1540</v>
      </c>
      <c r="J332" t="s">
        <v>1540</v>
      </c>
      <c r="K332" t="s">
        <v>1542</v>
      </c>
      <c r="L332">
        <v>0.09</v>
      </c>
      <c r="M332">
        <v>1.7</v>
      </c>
      <c r="N332">
        <v>1.6</v>
      </c>
      <c r="O332">
        <v>1.5</v>
      </c>
    </row>
    <row r="333" spans="1:15" x14ac:dyDescent="0.25">
      <c r="A333" t="s">
        <v>1011</v>
      </c>
      <c r="B333" t="s">
        <v>1012</v>
      </c>
      <c r="C333" t="s">
        <v>100</v>
      </c>
      <c r="D333" t="s">
        <v>1013</v>
      </c>
      <c r="E333" t="s">
        <v>1540</v>
      </c>
      <c r="F333" t="s">
        <v>1540</v>
      </c>
      <c r="G333" t="s">
        <v>1540</v>
      </c>
      <c r="H333" t="s">
        <v>1540</v>
      </c>
      <c r="I333" t="s">
        <v>1540</v>
      </c>
      <c r="J333" t="s">
        <v>1540</v>
      </c>
      <c r="K333" t="s">
        <v>1538</v>
      </c>
      <c r="L333">
        <v>161</v>
      </c>
      <c r="M333">
        <v>25</v>
      </c>
      <c r="N333">
        <v>32.1</v>
      </c>
      <c r="O333">
        <v>28.7</v>
      </c>
    </row>
    <row r="334" spans="1:15" x14ac:dyDescent="0.25">
      <c r="A334" t="s">
        <v>1014</v>
      </c>
      <c r="B334" t="s">
        <v>1015</v>
      </c>
      <c r="C334" t="s">
        <v>100</v>
      </c>
      <c r="D334" t="s">
        <v>1016</v>
      </c>
      <c r="E334" t="s">
        <v>1540</v>
      </c>
      <c r="F334" t="s">
        <v>1540</v>
      </c>
      <c r="G334" t="s">
        <v>1540</v>
      </c>
      <c r="H334" t="s">
        <v>1540</v>
      </c>
      <c r="I334" t="s">
        <v>1540</v>
      </c>
      <c r="J334" t="s">
        <v>1540</v>
      </c>
      <c r="K334" t="s">
        <v>1542</v>
      </c>
      <c r="L334">
        <v>0.53</v>
      </c>
      <c r="M334">
        <v>1.2</v>
      </c>
      <c r="N334">
        <v>10.6</v>
      </c>
      <c r="O334">
        <v>8.8000000000000007</v>
      </c>
    </row>
    <row r="335" spans="1:15" x14ac:dyDescent="0.25">
      <c r="A335" t="s">
        <v>1017</v>
      </c>
      <c r="B335" t="s">
        <v>1018</v>
      </c>
      <c r="C335" t="s">
        <v>100</v>
      </c>
      <c r="D335" t="s">
        <v>1019</v>
      </c>
      <c r="E335" t="s">
        <v>1540</v>
      </c>
      <c r="F335" t="s">
        <v>1540</v>
      </c>
      <c r="G335" t="s">
        <v>1540</v>
      </c>
      <c r="H335" t="s">
        <v>1540</v>
      </c>
      <c r="I335" t="s">
        <v>1540</v>
      </c>
      <c r="J335" t="s">
        <v>1540</v>
      </c>
      <c r="K335" t="s">
        <v>1542</v>
      </c>
      <c r="L335">
        <v>3.02</v>
      </c>
      <c r="M335">
        <v>54.8</v>
      </c>
      <c r="N335">
        <v>77.3</v>
      </c>
      <c r="O335">
        <v>50.3</v>
      </c>
    </row>
    <row r="336" spans="1:15" x14ac:dyDescent="0.25">
      <c r="A336" t="s">
        <v>1020</v>
      </c>
      <c r="B336" t="s">
        <v>1021</v>
      </c>
      <c r="C336" t="s">
        <v>100</v>
      </c>
      <c r="D336" t="s">
        <v>1022</v>
      </c>
      <c r="E336" t="s">
        <v>1540</v>
      </c>
      <c r="F336" t="s">
        <v>1540</v>
      </c>
      <c r="G336" t="s">
        <v>1540</v>
      </c>
      <c r="H336" t="s">
        <v>1540</v>
      </c>
      <c r="I336" t="s">
        <v>1540</v>
      </c>
      <c r="J336" t="s">
        <v>1540</v>
      </c>
      <c r="K336" t="s">
        <v>1542</v>
      </c>
      <c r="L336">
        <v>8.1300000000000008</v>
      </c>
      <c r="M336">
        <v>144.4</v>
      </c>
      <c r="N336">
        <v>140.69999999999999</v>
      </c>
      <c r="O336">
        <v>135.4</v>
      </c>
    </row>
    <row r="337" spans="1:15" x14ac:dyDescent="0.25">
      <c r="A337" t="s">
        <v>1023</v>
      </c>
      <c r="B337" t="s">
        <v>1024</v>
      </c>
      <c r="C337" t="s">
        <v>100</v>
      </c>
      <c r="D337" t="s">
        <v>1025</v>
      </c>
      <c r="E337" t="s">
        <v>1540</v>
      </c>
      <c r="F337" t="s">
        <v>1540</v>
      </c>
      <c r="G337" t="s">
        <v>1540</v>
      </c>
      <c r="H337" t="s">
        <v>1540</v>
      </c>
      <c r="I337" t="s">
        <v>1540</v>
      </c>
      <c r="J337" t="s">
        <v>1540</v>
      </c>
      <c r="K337" t="s">
        <v>1542</v>
      </c>
      <c r="L337">
        <v>6.88</v>
      </c>
      <c r="M337">
        <v>507</v>
      </c>
      <c r="N337">
        <v>204.8</v>
      </c>
      <c r="O337">
        <v>114.7</v>
      </c>
    </row>
    <row r="338" spans="1:15" x14ac:dyDescent="0.25">
      <c r="A338" t="s">
        <v>1026</v>
      </c>
      <c r="B338" t="s">
        <v>1027</v>
      </c>
      <c r="C338" t="s">
        <v>100</v>
      </c>
      <c r="D338" t="s">
        <v>1028</v>
      </c>
      <c r="E338" t="s">
        <v>1540</v>
      </c>
      <c r="F338" t="s">
        <v>1540</v>
      </c>
      <c r="G338" t="s">
        <v>1540</v>
      </c>
      <c r="H338" t="s">
        <v>1540</v>
      </c>
      <c r="I338" t="s">
        <v>1540</v>
      </c>
      <c r="J338" t="s">
        <v>1540</v>
      </c>
      <c r="K338" t="s">
        <v>1542</v>
      </c>
      <c r="L338">
        <v>8.98</v>
      </c>
      <c r="M338">
        <v>159.69999999999999</v>
      </c>
      <c r="N338">
        <v>155.5</v>
      </c>
      <c r="O338">
        <v>149.69999999999999</v>
      </c>
    </row>
    <row r="339" spans="1:15" x14ac:dyDescent="0.25">
      <c r="A339" t="s">
        <v>1029</v>
      </c>
      <c r="B339" t="s">
        <v>1030</v>
      </c>
      <c r="C339" t="s">
        <v>100</v>
      </c>
      <c r="D339" t="s">
        <v>1031</v>
      </c>
      <c r="E339" t="s">
        <v>1540</v>
      </c>
      <c r="F339" t="s">
        <v>1540</v>
      </c>
      <c r="G339" t="s">
        <v>1540</v>
      </c>
      <c r="H339" t="s">
        <v>1540</v>
      </c>
      <c r="I339" t="s">
        <v>1540</v>
      </c>
      <c r="J339" t="s">
        <v>1540</v>
      </c>
      <c r="K339" t="s">
        <v>1538</v>
      </c>
      <c r="L339">
        <v>125</v>
      </c>
      <c r="M339">
        <v>34.299999999999997</v>
      </c>
      <c r="N339">
        <v>69.400000000000006</v>
      </c>
      <c r="O339">
        <v>50.7</v>
      </c>
    </row>
    <row r="340" spans="1:15" x14ac:dyDescent="0.25">
      <c r="A340" t="s">
        <v>1032</v>
      </c>
      <c r="B340" t="s">
        <v>1033</v>
      </c>
      <c r="C340" t="s">
        <v>100</v>
      </c>
      <c r="D340" t="s">
        <v>1034</v>
      </c>
      <c r="E340" t="s">
        <v>1540</v>
      </c>
      <c r="F340" t="s">
        <v>1540</v>
      </c>
      <c r="G340" t="s">
        <v>1540</v>
      </c>
      <c r="H340" t="s">
        <v>1540</v>
      </c>
      <c r="I340" t="s">
        <v>1540</v>
      </c>
      <c r="J340" t="s">
        <v>1540</v>
      </c>
      <c r="K340" t="s">
        <v>1542</v>
      </c>
      <c r="L340">
        <v>69.77</v>
      </c>
      <c r="M340">
        <v>1665.3</v>
      </c>
      <c r="N340">
        <v>1513.2</v>
      </c>
      <c r="O340">
        <v>1162.9000000000001</v>
      </c>
    </row>
    <row r="341" spans="1:15" x14ac:dyDescent="0.25">
      <c r="A341" t="s">
        <v>1035</v>
      </c>
      <c r="B341" t="s">
        <v>1036</v>
      </c>
      <c r="C341" t="s">
        <v>100</v>
      </c>
      <c r="D341" t="s">
        <v>1037</v>
      </c>
      <c r="E341" t="s">
        <v>1540</v>
      </c>
      <c r="F341" t="s">
        <v>1540</v>
      </c>
      <c r="G341" t="s">
        <v>1540</v>
      </c>
      <c r="H341" t="s">
        <v>1540</v>
      </c>
      <c r="I341" t="s">
        <v>1540</v>
      </c>
      <c r="J341" t="s">
        <v>1540</v>
      </c>
      <c r="K341" t="s">
        <v>1542</v>
      </c>
      <c r="L341">
        <v>59.51</v>
      </c>
      <c r="M341">
        <v>23.6</v>
      </c>
      <c r="N341">
        <v>26.7</v>
      </c>
      <c r="O341">
        <v>991.8</v>
      </c>
    </row>
    <row r="342" spans="1:15" x14ac:dyDescent="0.25">
      <c r="A342" t="s">
        <v>1038</v>
      </c>
      <c r="B342" t="s">
        <v>1039</v>
      </c>
      <c r="C342" t="s">
        <v>100</v>
      </c>
      <c r="D342" t="s">
        <v>1040</v>
      </c>
      <c r="E342" t="s">
        <v>1540</v>
      </c>
      <c r="F342" t="s">
        <v>1540</v>
      </c>
      <c r="G342" t="s">
        <v>1540</v>
      </c>
      <c r="H342" t="s">
        <v>1540</v>
      </c>
      <c r="I342" t="s">
        <v>1540</v>
      </c>
      <c r="J342" t="s">
        <v>1540</v>
      </c>
      <c r="K342" t="s">
        <v>1538</v>
      </c>
      <c r="L342">
        <v>182</v>
      </c>
      <c r="M342">
        <v>4.9000000000000004</v>
      </c>
      <c r="N342">
        <v>4.8</v>
      </c>
      <c r="O342">
        <v>4.7</v>
      </c>
    </row>
    <row r="343" spans="1:15" x14ac:dyDescent="0.25">
      <c r="A343" t="s">
        <v>1041</v>
      </c>
      <c r="B343" t="s">
        <v>1042</v>
      </c>
      <c r="C343" t="s">
        <v>100</v>
      </c>
      <c r="D343" t="s">
        <v>1043</v>
      </c>
      <c r="E343" t="s">
        <v>1540</v>
      </c>
      <c r="F343" t="s">
        <v>1540</v>
      </c>
      <c r="G343" t="s">
        <v>1540</v>
      </c>
      <c r="H343" t="s">
        <v>1540</v>
      </c>
      <c r="I343" t="s">
        <v>1540</v>
      </c>
      <c r="J343" t="s">
        <v>1540</v>
      </c>
      <c r="K343" t="s">
        <v>1542</v>
      </c>
      <c r="L343">
        <v>27.53</v>
      </c>
      <c r="M343">
        <v>102.1</v>
      </c>
      <c r="N343">
        <v>99.7</v>
      </c>
      <c r="O343">
        <v>458.8</v>
      </c>
    </row>
    <row r="344" spans="1:15" x14ac:dyDescent="0.25">
      <c r="A344" t="s">
        <v>1044</v>
      </c>
      <c r="B344" t="s">
        <v>1045</v>
      </c>
      <c r="C344" t="s">
        <v>100</v>
      </c>
      <c r="D344" t="s">
        <v>1046</v>
      </c>
      <c r="E344" t="s">
        <v>1540</v>
      </c>
      <c r="F344" t="s">
        <v>1540</v>
      </c>
      <c r="G344" t="s">
        <v>1540</v>
      </c>
      <c r="H344" t="s">
        <v>1540</v>
      </c>
      <c r="I344" t="s">
        <v>1540</v>
      </c>
      <c r="J344" t="s">
        <v>1540</v>
      </c>
      <c r="K344" t="s">
        <v>1538</v>
      </c>
      <c r="L344">
        <v>207</v>
      </c>
      <c r="M344">
        <v>21.6</v>
      </c>
      <c r="N344">
        <v>22.9</v>
      </c>
      <c r="O344">
        <v>22.5</v>
      </c>
    </row>
    <row r="345" spans="1:15" x14ac:dyDescent="0.25">
      <c r="A345" t="s">
        <v>1047</v>
      </c>
      <c r="B345" t="s">
        <v>1048</v>
      </c>
      <c r="C345" t="s">
        <v>100</v>
      </c>
      <c r="D345" t="s">
        <v>1049</v>
      </c>
      <c r="E345" t="s">
        <v>1540</v>
      </c>
      <c r="F345" t="s">
        <v>1540</v>
      </c>
      <c r="G345" t="s">
        <v>1540</v>
      </c>
      <c r="H345" t="s">
        <v>1540</v>
      </c>
      <c r="I345" t="s">
        <v>1540</v>
      </c>
      <c r="J345" t="s">
        <v>1540</v>
      </c>
      <c r="K345" t="s">
        <v>1538</v>
      </c>
      <c r="L345">
        <v>171</v>
      </c>
      <c r="M345">
        <v>1.4</v>
      </c>
      <c r="N345">
        <v>1.4</v>
      </c>
      <c r="O345">
        <v>1.4</v>
      </c>
    </row>
    <row r="346" spans="1:15" x14ac:dyDescent="0.25">
      <c r="A346" t="s">
        <v>1050</v>
      </c>
      <c r="B346" t="s">
        <v>1051</v>
      </c>
      <c r="C346" t="s">
        <v>100</v>
      </c>
      <c r="D346" t="s">
        <v>1052</v>
      </c>
      <c r="E346" t="s">
        <v>1540</v>
      </c>
      <c r="F346" t="s">
        <v>1540</v>
      </c>
      <c r="G346" t="s">
        <v>1540</v>
      </c>
      <c r="H346" t="s">
        <v>1540</v>
      </c>
      <c r="I346" t="s">
        <v>1540</v>
      </c>
      <c r="J346" t="s">
        <v>1540</v>
      </c>
      <c r="K346" t="s">
        <v>1538</v>
      </c>
      <c r="L346">
        <v>115</v>
      </c>
      <c r="M346">
        <v>57.8</v>
      </c>
      <c r="N346">
        <v>72.400000000000006</v>
      </c>
      <c r="O346">
        <v>58.9</v>
      </c>
    </row>
    <row r="347" spans="1:15" x14ac:dyDescent="0.25">
      <c r="A347" t="s">
        <v>1053</v>
      </c>
      <c r="B347" t="s">
        <v>1054</v>
      </c>
      <c r="C347" t="s">
        <v>100</v>
      </c>
      <c r="D347" t="s">
        <v>1055</v>
      </c>
      <c r="E347" t="s">
        <v>1540</v>
      </c>
      <c r="F347" t="s">
        <v>1540</v>
      </c>
      <c r="G347" t="s">
        <v>1540</v>
      </c>
      <c r="H347" t="s">
        <v>1540</v>
      </c>
      <c r="I347" t="s">
        <v>1540</v>
      </c>
      <c r="J347" t="s">
        <v>1540</v>
      </c>
      <c r="K347" t="s">
        <v>1542</v>
      </c>
      <c r="L347">
        <v>40.44</v>
      </c>
      <c r="M347">
        <v>34.299999999999997</v>
      </c>
      <c r="N347">
        <v>34.9</v>
      </c>
      <c r="O347">
        <v>674</v>
      </c>
    </row>
    <row r="348" spans="1:15" x14ac:dyDescent="0.25">
      <c r="A348" t="s">
        <v>1056</v>
      </c>
      <c r="B348" t="s">
        <v>1057</v>
      </c>
      <c r="C348" t="s">
        <v>100</v>
      </c>
      <c r="D348" t="s">
        <v>1058</v>
      </c>
      <c r="E348" t="s">
        <v>1540</v>
      </c>
      <c r="F348" t="s">
        <v>1540</v>
      </c>
      <c r="G348" t="s">
        <v>1540</v>
      </c>
      <c r="H348" t="s">
        <v>1540</v>
      </c>
      <c r="I348" t="s">
        <v>1540</v>
      </c>
      <c r="J348" t="s">
        <v>1540</v>
      </c>
      <c r="K348" t="s">
        <v>1538</v>
      </c>
      <c r="L348">
        <v>169</v>
      </c>
      <c r="M348">
        <v>82.7</v>
      </c>
      <c r="N348">
        <v>82</v>
      </c>
      <c r="O348">
        <v>83.3</v>
      </c>
    </row>
    <row r="349" spans="1:15" x14ac:dyDescent="0.25">
      <c r="A349" t="s">
        <v>1059</v>
      </c>
      <c r="B349" t="s">
        <v>1060</v>
      </c>
      <c r="C349" t="s">
        <v>100</v>
      </c>
      <c r="D349" t="s">
        <v>1061</v>
      </c>
      <c r="E349" t="s">
        <v>1540</v>
      </c>
      <c r="F349" t="s">
        <v>1540</v>
      </c>
      <c r="G349" t="s">
        <v>1540</v>
      </c>
      <c r="H349" t="s">
        <v>1540</v>
      </c>
      <c r="I349" t="s">
        <v>1540</v>
      </c>
      <c r="J349" t="s">
        <v>1540</v>
      </c>
      <c r="K349" t="s">
        <v>1538</v>
      </c>
      <c r="L349">
        <v>203</v>
      </c>
      <c r="M349">
        <v>0</v>
      </c>
      <c r="N349">
        <v>0</v>
      </c>
      <c r="O349">
        <v>0</v>
      </c>
    </row>
    <row r="350" spans="1:15" x14ac:dyDescent="0.25">
      <c r="A350" t="s">
        <v>1062</v>
      </c>
      <c r="B350" t="s">
        <v>1063</v>
      </c>
      <c r="C350" t="s">
        <v>100</v>
      </c>
      <c r="D350" t="s">
        <v>1064</v>
      </c>
      <c r="E350" t="s">
        <v>1540</v>
      </c>
      <c r="F350" t="s">
        <v>1540</v>
      </c>
      <c r="G350" t="s">
        <v>1540</v>
      </c>
      <c r="H350" t="s">
        <v>1540</v>
      </c>
      <c r="I350" t="s">
        <v>1540</v>
      </c>
      <c r="J350" t="s">
        <v>1540</v>
      </c>
      <c r="K350" t="s">
        <v>1538</v>
      </c>
      <c r="L350">
        <v>169</v>
      </c>
      <c r="M350">
        <v>3.1</v>
      </c>
      <c r="N350">
        <v>3</v>
      </c>
      <c r="O350">
        <v>2.8</v>
      </c>
    </row>
    <row r="351" spans="1:15" x14ac:dyDescent="0.25">
      <c r="A351" t="s">
        <v>1065</v>
      </c>
      <c r="B351" t="s">
        <v>1066</v>
      </c>
      <c r="C351" t="s">
        <v>100</v>
      </c>
      <c r="D351" t="s">
        <v>1067</v>
      </c>
      <c r="E351" t="s">
        <v>1540</v>
      </c>
      <c r="F351" t="s">
        <v>1540</v>
      </c>
      <c r="G351" t="s">
        <v>1540</v>
      </c>
      <c r="H351" t="s">
        <v>1540</v>
      </c>
      <c r="I351" t="s">
        <v>1540</v>
      </c>
      <c r="J351" t="s">
        <v>1540</v>
      </c>
      <c r="K351" t="s">
        <v>1538</v>
      </c>
      <c r="L351">
        <v>169</v>
      </c>
      <c r="M351">
        <v>1</v>
      </c>
      <c r="N351">
        <v>1</v>
      </c>
      <c r="O351">
        <v>0.9</v>
      </c>
    </row>
    <row r="352" spans="1:15" x14ac:dyDescent="0.25">
      <c r="A352" t="s">
        <v>1068</v>
      </c>
      <c r="B352" t="s">
        <v>1069</v>
      </c>
      <c r="C352" t="s">
        <v>100</v>
      </c>
      <c r="D352" t="s">
        <v>1070</v>
      </c>
      <c r="E352" t="s">
        <v>1540</v>
      </c>
      <c r="F352" t="s">
        <v>1540</v>
      </c>
      <c r="G352" t="s">
        <v>1540</v>
      </c>
      <c r="H352" t="s">
        <v>1540</v>
      </c>
      <c r="I352" t="s">
        <v>1540</v>
      </c>
      <c r="J352" t="s">
        <v>1540</v>
      </c>
      <c r="K352" t="s">
        <v>1539</v>
      </c>
      <c r="L352" t="s">
        <v>1539</v>
      </c>
      <c r="M352">
        <v>1666.7</v>
      </c>
      <c r="N352">
        <v>1666.7</v>
      </c>
      <c r="O352">
        <v>1666.7</v>
      </c>
    </row>
    <row r="353" spans="1:15" x14ac:dyDescent="0.25">
      <c r="A353" t="s">
        <v>1071</v>
      </c>
      <c r="B353" t="s">
        <v>1072</v>
      </c>
      <c r="C353" t="s">
        <v>100</v>
      </c>
      <c r="D353" t="s">
        <v>1073</v>
      </c>
      <c r="E353" t="s">
        <v>1540</v>
      </c>
      <c r="F353" t="s">
        <v>1540</v>
      </c>
      <c r="G353" t="s">
        <v>1540</v>
      </c>
      <c r="H353" t="s">
        <v>1540</v>
      </c>
      <c r="I353" t="s">
        <v>1540</v>
      </c>
      <c r="J353" t="s">
        <v>1540</v>
      </c>
      <c r="K353" t="s">
        <v>1538</v>
      </c>
      <c r="L353">
        <v>182</v>
      </c>
      <c r="M353">
        <v>0</v>
      </c>
      <c r="N353">
        <v>0</v>
      </c>
      <c r="O353">
        <v>0</v>
      </c>
    </row>
    <row r="354" spans="1:15" x14ac:dyDescent="0.25">
      <c r="A354" t="s">
        <v>1074</v>
      </c>
      <c r="B354" t="s">
        <v>1075</v>
      </c>
      <c r="C354" t="s">
        <v>100</v>
      </c>
      <c r="D354" t="s">
        <v>1076</v>
      </c>
      <c r="E354" t="s">
        <v>1540</v>
      </c>
      <c r="F354" t="s">
        <v>1540</v>
      </c>
      <c r="G354" t="s">
        <v>1540</v>
      </c>
      <c r="H354" t="s">
        <v>1540</v>
      </c>
      <c r="I354" t="s">
        <v>1540</v>
      </c>
      <c r="J354" t="s">
        <v>1540</v>
      </c>
      <c r="K354" t="s">
        <v>1538</v>
      </c>
      <c r="L354">
        <v>169</v>
      </c>
      <c r="M354">
        <v>50.5</v>
      </c>
      <c r="N354">
        <v>50.8</v>
      </c>
      <c r="O354">
        <v>49.8</v>
      </c>
    </row>
    <row r="355" spans="1:15" x14ac:dyDescent="0.25">
      <c r="A355" t="s">
        <v>1077</v>
      </c>
      <c r="B355" t="s">
        <v>1078</v>
      </c>
      <c r="C355" t="s">
        <v>100</v>
      </c>
      <c r="D355" t="s">
        <v>1079</v>
      </c>
      <c r="E355" t="s">
        <v>1540</v>
      </c>
      <c r="F355" t="s">
        <v>1540</v>
      </c>
      <c r="G355" t="s">
        <v>1540</v>
      </c>
      <c r="H355" t="s">
        <v>1540</v>
      </c>
      <c r="I355" t="s">
        <v>1540</v>
      </c>
      <c r="J355" t="s">
        <v>1540</v>
      </c>
      <c r="K355" t="s">
        <v>1539</v>
      </c>
      <c r="L355" t="s">
        <v>1539</v>
      </c>
      <c r="M355">
        <v>1666.7</v>
      </c>
      <c r="N355">
        <v>1666.7</v>
      </c>
      <c r="O355">
        <v>1666.7</v>
      </c>
    </row>
    <row r="356" spans="1:15" x14ac:dyDescent="0.25">
      <c r="A356" t="s">
        <v>1080</v>
      </c>
      <c r="B356" t="s">
        <v>1081</v>
      </c>
      <c r="C356" t="s">
        <v>100</v>
      </c>
      <c r="D356" t="s">
        <v>1082</v>
      </c>
      <c r="E356" t="s">
        <v>1540</v>
      </c>
      <c r="F356" t="s">
        <v>1540</v>
      </c>
      <c r="G356" t="s">
        <v>1540</v>
      </c>
      <c r="H356" t="s">
        <v>1540</v>
      </c>
      <c r="I356" t="s">
        <v>1540</v>
      </c>
      <c r="J356" t="s">
        <v>1540</v>
      </c>
      <c r="K356" t="s">
        <v>1538</v>
      </c>
      <c r="L356">
        <v>169</v>
      </c>
      <c r="M356">
        <v>42.2</v>
      </c>
      <c r="N356">
        <v>80.900000000000006</v>
      </c>
      <c r="O356">
        <v>180.2</v>
      </c>
    </row>
    <row r="357" spans="1:15" x14ac:dyDescent="0.25">
      <c r="A357" t="s">
        <v>1083</v>
      </c>
      <c r="B357" t="s">
        <v>1084</v>
      </c>
      <c r="C357" t="s">
        <v>100</v>
      </c>
      <c r="D357" t="s">
        <v>1085</v>
      </c>
      <c r="E357" t="s">
        <v>1540</v>
      </c>
      <c r="F357" t="s">
        <v>1540</v>
      </c>
      <c r="G357" t="s">
        <v>1540</v>
      </c>
      <c r="H357" t="s">
        <v>1540</v>
      </c>
      <c r="I357" t="s">
        <v>1540</v>
      </c>
      <c r="J357" t="s">
        <v>1540</v>
      </c>
      <c r="K357" t="s">
        <v>1538</v>
      </c>
      <c r="L357">
        <v>169</v>
      </c>
      <c r="M357">
        <v>35.299999999999997</v>
      </c>
      <c r="N357">
        <v>34.700000000000003</v>
      </c>
      <c r="O357">
        <v>39.4</v>
      </c>
    </row>
    <row r="358" spans="1:15" x14ac:dyDescent="0.25">
      <c r="A358" t="s">
        <v>1086</v>
      </c>
      <c r="B358" t="s">
        <v>1087</v>
      </c>
      <c r="C358" t="s">
        <v>100</v>
      </c>
      <c r="D358" t="s">
        <v>1088</v>
      </c>
      <c r="E358" t="s">
        <v>1540</v>
      </c>
      <c r="F358" t="s">
        <v>1540</v>
      </c>
      <c r="G358" t="s">
        <v>1540</v>
      </c>
      <c r="H358" t="s">
        <v>1540</v>
      </c>
      <c r="I358" t="s">
        <v>1540</v>
      </c>
      <c r="J358" t="s">
        <v>1540</v>
      </c>
      <c r="K358" t="s">
        <v>1538</v>
      </c>
      <c r="L358">
        <v>182</v>
      </c>
      <c r="M358">
        <v>72.2</v>
      </c>
      <c r="N358">
        <v>71.8</v>
      </c>
      <c r="O358">
        <v>67</v>
      </c>
    </row>
    <row r="359" spans="1:15" x14ac:dyDescent="0.25">
      <c r="A359" t="s">
        <v>1089</v>
      </c>
      <c r="B359" t="s">
        <v>1090</v>
      </c>
      <c r="C359" t="s">
        <v>100</v>
      </c>
      <c r="D359" t="s">
        <v>1091</v>
      </c>
      <c r="E359" t="s">
        <v>1540</v>
      </c>
      <c r="F359" t="s">
        <v>1540</v>
      </c>
      <c r="G359" t="s">
        <v>1540</v>
      </c>
      <c r="H359" t="s">
        <v>1540</v>
      </c>
      <c r="I359" t="s">
        <v>1540</v>
      </c>
      <c r="J359" t="s">
        <v>1540</v>
      </c>
      <c r="K359" t="s">
        <v>1538</v>
      </c>
      <c r="L359">
        <v>203</v>
      </c>
      <c r="M359">
        <v>0</v>
      </c>
      <c r="N359">
        <v>0</v>
      </c>
      <c r="O359">
        <v>0</v>
      </c>
    </row>
    <row r="360" spans="1:15" x14ac:dyDescent="0.25">
      <c r="A360" t="s">
        <v>1092</v>
      </c>
      <c r="B360" t="s">
        <v>1093</v>
      </c>
      <c r="C360" t="s">
        <v>100</v>
      </c>
      <c r="D360" t="s">
        <v>1094</v>
      </c>
      <c r="E360" t="s">
        <v>1540</v>
      </c>
      <c r="F360" t="s">
        <v>1540</v>
      </c>
      <c r="G360" t="s">
        <v>1540</v>
      </c>
      <c r="H360" t="s">
        <v>1540</v>
      </c>
      <c r="I360" t="s">
        <v>1540</v>
      </c>
      <c r="J360" t="s">
        <v>1540</v>
      </c>
      <c r="K360" t="s">
        <v>1539</v>
      </c>
      <c r="L360" t="s">
        <v>1539</v>
      </c>
      <c r="M360">
        <v>1666.7</v>
      </c>
      <c r="N360">
        <v>1666.7</v>
      </c>
      <c r="O360">
        <v>1666.7</v>
      </c>
    </row>
    <row r="361" spans="1:15" x14ac:dyDescent="0.25">
      <c r="A361" t="s">
        <v>1095</v>
      </c>
      <c r="B361" t="s">
        <v>1096</v>
      </c>
      <c r="C361" t="s">
        <v>100</v>
      </c>
      <c r="D361" t="s">
        <v>1097</v>
      </c>
      <c r="E361" t="s">
        <v>1540</v>
      </c>
      <c r="F361" t="s">
        <v>1540</v>
      </c>
      <c r="G361" t="s">
        <v>1540</v>
      </c>
      <c r="H361" t="s">
        <v>1540</v>
      </c>
      <c r="I361" t="s">
        <v>1540</v>
      </c>
      <c r="J361" t="s">
        <v>1540</v>
      </c>
      <c r="K361" t="s">
        <v>1542</v>
      </c>
      <c r="L361">
        <v>0.47</v>
      </c>
      <c r="M361">
        <v>8.6</v>
      </c>
      <c r="N361">
        <v>8</v>
      </c>
      <c r="O361">
        <v>7.8</v>
      </c>
    </row>
    <row r="362" spans="1:15" x14ac:dyDescent="0.25">
      <c r="A362" t="s">
        <v>1098</v>
      </c>
      <c r="B362" t="s">
        <v>1099</v>
      </c>
      <c r="C362" t="s">
        <v>100</v>
      </c>
      <c r="D362" t="s">
        <v>1100</v>
      </c>
      <c r="E362" t="s">
        <v>1540</v>
      </c>
      <c r="F362" t="s">
        <v>1540</v>
      </c>
      <c r="G362" t="s">
        <v>1540</v>
      </c>
      <c r="H362" t="s">
        <v>1540</v>
      </c>
      <c r="I362" t="s">
        <v>1540</v>
      </c>
      <c r="J362" t="s">
        <v>1540</v>
      </c>
      <c r="K362" t="s">
        <v>1538</v>
      </c>
      <c r="L362">
        <v>169</v>
      </c>
      <c r="M362">
        <v>9.8000000000000007</v>
      </c>
      <c r="N362">
        <v>11.1</v>
      </c>
      <c r="O362">
        <v>57.7</v>
      </c>
    </row>
    <row r="363" spans="1:15" x14ac:dyDescent="0.25">
      <c r="A363" t="s">
        <v>1101</v>
      </c>
      <c r="B363" t="s">
        <v>1102</v>
      </c>
      <c r="C363" t="s">
        <v>100</v>
      </c>
      <c r="D363" t="s">
        <v>1103</v>
      </c>
      <c r="E363" t="s">
        <v>1540</v>
      </c>
      <c r="F363" t="s">
        <v>1540</v>
      </c>
      <c r="G363" t="s">
        <v>1540</v>
      </c>
      <c r="H363" t="s">
        <v>1540</v>
      </c>
      <c r="I363" t="s">
        <v>1540</v>
      </c>
      <c r="J363" t="s">
        <v>1540</v>
      </c>
      <c r="K363" t="s">
        <v>1538</v>
      </c>
      <c r="L363">
        <v>177</v>
      </c>
      <c r="M363">
        <v>3.4</v>
      </c>
      <c r="N363">
        <v>3.3</v>
      </c>
      <c r="O363">
        <v>3.2</v>
      </c>
    </row>
    <row r="364" spans="1:15" x14ac:dyDescent="0.25">
      <c r="A364" t="s">
        <v>1104</v>
      </c>
      <c r="B364" t="s">
        <v>1105</v>
      </c>
      <c r="C364" t="s">
        <v>100</v>
      </c>
      <c r="D364" t="s">
        <v>1106</v>
      </c>
      <c r="E364" t="s">
        <v>1540</v>
      </c>
      <c r="F364" t="s">
        <v>1540</v>
      </c>
      <c r="G364" t="s">
        <v>1540</v>
      </c>
      <c r="H364" t="s">
        <v>1540</v>
      </c>
      <c r="I364" t="s">
        <v>1540</v>
      </c>
      <c r="J364" t="s">
        <v>1540</v>
      </c>
      <c r="K364" t="s">
        <v>1539</v>
      </c>
      <c r="L364" t="s">
        <v>1539</v>
      </c>
      <c r="M364">
        <v>1666.7</v>
      </c>
      <c r="N364">
        <v>1666.7</v>
      </c>
      <c r="O364">
        <v>1666.7</v>
      </c>
    </row>
    <row r="365" spans="1:15" x14ac:dyDescent="0.25">
      <c r="A365" t="s">
        <v>1107</v>
      </c>
      <c r="B365" t="s">
        <v>1108</v>
      </c>
      <c r="C365" t="s">
        <v>100</v>
      </c>
      <c r="D365" t="s">
        <v>1109</v>
      </c>
      <c r="E365" t="s">
        <v>1540</v>
      </c>
      <c r="F365" t="s">
        <v>1540</v>
      </c>
      <c r="G365" t="s">
        <v>1540</v>
      </c>
      <c r="H365" t="s">
        <v>1540</v>
      </c>
      <c r="I365" t="s">
        <v>1540</v>
      </c>
      <c r="J365" t="s">
        <v>1540</v>
      </c>
      <c r="K365" t="s">
        <v>1539</v>
      </c>
      <c r="L365" t="s">
        <v>1539</v>
      </c>
      <c r="M365">
        <v>0</v>
      </c>
      <c r="N365">
        <v>1605.4</v>
      </c>
      <c r="O365">
        <v>1656.4</v>
      </c>
    </row>
    <row r="366" spans="1:15" x14ac:dyDescent="0.25">
      <c r="A366" t="s">
        <v>1110</v>
      </c>
      <c r="B366" t="s">
        <v>1111</v>
      </c>
      <c r="C366" t="s">
        <v>100</v>
      </c>
      <c r="D366" t="s">
        <v>1112</v>
      </c>
      <c r="E366" t="s">
        <v>1540</v>
      </c>
      <c r="F366" t="s">
        <v>1540</v>
      </c>
      <c r="G366" t="s">
        <v>1540</v>
      </c>
      <c r="H366" t="s">
        <v>1540</v>
      </c>
      <c r="I366" t="s">
        <v>1540</v>
      </c>
      <c r="J366" t="s">
        <v>1540</v>
      </c>
      <c r="K366" t="s">
        <v>1538</v>
      </c>
      <c r="L366">
        <v>182</v>
      </c>
      <c r="M366">
        <v>66.900000000000006</v>
      </c>
      <c r="N366">
        <v>70.400000000000006</v>
      </c>
      <c r="O366">
        <v>86.4</v>
      </c>
    </row>
    <row r="367" spans="1:15" x14ac:dyDescent="0.25">
      <c r="A367" t="s">
        <v>1113</v>
      </c>
      <c r="B367" t="s">
        <v>1114</v>
      </c>
      <c r="C367" t="s">
        <v>100</v>
      </c>
      <c r="D367" t="s">
        <v>1115</v>
      </c>
      <c r="E367" t="s">
        <v>1540</v>
      </c>
      <c r="F367" t="s">
        <v>1540</v>
      </c>
      <c r="G367" t="s">
        <v>1540</v>
      </c>
      <c r="H367" t="s">
        <v>1540</v>
      </c>
      <c r="I367" t="s">
        <v>1540</v>
      </c>
      <c r="J367" t="s">
        <v>1540</v>
      </c>
      <c r="K367" t="s">
        <v>1539</v>
      </c>
      <c r="L367" t="s">
        <v>1539</v>
      </c>
      <c r="M367">
        <v>0</v>
      </c>
      <c r="N367">
        <v>899.8</v>
      </c>
      <c r="O367">
        <v>1329.8</v>
      </c>
    </row>
    <row r="368" spans="1:15" x14ac:dyDescent="0.25">
      <c r="A368" t="s">
        <v>1116</v>
      </c>
      <c r="B368" t="s">
        <v>1117</v>
      </c>
      <c r="C368" t="s">
        <v>100</v>
      </c>
      <c r="D368" t="s">
        <v>1118</v>
      </c>
      <c r="E368" t="s">
        <v>1540</v>
      </c>
      <c r="F368" t="s">
        <v>1540</v>
      </c>
      <c r="G368" t="s">
        <v>1540</v>
      </c>
      <c r="H368" t="s">
        <v>1540</v>
      </c>
      <c r="I368" t="s">
        <v>1540</v>
      </c>
      <c r="J368" t="s">
        <v>1540</v>
      </c>
      <c r="K368" t="s">
        <v>1538</v>
      </c>
      <c r="L368">
        <v>169</v>
      </c>
      <c r="M368">
        <v>86.8</v>
      </c>
      <c r="N368">
        <v>78.5</v>
      </c>
      <c r="O368">
        <v>96.4</v>
      </c>
    </row>
    <row r="369" spans="1:15" x14ac:dyDescent="0.25">
      <c r="A369" t="s">
        <v>1119</v>
      </c>
      <c r="B369" t="s">
        <v>1120</v>
      </c>
      <c r="C369" t="s">
        <v>100</v>
      </c>
      <c r="D369" t="s">
        <v>1121</v>
      </c>
      <c r="E369" t="s">
        <v>1540</v>
      </c>
      <c r="F369" t="s">
        <v>1540</v>
      </c>
      <c r="G369" t="s">
        <v>1540</v>
      </c>
      <c r="H369" t="s">
        <v>1540</v>
      </c>
      <c r="I369" t="s">
        <v>1540</v>
      </c>
      <c r="J369" t="s">
        <v>1540</v>
      </c>
      <c r="K369" t="s">
        <v>1539</v>
      </c>
      <c r="L369" t="s">
        <v>1539</v>
      </c>
      <c r="M369">
        <v>0</v>
      </c>
      <c r="N369">
        <v>1147</v>
      </c>
      <c r="O369">
        <v>1427.7</v>
      </c>
    </row>
    <row r="370" spans="1:15" x14ac:dyDescent="0.25">
      <c r="A370" t="s">
        <v>1122</v>
      </c>
      <c r="B370" t="s">
        <v>1123</v>
      </c>
      <c r="C370" t="s">
        <v>100</v>
      </c>
      <c r="D370" t="s">
        <v>1124</v>
      </c>
      <c r="E370" t="s">
        <v>1540</v>
      </c>
      <c r="F370" t="s">
        <v>1540</v>
      </c>
      <c r="G370" t="s">
        <v>1540</v>
      </c>
      <c r="H370" t="s">
        <v>1540</v>
      </c>
      <c r="I370" t="s">
        <v>1540</v>
      </c>
      <c r="J370" t="s">
        <v>1540</v>
      </c>
      <c r="K370" t="s">
        <v>1538</v>
      </c>
      <c r="L370">
        <v>161</v>
      </c>
      <c r="M370">
        <v>105.6</v>
      </c>
      <c r="N370">
        <v>151.4</v>
      </c>
      <c r="O370">
        <v>139.1</v>
      </c>
    </row>
    <row r="371" spans="1:15" x14ac:dyDescent="0.25">
      <c r="A371" t="s">
        <v>1125</v>
      </c>
      <c r="B371" t="s">
        <v>1126</v>
      </c>
      <c r="C371" t="s">
        <v>100</v>
      </c>
      <c r="D371" t="s">
        <v>1127</v>
      </c>
      <c r="E371" t="s">
        <v>1540</v>
      </c>
      <c r="F371" t="s">
        <v>1540</v>
      </c>
      <c r="G371" t="s">
        <v>1540</v>
      </c>
      <c r="H371" t="s">
        <v>1540</v>
      </c>
      <c r="I371" t="s">
        <v>1540</v>
      </c>
      <c r="J371" t="s">
        <v>1540</v>
      </c>
      <c r="K371" t="s">
        <v>1538</v>
      </c>
      <c r="L371">
        <v>207</v>
      </c>
      <c r="M371">
        <v>68.099999999999994</v>
      </c>
      <c r="N371">
        <v>39.4</v>
      </c>
      <c r="O371">
        <v>176.3</v>
      </c>
    </row>
    <row r="372" spans="1:15" x14ac:dyDescent="0.25">
      <c r="A372" t="s">
        <v>1128</v>
      </c>
      <c r="B372" t="s">
        <v>1129</v>
      </c>
      <c r="C372" t="s">
        <v>100</v>
      </c>
      <c r="D372" t="s">
        <v>1130</v>
      </c>
      <c r="E372" t="s">
        <v>1540</v>
      </c>
      <c r="F372" t="s">
        <v>1540</v>
      </c>
      <c r="G372" t="s">
        <v>1540</v>
      </c>
      <c r="H372" t="s">
        <v>1540</v>
      </c>
      <c r="I372" t="s">
        <v>1540</v>
      </c>
      <c r="J372" t="s">
        <v>1540</v>
      </c>
      <c r="K372" t="s">
        <v>1538</v>
      </c>
      <c r="L372">
        <v>161</v>
      </c>
      <c r="M372">
        <v>299.10000000000002</v>
      </c>
      <c r="N372">
        <v>151.9</v>
      </c>
      <c r="O372">
        <v>138.69999999999999</v>
      </c>
    </row>
    <row r="373" spans="1:15" x14ac:dyDescent="0.25">
      <c r="A373" t="s">
        <v>1131</v>
      </c>
      <c r="B373" t="s">
        <v>1132</v>
      </c>
      <c r="C373" t="s">
        <v>100</v>
      </c>
      <c r="D373" t="s">
        <v>1133</v>
      </c>
      <c r="E373" t="s">
        <v>1540</v>
      </c>
      <c r="F373" t="s">
        <v>1540</v>
      </c>
      <c r="G373" t="s">
        <v>1540</v>
      </c>
      <c r="H373" t="s">
        <v>1540</v>
      </c>
      <c r="I373" t="s">
        <v>1540</v>
      </c>
      <c r="J373" t="s">
        <v>1540</v>
      </c>
      <c r="K373" t="s">
        <v>1538</v>
      </c>
      <c r="L373">
        <v>125</v>
      </c>
      <c r="M373">
        <v>123.2</v>
      </c>
      <c r="N373">
        <v>126.9</v>
      </c>
      <c r="O373">
        <v>186.2</v>
      </c>
    </row>
    <row r="374" spans="1:15" x14ac:dyDescent="0.25">
      <c r="A374" t="s">
        <v>1134</v>
      </c>
      <c r="B374" t="s">
        <v>1135</v>
      </c>
      <c r="C374" t="s">
        <v>100</v>
      </c>
      <c r="D374" t="s">
        <v>1136</v>
      </c>
      <c r="E374" t="s">
        <v>1540</v>
      </c>
      <c r="F374" t="s">
        <v>1540</v>
      </c>
      <c r="G374" t="s">
        <v>1540</v>
      </c>
      <c r="H374" t="s">
        <v>1540</v>
      </c>
      <c r="I374" t="s">
        <v>1540</v>
      </c>
      <c r="J374" t="s">
        <v>1540</v>
      </c>
      <c r="K374" t="s">
        <v>1539</v>
      </c>
      <c r="L374" t="s">
        <v>1539</v>
      </c>
      <c r="M374">
        <v>1666.7</v>
      </c>
      <c r="N374">
        <v>1666.7</v>
      </c>
      <c r="O374">
        <v>1666.7</v>
      </c>
    </row>
    <row r="375" spans="1:15" x14ac:dyDescent="0.25">
      <c r="A375" t="s">
        <v>1137</v>
      </c>
      <c r="B375" t="s">
        <v>1138</v>
      </c>
      <c r="C375" t="s">
        <v>100</v>
      </c>
      <c r="D375" t="s">
        <v>1139</v>
      </c>
      <c r="E375" t="s">
        <v>1540</v>
      </c>
      <c r="F375" t="s">
        <v>1540</v>
      </c>
      <c r="G375" t="s">
        <v>1540</v>
      </c>
      <c r="H375" t="s">
        <v>1540</v>
      </c>
      <c r="I375" t="s">
        <v>1540</v>
      </c>
      <c r="J375" t="s">
        <v>1540</v>
      </c>
      <c r="K375" t="s">
        <v>1538</v>
      </c>
      <c r="L375">
        <v>125</v>
      </c>
      <c r="M375">
        <v>170.2</v>
      </c>
      <c r="N375">
        <v>195</v>
      </c>
      <c r="O375">
        <v>157.80000000000001</v>
      </c>
    </row>
    <row r="376" spans="1:15" x14ac:dyDescent="0.25">
      <c r="A376" t="s">
        <v>1140</v>
      </c>
      <c r="B376" t="s">
        <v>1141</v>
      </c>
      <c r="C376" t="s">
        <v>100</v>
      </c>
      <c r="D376" t="s">
        <v>1142</v>
      </c>
      <c r="E376" t="s">
        <v>1540</v>
      </c>
      <c r="F376" t="s">
        <v>1540</v>
      </c>
      <c r="G376" t="s">
        <v>1540</v>
      </c>
      <c r="H376" t="s">
        <v>1540</v>
      </c>
      <c r="I376" t="s">
        <v>1540</v>
      </c>
      <c r="J376" t="s">
        <v>1540</v>
      </c>
      <c r="K376" t="s">
        <v>1538</v>
      </c>
      <c r="L376">
        <v>161</v>
      </c>
      <c r="M376">
        <v>185.9</v>
      </c>
      <c r="N376">
        <v>206.7</v>
      </c>
      <c r="O376">
        <v>180.9</v>
      </c>
    </row>
    <row r="377" spans="1:15" x14ac:dyDescent="0.25">
      <c r="A377" t="s">
        <v>1143</v>
      </c>
      <c r="B377" t="s">
        <v>1144</v>
      </c>
      <c r="C377" t="s">
        <v>100</v>
      </c>
      <c r="D377" t="s">
        <v>1145</v>
      </c>
      <c r="E377" t="s">
        <v>1540</v>
      </c>
      <c r="F377" t="s">
        <v>1540</v>
      </c>
      <c r="G377" t="s">
        <v>1540</v>
      </c>
      <c r="H377" t="s">
        <v>1540</v>
      </c>
      <c r="I377" t="s">
        <v>1540</v>
      </c>
      <c r="J377" t="s">
        <v>1540</v>
      </c>
      <c r="K377" t="s">
        <v>1539</v>
      </c>
      <c r="L377" t="s">
        <v>1539</v>
      </c>
      <c r="M377">
        <v>1666.7</v>
      </c>
      <c r="N377">
        <v>1666.7</v>
      </c>
      <c r="O377">
        <v>1666.7</v>
      </c>
    </row>
    <row r="378" spans="1:15" x14ac:dyDescent="0.25">
      <c r="A378" t="s">
        <v>1146</v>
      </c>
      <c r="B378" t="s">
        <v>1147</v>
      </c>
      <c r="C378" t="s">
        <v>100</v>
      </c>
      <c r="D378" t="s">
        <v>1148</v>
      </c>
      <c r="E378" t="s">
        <v>1540</v>
      </c>
      <c r="F378" t="s">
        <v>1540</v>
      </c>
      <c r="G378" t="s">
        <v>1540</v>
      </c>
      <c r="H378" t="s">
        <v>1540</v>
      </c>
      <c r="I378" t="s">
        <v>1540</v>
      </c>
      <c r="J378" t="s">
        <v>1540</v>
      </c>
      <c r="K378" t="s">
        <v>1539</v>
      </c>
      <c r="L378" t="s">
        <v>1539</v>
      </c>
      <c r="M378">
        <v>1666.7</v>
      </c>
      <c r="N378">
        <v>1666.7</v>
      </c>
      <c r="O378">
        <v>1666.7</v>
      </c>
    </row>
    <row r="379" spans="1:15" x14ac:dyDescent="0.25">
      <c r="A379" t="s">
        <v>1149</v>
      </c>
      <c r="B379" t="s">
        <v>1150</v>
      </c>
      <c r="C379" t="s">
        <v>100</v>
      </c>
      <c r="D379" t="s">
        <v>1151</v>
      </c>
      <c r="E379" t="s">
        <v>1540</v>
      </c>
      <c r="F379" t="s">
        <v>1540</v>
      </c>
      <c r="G379" t="s">
        <v>1540</v>
      </c>
      <c r="H379" t="s">
        <v>1540</v>
      </c>
      <c r="I379" t="s">
        <v>1540</v>
      </c>
      <c r="J379" t="s">
        <v>1540</v>
      </c>
      <c r="K379" t="s">
        <v>1538</v>
      </c>
      <c r="L379">
        <v>169</v>
      </c>
      <c r="M379">
        <v>1.4</v>
      </c>
      <c r="N379">
        <v>0.4</v>
      </c>
      <c r="O379">
        <v>8.3000000000000007</v>
      </c>
    </row>
    <row r="380" spans="1:15" x14ac:dyDescent="0.25">
      <c r="A380" t="s">
        <v>1152</v>
      </c>
      <c r="B380" t="s">
        <v>1153</v>
      </c>
      <c r="C380" t="s">
        <v>100</v>
      </c>
      <c r="D380" t="s">
        <v>1154</v>
      </c>
      <c r="E380" t="s">
        <v>1540</v>
      </c>
      <c r="F380" t="s">
        <v>1540</v>
      </c>
      <c r="G380" t="s">
        <v>1540</v>
      </c>
      <c r="H380" t="s">
        <v>1540</v>
      </c>
      <c r="I380" t="s">
        <v>1540</v>
      </c>
      <c r="J380" t="s">
        <v>1540</v>
      </c>
      <c r="K380" t="s">
        <v>1539</v>
      </c>
      <c r="L380" t="s">
        <v>1539</v>
      </c>
      <c r="M380">
        <v>1666.7</v>
      </c>
      <c r="N380">
        <v>1666.7</v>
      </c>
      <c r="O380">
        <v>1666.7</v>
      </c>
    </row>
    <row r="381" spans="1:15" x14ac:dyDescent="0.25">
      <c r="A381" t="s">
        <v>1155</v>
      </c>
      <c r="B381" t="s">
        <v>1156</v>
      </c>
      <c r="C381" t="s">
        <v>100</v>
      </c>
      <c r="D381" t="s">
        <v>1157</v>
      </c>
      <c r="E381" t="s">
        <v>1540</v>
      </c>
      <c r="F381" t="s">
        <v>1540</v>
      </c>
      <c r="G381" t="s">
        <v>1540</v>
      </c>
      <c r="H381" t="s">
        <v>1540</v>
      </c>
      <c r="I381" t="s">
        <v>1540</v>
      </c>
      <c r="J381" t="s">
        <v>1540</v>
      </c>
      <c r="K381" t="s">
        <v>1539</v>
      </c>
      <c r="L381" t="s">
        <v>1539</v>
      </c>
      <c r="M381">
        <v>1666.7</v>
      </c>
      <c r="N381">
        <v>1666.7</v>
      </c>
      <c r="O381">
        <v>1666.7</v>
      </c>
    </row>
    <row r="382" spans="1:15" x14ac:dyDescent="0.25">
      <c r="A382" t="s">
        <v>1158</v>
      </c>
      <c r="B382" t="s">
        <v>1159</v>
      </c>
      <c r="C382" t="s">
        <v>100</v>
      </c>
      <c r="D382" t="s">
        <v>1160</v>
      </c>
      <c r="E382" t="s">
        <v>1540</v>
      </c>
      <c r="F382" t="s">
        <v>1540</v>
      </c>
      <c r="G382" t="s">
        <v>1540</v>
      </c>
      <c r="H382" t="s">
        <v>1540</v>
      </c>
      <c r="I382" t="s">
        <v>1540</v>
      </c>
      <c r="J382" t="s">
        <v>1540</v>
      </c>
      <c r="K382" t="s">
        <v>1542</v>
      </c>
      <c r="L382">
        <v>0.02</v>
      </c>
      <c r="M382">
        <v>0.4</v>
      </c>
      <c r="N382">
        <v>0.5</v>
      </c>
      <c r="O382">
        <v>0.3</v>
      </c>
    </row>
    <row r="383" spans="1:15" x14ac:dyDescent="0.25">
      <c r="A383" t="s">
        <v>1161</v>
      </c>
      <c r="B383" t="s">
        <v>1162</v>
      </c>
      <c r="C383" t="s">
        <v>100</v>
      </c>
      <c r="D383" t="s">
        <v>1163</v>
      </c>
      <c r="E383" t="s">
        <v>1540</v>
      </c>
      <c r="F383" t="s">
        <v>1540</v>
      </c>
      <c r="G383" t="s">
        <v>1540</v>
      </c>
      <c r="H383" t="s">
        <v>1540</v>
      </c>
      <c r="I383" t="s">
        <v>1540</v>
      </c>
      <c r="J383" t="s">
        <v>1540</v>
      </c>
      <c r="K383" t="s">
        <v>1542</v>
      </c>
      <c r="L383">
        <v>0.25</v>
      </c>
      <c r="M383">
        <v>2.6</v>
      </c>
      <c r="N383">
        <v>3.5</v>
      </c>
      <c r="O383">
        <v>4.2</v>
      </c>
    </row>
    <row r="384" spans="1:15" x14ac:dyDescent="0.25">
      <c r="A384" t="s">
        <v>1164</v>
      </c>
      <c r="B384" t="s">
        <v>1165</v>
      </c>
      <c r="C384" t="s">
        <v>100</v>
      </c>
      <c r="D384" t="s">
        <v>1166</v>
      </c>
      <c r="E384" t="s">
        <v>1540</v>
      </c>
      <c r="F384" t="s">
        <v>1540</v>
      </c>
      <c r="G384" t="s">
        <v>1540</v>
      </c>
      <c r="H384" t="s">
        <v>1540</v>
      </c>
      <c r="I384" t="s">
        <v>1540</v>
      </c>
      <c r="J384" t="s">
        <v>1540</v>
      </c>
      <c r="K384" t="s">
        <v>1539</v>
      </c>
      <c r="L384" t="s">
        <v>1539</v>
      </c>
      <c r="M384">
        <v>1666.7</v>
      </c>
      <c r="N384">
        <v>1666.7</v>
      </c>
      <c r="O384">
        <v>1666.7</v>
      </c>
    </row>
    <row r="385" spans="1:15" x14ac:dyDescent="0.25">
      <c r="A385" t="s">
        <v>1167</v>
      </c>
      <c r="B385" t="s">
        <v>1168</v>
      </c>
      <c r="C385" t="s">
        <v>100</v>
      </c>
      <c r="D385" t="s">
        <v>1169</v>
      </c>
      <c r="E385" t="s">
        <v>1540</v>
      </c>
      <c r="F385" t="s">
        <v>1540</v>
      </c>
      <c r="G385" t="s">
        <v>1540</v>
      </c>
      <c r="H385" t="s">
        <v>1540</v>
      </c>
      <c r="I385" t="s">
        <v>1540</v>
      </c>
      <c r="J385" t="s">
        <v>1540</v>
      </c>
      <c r="K385" t="s">
        <v>1539</v>
      </c>
      <c r="L385" t="s">
        <v>1539</v>
      </c>
      <c r="M385">
        <v>1666.7</v>
      </c>
      <c r="N385">
        <v>1666.7</v>
      </c>
      <c r="O385">
        <v>1666.7</v>
      </c>
    </row>
    <row r="386" spans="1:15" x14ac:dyDescent="0.25">
      <c r="A386" t="s">
        <v>1170</v>
      </c>
      <c r="B386" t="s">
        <v>1171</v>
      </c>
      <c r="C386" t="s">
        <v>100</v>
      </c>
      <c r="D386" t="s">
        <v>1172</v>
      </c>
      <c r="E386" t="s">
        <v>1540</v>
      </c>
      <c r="F386" t="s">
        <v>1540</v>
      </c>
      <c r="G386" t="s">
        <v>1540</v>
      </c>
      <c r="H386" t="s">
        <v>1540</v>
      </c>
      <c r="I386" t="s">
        <v>1540</v>
      </c>
      <c r="J386" t="s">
        <v>1540</v>
      </c>
      <c r="K386" t="s">
        <v>1538</v>
      </c>
      <c r="L386">
        <v>125</v>
      </c>
      <c r="M386">
        <v>19.600000000000001</v>
      </c>
      <c r="N386">
        <v>18.899999999999999</v>
      </c>
      <c r="O386">
        <v>32.9</v>
      </c>
    </row>
    <row r="387" spans="1:15" x14ac:dyDescent="0.25">
      <c r="A387" t="s">
        <v>1173</v>
      </c>
      <c r="B387" t="s">
        <v>1174</v>
      </c>
      <c r="C387" t="s">
        <v>100</v>
      </c>
      <c r="D387" t="s">
        <v>1175</v>
      </c>
      <c r="E387" t="s">
        <v>1540</v>
      </c>
      <c r="F387" t="s">
        <v>1540</v>
      </c>
      <c r="G387" t="s">
        <v>1540</v>
      </c>
      <c r="H387" t="s">
        <v>1540</v>
      </c>
      <c r="I387" t="s">
        <v>1540</v>
      </c>
      <c r="J387" t="s">
        <v>1540</v>
      </c>
      <c r="K387" t="s">
        <v>1538</v>
      </c>
      <c r="L387">
        <v>182</v>
      </c>
      <c r="M387">
        <v>0</v>
      </c>
      <c r="N387">
        <v>0</v>
      </c>
      <c r="O387">
        <v>0</v>
      </c>
    </row>
    <row r="388" spans="1:15" x14ac:dyDescent="0.25">
      <c r="A388" t="s">
        <v>1176</v>
      </c>
      <c r="B388" t="s">
        <v>1177</v>
      </c>
      <c r="C388" t="s">
        <v>100</v>
      </c>
      <c r="D388" t="s">
        <v>1178</v>
      </c>
      <c r="E388" t="s">
        <v>1540</v>
      </c>
      <c r="F388" t="s">
        <v>1540</v>
      </c>
      <c r="G388" t="s">
        <v>1540</v>
      </c>
      <c r="H388" t="s">
        <v>1540</v>
      </c>
      <c r="I388" t="s">
        <v>1540</v>
      </c>
      <c r="J388" t="s">
        <v>1540</v>
      </c>
      <c r="K388" t="s">
        <v>1538</v>
      </c>
      <c r="L388">
        <v>169</v>
      </c>
      <c r="M388">
        <v>1.3</v>
      </c>
      <c r="N388">
        <v>1.3</v>
      </c>
      <c r="O388">
        <v>1.2</v>
      </c>
    </row>
    <row r="389" spans="1:15" x14ac:dyDescent="0.25">
      <c r="A389" t="s">
        <v>1179</v>
      </c>
      <c r="B389" t="s">
        <v>1180</v>
      </c>
      <c r="C389" t="s">
        <v>100</v>
      </c>
      <c r="D389" t="s">
        <v>1181</v>
      </c>
      <c r="E389" t="s">
        <v>1540</v>
      </c>
      <c r="F389" t="s">
        <v>1540</v>
      </c>
      <c r="G389" t="s">
        <v>1540</v>
      </c>
      <c r="H389" t="s">
        <v>1540</v>
      </c>
      <c r="I389" t="s">
        <v>1540</v>
      </c>
      <c r="J389" t="s">
        <v>1540</v>
      </c>
      <c r="K389" t="s">
        <v>1538</v>
      </c>
      <c r="L389">
        <v>182</v>
      </c>
      <c r="M389">
        <v>13.4</v>
      </c>
      <c r="N389">
        <v>13</v>
      </c>
      <c r="O389">
        <v>10.8</v>
      </c>
    </row>
    <row r="390" spans="1:15" x14ac:dyDescent="0.25">
      <c r="A390" t="s">
        <v>1182</v>
      </c>
      <c r="B390" t="s">
        <v>1183</v>
      </c>
      <c r="C390" t="s">
        <v>100</v>
      </c>
      <c r="D390" t="s">
        <v>1184</v>
      </c>
      <c r="E390" t="s">
        <v>1540</v>
      </c>
      <c r="F390" t="s">
        <v>1540</v>
      </c>
      <c r="G390" t="s">
        <v>1540</v>
      </c>
      <c r="H390" t="s">
        <v>1540</v>
      </c>
      <c r="I390" t="s">
        <v>1540</v>
      </c>
      <c r="J390" t="s">
        <v>1540</v>
      </c>
      <c r="K390" t="s">
        <v>1538</v>
      </c>
      <c r="L390">
        <v>169</v>
      </c>
      <c r="M390">
        <v>6.3</v>
      </c>
      <c r="N390">
        <v>5.7</v>
      </c>
      <c r="O390">
        <v>3.7</v>
      </c>
    </row>
    <row r="391" spans="1:15" x14ac:dyDescent="0.25">
      <c r="A391" t="s">
        <v>1185</v>
      </c>
      <c r="B391" t="s">
        <v>1186</v>
      </c>
      <c r="C391" t="s">
        <v>100</v>
      </c>
      <c r="D391" t="s">
        <v>1187</v>
      </c>
      <c r="E391" t="s">
        <v>1540</v>
      </c>
      <c r="F391" t="s">
        <v>1540</v>
      </c>
      <c r="G391" t="s">
        <v>1540</v>
      </c>
      <c r="H391" t="s">
        <v>1540</v>
      </c>
      <c r="I391" t="s">
        <v>1540</v>
      </c>
      <c r="J391" t="s">
        <v>1540</v>
      </c>
      <c r="K391" t="s">
        <v>1539</v>
      </c>
      <c r="L391" t="s">
        <v>1539</v>
      </c>
      <c r="M391">
        <v>1666.7</v>
      </c>
      <c r="N391">
        <v>1666.7</v>
      </c>
      <c r="O391">
        <v>1666.7</v>
      </c>
    </row>
    <row r="392" spans="1:15" x14ac:dyDescent="0.25">
      <c r="A392" t="s">
        <v>1188</v>
      </c>
      <c r="B392" t="s">
        <v>1189</v>
      </c>
      <c r="C392" t="s">
        <v>100</v>
      </c>
      <c r="D392" t="s">
        <v>1190</v>
      </c>
      <c r="E392" t="s">
        <v>1540</v>
      </c>
      <c r="F392" t="s">
        <v>1540</v>
      </c>
      <c r="G392" t="s">
        <v>1540</v>
      </c>
      <c r="H392" t="s">
        <v>1540</v>
      </c>
      <c r="I392" t="s">
        <v>1540</v>
      </c>
      <c r="J392" t="s">
        <v>1540</v>
      </c>
      <c r="K392" t="s">
        <v>1539</v>
      </c>
      <c r="L392" t="s">
        <v>1539</v>
      </c>
      <c r="M392">
        <v>1666.7</v>
      </c>
      <c r="N392">
        <v>1666.7</v>
      </c>
      <c r="O392">
        <v>1666.7</v>
      </c>
    </row>
    <row r="393" spans="1:15" x14ac:dyDescent="0.25">
      <c r="A393" t="s">
        <v>1191</v>
      </c>
      <c r="B393" t="s">
        <v>1192</v>
      </c>
      <c r="C393" t="s">
        <v>100</v>
      </c>
      <c r="D393" t="s">
        <v>1193</v>
      </c>
      <c r="E393" t="s">
        <v>1540</v>
      </c>
      <c r="F393" t="s">
        <v>1540</v>
      </c>
      <c r="G393" t="s">
        <v>1540</v>
      </c>
      <c r="H393" t="s">
        <v>1540</v>
      </c>
      <c r="I393" t="s">
        <v>1540</v>
      </c>
      <c r="J393" t="s">
        <v>1540</v>
      </c>
      <c r="K393" t="s">
        <v>1539</v>
      </c>
      <c r="L393" t="s">
        <v>1539</v>
      </c>
      <c r="M393">
        <v>1666.7</v>
      </c>
      <c r="N393">
        <v>1666.7</v>
      </c>
      <c r="O393">
        <v>1666.7</v>
      </c>
    </row>
    <row r="394" spans="1:15" x14ac:dyDescent="0.25">
      <c r="A394" t="s">
        <v>1194</v>
      </c>
      <c r="B394" t="s">
        <v>1195</v>
      </c>
      <c r="C394" t="s">
        <v>100</v>
      </c>
      <c r="D394" t="s">
        <v>1196</v>
      </c>
      <c r="E394" t="s">
        <v>1540</v>
      </c>
      <c r="F394" t="s">
        <v>1540</v>
      </c>
      <c r="G394" t="s">
        <v>1540</v>
      </c>
      <c r="H394" t="s">
        <v>1540</v>
      </c>
      <c r="I394" t="s">
        <v>1540</v>
      </c>
      <c r="J394" t="s">
        <v>1540</v>
      </c>
      <c r="K394" t="s">
        <v>1542</v>
      </c>
      <c r="L394">
        <v>0.43</v>
      </c>
      <c r="M394">
        <v>7.6</v>
      </c>
      <c r="N394">
        <v>8.6</v>
      </c>
      <c r="O394">
        <v>7.2</v>
      </c>
    </row>
    <row r="395" spans="1:15" x14ac:dyDescent="0.25">
      <c r="A395" t="s">
        <v>1197</v>
      </c>
      <c r="B395" t="s">
        <v>1198</v>
      </c>
      <c r="C395" t="s">
        <v>100</v>
      </c>
      <c r="D395" t="s">
        <v>1199</v>
      </c>
      <c r="E395" t="s">
        <v>1540</v>
      </c>
      <c r="F395" t="s">
        <v>1540</v>
      </c>
      <c r="G395" t="s">
        <v>1540</v>
      </c>
      <c r="H395" t="s">
        <v>1540</v>
      </c>
      <c r="I395" t="s">
        <v>1540</v>
      </c>
      <c r="J395" t="s">
        <v>1540</v>
      </c>
      <c r="K395" t="s">
        <v>1538</v>
      </c>
      <c r="L395">
        <v>182</v>
      </c>
      <c r="M395">
        <v>35.4</v>
      </c>
      <c r="N395">
        <v>34.6</v>
      </c>
      <c r="O395">
        <v>32.9</v>
      </c>
    </row>
    <row r="396" spans="1:15" x14ac:dyDescent="0.25">
      <c r="A396" t="s">
        <v>1200</v>
      </c>
      <c r="B396" t="s">
        <v>1201</v>
      </c>
      <c r="C396" t="s">
        <v>100</v>
      </c>
      <c r="D396" t="s">
        <v>1202</v>
      </c>
      <c r="E396" t="s">
        <v>1540</v>
      </c>
      <c r="F396" t="s">
        <v>1540</v>
      </c>
      <c r="G396" t="s">
        <v>1540</v>
      </c>
      <c r="H396" t="s">
        <v>1540</v>
      </c>
      <c r="I396" t="s">
        <v>1540</v>
      </c>
      <c r="J396" t="s">
        <v>1540</v>
      </c>
      <c r="K396" t="s">
        <v>1539</v>
      </c>
      <c r="L396" t="s">
        <v>1539</v>
      </c>
      <c r="M396">
        <v>1666.7</v>
      </c>
      <c r="N396">
        <v>1666.7</v>
      </c>
      <c r="O396">
        <v>1666.7</v>
      </c>
    </row>
    <row r="397" spans="1:15" x14ac:dyDescent="0.25">
      <c r="A397" t="s">
        <v>1203</v>
      </c>
      <c r="B397" t="s">
        <v>1204</v>
      </c>
      <c r="C397" t="s">
        <v>100</v>
      </c>
      <c r="D397" t="s">
        <v>1205</v>
      </c>
      <c r="E397" t="s">
        <v>1540</v>
      </c>
      <c r="F397" t="s">
        <v>1540</v>
      </c>
      <c r="G397" t="s">
        <v>1540</v>
      </c>
      <c r="H397" t="s">
        <v>1540</v>
      </c>
      <c r="I397" t="s">
        <v>1540</v>
      </c>
      <c r="J397" t="s">
        <v>1540</v>
      </c>
      <c r="K397" t="s">
        <v>1539</v>
      </c>
      <c r="L397" t="s">
        <v>1539</v>
      </c>
      <c r="M397">
        <v>1666.7</v>
      </c>
      <c r="N397">
        <v>1666.7</v>
      </c>
      <c r="O397">
        <v>1666.7</v>
      </c>
    </row>
    <row r="398" spans="1:15" x14ac:dyDescent="0.25">
      <c r="A398" t="s">
        <v>1206</v>
      </c>
      <c r="B398" t="s">
        <v>1207</v>
      </c>
      <c r="C398" t="s">
        <v>100</v>
      </c>
      <c r="D398" t="s">
        <v>1208</v>
      </c>
      <c r="E398" t="s">
        <v>1540</v>
      </c>
      <c r="F398" t="s">
        <v>1540</v>
      </c>
      <c r="G398" t="s">
        <v>1540</v>
      </c>
      <c r="H398" t="s">
        <v>1540</v>
      </c>
      <c r="I398" t="s">
        <v>1540</v>
      </c>
      <c r="J398" t="s">
        <v>1540</v>
      </c>
      <c r="K398" t="s">
        <v>1539</v>
      </c>
      <c r="L398" t="s">
        <v>1539</v>
      </c>
      <c r="M398">
        <v>1666.7</v>
      </c>
      <c r="N398">
        <v>1666.7</v>
      </c>
      <c r="O398">
        <v>1666.7</v>
      </c>
    </row>
    <row r="399" spans="1:15" x14ac:dyDescent="0.25">
      <c r="A399" t="s">
        <v>1209</v>
      </c>
      <c r="B399" t="s">
        <v>1210</v>
      </c>
      <c r="C399" t="s">
        <v>100</v>
      </c>
      <c r="D399" t="s">
        <v>1211</v>
      </c>
      <c r="E399" t="s">
        <v>1540</v>
      </c>
      <c r="F399" t="s">
        <v>1540</v>
      </c>
      <c r="G399" t="s">
        <v>1540</v>
      </c>
      <c r="H399" t="s">
        <v>1540</v>
      </c>
      <c r="I399" t="s">
        <v>1540</v>
      </c>
      <c r="J399" t="s">
        <v>1540</v>
      </c>
      <c r="K399" t="s">
        <v>1539</v>
      </c>
      <c r="L399" t="s">
        <v>1539</v>
      </c>
      <c r="M399">
        <v>1666.7</v>
      </c>
      <c r="N399">
        <v>1666.7</v>
      </c>
      <c r="O399">
        <v>1666.7</v>
      </c>
    </row>
    <row r="400" spans="1:15" x14ac:dyDescent="0.25">
      <c r="A400" t="s">
        <v>1212</v>
      </c>
      <c r="B400" t="s">
        <v>1213</v>
      </c>
      <c r="C400" t="s">
        <v>100</v>
      </c>
      <c r="D400" t="s">
        <v>1214</v>
      </c>
      <c r="E400" t="s">
        <v>1540</v>
      </c>
      <c r="F400" t="s">
        <v>1540</v>
      </c>
      <c r="G400" t="s">
        <v>1540</v>
      </c>
      <c r="H400" t="s">
        <v>1540</v>
      </c>
      <c r="I400" t="s">
        <v>1540</v>
      </c>
      <c r="J400" t="s">
        <v>1540</v>
      </c>
      <c r="K400" t="s">
        <v>1538</v>
      </c>
      <c r="L400">
        <v>169</v>
      </c>
      <c r="M400">
        <v>0.4</v>
      </c>
      <c r="N400">
        <v>0.4</v>
      </c>
      <c r="O400">
        <v>0.4</v>
      </c>
    </row>
    <row r="401" spans="1:15" x14ac:dyDescent="0.25">
      <c r="A401" t="s">
        <v>1215</v>
      </c>
      <c r="B401" t="s">
        <v>1216</v>
      </c>
      <c r="C401" t="s">
        <v>100</v>
      </c>
      <c r="D401" t="s">
        <v>1217</v>
      </c>
      <c r="E401" t="s">
        <v>1540</v>
      </c>
      <c r="F401" t="s">
        <v>1540</v>
      </c>
      <c r="G401" t="s">
        <v>1540</v>
      </c>
      <c r="H401" t="s">
        <v>1540</v>
      </c>
      <c r="I401" t="s">
        <v>1540</v>
      </c>
      <c r="J401" t="s">
        <v>1540</v>
      </c>
      <c r="K401" t="s">
        <v>1539</v>
      </c>
      <c r="L401" t="s">
        <v>1539</v>
      </c>
      <c r="M401">
        <v>1666.7</v>
      </c>
      <c r="N401">
        <v>1666.7</v>
      </c>
      <c r="O401">
        <v>1666.7</v>
      </c>
    </row>
    <row r="402" spans="1:15" x14ac:dyDescent="0.25">
      <c r="A402" t="s">
        <v>1218</v>
      </c>
      <c r="B402" t="s">
        <v>1219</v>
      </c>
      <c r="C402" t="s">
        <v>100</v>
      </c>
      <c r="D402" t="s">
        <v>1220</v>
      </c>
      <c r="E402" t="s">
        <v>1540</v>
      </c>
      <c r="F402" t="s">
        <v>1540</v>
      </c>
      <c r="G402" t="s">
        <v>1540</v>
      </c>
      <c r="H402" t="s">
        <v>1540</v>
      </c>
      <c r="I402" t="s">
        <v>1540</v>
      </c>
      <c r="J402" t="s">
        <v>1540</v>
      </c>
      <c r="K402" t="s">
        <v>1542</v>
      </c>
      <c r="L402">
        <v>3.08</v>
      </c>
      <c r="M402">
        <v>53.6</v>
      </c>
      <c r="N402">
        <v>52.4</v>
      </c>
      <c r="O402">
        <v>51.3</v>
      </c>
    </row>
    <row r="403" spans="1:15" x14ac:dyDescent="0.25">
      <c r="A403" t="s">
        <v>1221</v>
      </c>
      <c r="B403" t="s">
        <v>1222</v>
      </c>
      <c r="C403" t="s">
        <v>100</v>
      </c>
      <c r="D403" t="s">
        <v>1223</v>
      </c>
      <c r="E403" t="s">
        <v>1540</v>
      </c>
      <c r="F403" t="s">
        <v>1540</v>
      </c>
      <c r="G403" t="s">
        <v>1540</v>
      </c>
      <c r="H403" t="s">
        <v>1540</v>
      </c>
      <c r="I403" t="s">
        <v>1540</v>
      </c>
      <c r="J403" t="s">
        <v>1540</v>
      </c>
      <c r="K403" t="s">
        <v>1542</v>
      </c>
      <c r="L403">
        <v>0.3</v>
      </c>
      <c r="M403">
        <v>4.8</v>
      </c>
      <c r="N403">
        <v>4.7</v>
      </c>
      <c r="O403">
        <v>5</v>
      </c>
    </row>
    <row r="404" spans="1:15" x14ac:dyDescent="0.25">
      <c r="A404" t="s">
        <v>1224</v>
      </c>
      <c r="B404" t="s">
        <v>1225</v>
      </c>
      <c r="C404" t="s">
        <v>100</v>
      </c>
      <c r="D404" t="s">
        <v>1226</v>
      </c>
      <c r="E404" t="s">
        <v>1540</v>
      </c>
      <c r="F404" t="s">
        <v>1540</v>
      </c>
      <c r="G404" t="s">
        <v>1540</v>
      </c>
      <c r="H404" t="s">
        <v>1540</v>
      </c>
      <c r="I404" t="s">
        <v>1540</v>
      </c>
      <c r="J404" t="s">
        <v>1540</v>
      </c>
      <c r="K404" t="s">
        <v>1538</v>
      </c>
      <c r="L404">
        <v>182</v>
      </c>
      <c r="M404">
        <v>0.7</v>
      </c>
      <c r="N404">
        <v>0.7</v>
      </c>
      <c r="O404">
        <v>0.6</v>
      </c>
    </row>
    <row r="405" spans="1:15" x14ac:dyDescent="0.25">
      <c r="A405" t="s">
        <v>1227</v>
      </c>
      <c r="B405" t="s">
        <v>1228</v>
      </c>
      <c r="C405" t="s">
        <v>100</v>
      </c>
      <c r="D405" t="s">
        <v>1229</v>
      </c>
      <c r="E405" t="s">
        <v>1540</v>
      </c>
      <c r="F405" t="s">
        <v>1540</v>
      </c>
      <c r="G405" t="s">
        <v>1540</v>
      </c>
      <c r="H405" t="s">
        <v>1540</v>
      </c>
      <c r="I405" t="s">
        <v>1540</v>
      </c>
      <c r="J405" t="s">
        <v>1540</v>
      </c>
      <c r="K405" t="s">
        <v>1539</v>
      </c>
      <c r="L405" t="s">
        <v>1539</v>
      </c>
      <c r="M405">
        <v>1666.7</v>
      </c>
      <c r="N405">
        <v>1666.7</v>
      </c>
      <c r="O405">
        <v>1666.7</v>
      </c>
    </row>
    <row r="406" spans="1:15" x14ac:dyDescent="0.25">
      <c r="A406" t="s">
        <v>1230</v>
      </c>
      <c r="B406" t="s">
        <v>1231</v>
      </c>
      <c r="C406" t="s">
        <v>100</v>
      </c>
      <c r="D406" t="s">
        <v>1232</v>
      </c>
      <c r="E406" t="s">
        <v>1540</v>
      </c>
      <c r="F406" t="s">
        <v>1540</v>
      </c>
      <c r="G406" t="s">
        <v>1540</v>
      </c>
      <c r="H406" t="s">
        <v>1540</v>
      </c>
      <c r="I406" t="s">
        <v>1540</v>
      </c>
      <c r="J406" t="s">
        <v>1540</v>
      </c>
      <c r="K406" t="s">
        <v>1539</v>
      </c>
      <c r="L406" t="s">
        <v>1539</v>
      </c>
      <c r="M406">
        <v>1666.7</v>
      </c>
      <c r="N406">
        <v>1666.7</v>
      </c>
      <c r="O406">
        <v>1666.7</v>
      </c>
    </row>
    <row r="407" spans="1:15" x14ac:dyDescent="0.25">
      <c r="A407" t="s">
        <v>1233</v>
      </c>
      <c r="B407" t="s">
        <v>1234</v>
      </c>
      <c r="C407" t="s">
        <v>100</v>
      </c>
      <c r="D407" t="s">
        <v>1235</v>
      </c>
      <c r="E407" t="s">
        <v>1540</v>
      </c>
      <c r="F407" t="s">
        <v>1540</v>
      </c>
      <c r="G407" t="s">
        <v>1540</v>
      </c>
      <c r="H407" t="s">
        <v>1540</v>
      </c>
      <c r="I407" t="s">
        <v>1540</v>
      </c>
      <c r="J407" t="s">
        <v>1540</v>
      </c>
      <c r="K407" t="s">
        <v>1539</v>
      </c>
      <c r="L407" t="s">
        <v>1539</v>
      </c>
      <c r="M407">
        <v>1666.7</v>
      </c>
      <c r="N407">
        <v>1666.7</v>
      </c>
      <c r="O407">
        <v>1666.7</v>
      </c>
    </row>
    <row r="408" spans="1:15" x14ac:dyDescent="0.25">
      <c r="A408" t="s">
        <v>1236</v>
      </c>
      <c r="B408" t="s">
        <v>1237</v>
      </c>
      <c r="C408" t="s">
        <v>100</v>
      </c>
      <c r="D408" t="s">
        <v>1238</v>
      </c>
      <c r="E408" t="s">
        <v>1540</v>
      </c>
      <c r="F408" t="s">
        <v>1540</v>
      </c>
      <c r="G408" t="s">
        <v>1540</v>
      </c>
      <c r="H408" t="s">
        <v>1540</v>
      </c>
      <c r="I408" t="s">
        <v>1540</v>
      </c>
      <c r="J408" t="s">
        <v>1540</v>
      </c>
      <c r="K408" t="s">
        <v>1538</v>
      </c>
      <c r="L408">
        <v>182</v>
      </c>
      <c r="M408">
        <v>0.5</v>
      </c>
      <c r="N408">
        <v>0.5</v>
      </c>
      <c r="O408">
        <v>0.5</v>
      </c>
    </row>
    <row r="409" spans="1:15" x14ac:dyDescent="0.25">
      <c r="A409" t="s">
        <v>1239</v>
      </c>
      <c r="B409" t="s">
        <v>1240</v>
      </c>
      <c r="C409" t="s">
        <v>100</v>
      </c>
      <c r="D409" t="s">
        <v>1241</v>
      </c>
      <c r="E409" t="s">
        <v>1540</v>
      </c>
      <c r="F409" t="s">
        <v>1540</v>
      </c>
      <c r="G409" t="s">
        <v>1540</v>
      </c>
      <c r="H409" t="s">
        <v>1540</v>
      </c>
      <c r="I409" t="s">
        <v>1540</v>
      </c>
      <c r="J409" t="s">
        <v>1540</v>
      </c>
      <c r="K409" t="s">
        <v>1539</v>
      </c>
      <c r="L409" t="s">
        <v>1539</v>
      </c>
      <c r="M409">
        <v>1666.7</v>
      </c>
      <c r="N409">
        <v>1666.7</v>
      </c>
      <c r="O409">
        <v>1666.7</v>
      </c>
    </row>
    <row r="410" spans="1:15" x14ac:dyDescent="0.25">
      <c r="A410" t="s">
        <v>1242</v>
      </c>
      <c r="B410" t="s">
        <v>1243</v>
      </c>
      <c r="C410" t="s">
        <v>100</v>
      </c>
      <c r="D410" t="s">
        <v>1244</v>
      </c>
      <c r="E410" t="s">
        <v>1540</v>
      </c>
      <c r="F410" t="s">
        <v>1540</v>
      </c>
      <c r="G410" t="s">
        <v>1540</v>
      </c>
      <c r="H410" t="s">
        <v>1540</v>
      </c>
      <c r="I410" t="s">
        <v>1540</v>
      </c>
      <c r="J410" t="s">
        <v>1540</v>
      </c>
      <c r="K410" t="s">
        <v>1538</v>
      </c>
      <c r="L410">
        <v>169</v>
      </c>
      <c r="M410">
        <v>27.6</v>
      </c>
      <c r="N410">
        <v>16.5</v>
      </c>
      <c r="O410">
        <v>177.7</v>
      </c>
    </row>
    <row r="411" spans="1:15" x14ac:dyDescent="0.25">
      <c r="A411" t="s">
        <v>1245</v>
      </c>
      <c r="B411" t="s">
        <v>1246</v>
      </c>
      <c r="C411" t="s">
        <v>100</v>
      </c>
      <c r="D411" t="s">
        <v>1247</v>
      </c>
      <c r="E411" t="s">
        <v>1540</v>
      </c>
      <c r="F411" t="s">
        <v>1540</v>
      </c>
      <c r="G411" t="s">
        <v>1540</v>
      </c>
      <c r="H411" t="s">
        <v>1540</v>
      </c>
      <c r="I411" t="s">
        <v>1540</v>
      </c>
      <c r="J411" t="s">
        <v>1540</v>
      </c>
      <c r="K411" t="s">
        <v>1539</v>
      </c>
      <c r="L411" t="s">
        <v>1539</v>
      </c>
      <c r="M411">
        <v>0</v>
      </c>
      <c r="N411">
        <v>1259.3</v>
      </c>
      <c r="O411">
        <v>1076.2</v>
      </c>
    </row>
    <row r="412" spans="1:15" x14ac:dyDescent="0.25">
      <c r="A412" t="s">
        <v>1248</v>
      </c>
      <c r="B412" t="s">
        <v>1249</v>
      </c>
      <c r="C412" t="s">
        <v>100</v>
      </c>
      <c r="D412" t="s">
        <v>1250</v>
      </c>
      <c r="E412" t="s">
        <v>1540</v>
      </c>
      <c r="F412" t="s">
        <v>1540</v>
      </c>
      <c r="G412" t="s">
        <v>1540</v>
      </c>
      <c r="H412" t="s">
        <v>1540</v>
      </c>
      <c r="I412" t="s">
        <v>1540</v>
      </c>
      <c r="J412" t="s">
        <v>1540</v>
      </c>
      <c r="K412" t="s">
        <v>1539</v>
      </c>
      <c r="L412" t="s">
        <v>1539</v>
      </c>
      <c r="M412">
        <v>0</v>
      </c>
      <c r="N412">
        <v>1496</v>
      </c>
      <c r="O412">
        <v>1285.2</v>
      </c>
    </row>
    <row r="413" spans="1:15" x14ac:dyDescent="0.25">
      <c r="A413" t="s">
        <v>1251</v>
      </c>
      <c r="B413" t="s">
        <v>1252</v>
      </c>
      <c r="C413" t="s">
        <v>100</v>
      </c>
      <c r="D413" t="s">
        <v>1253</v>
      </c>
      <c r="E413" t="s">
        <v>1540</v>
      </c>
      <c r="F413" t="s">
        <v>1540</v>
      </c>
      <c r="G413" t="s">
        <v>1540</v>
      </c>
      <c r="H413" t="s">
        <v>1540</v>
      </c>
      <c r="I413" t="s">
        <v>1540</v>
      </c>
      <c r="J413" t="s">
        <v>1540</v>
      </c>
      <c r="K413" t="s">
        <v>1538</v>
      </c>
      <c r="L413">
        <v>125</v>
      </c>
      <c r="M413">
        <v>0.5</v>
      </c>
      <c r="N413">
        <v>0.4</v>
      </c>
      <c r="O413">
        <v>0.5</v>
      </c>
    </row>
    <row r="414" spans="1:15" x14ac:dyDescent="0.25">
      <c r="A414" t="s">
        <v>1254</v>
      </c>
      <c r="B414" t="s">
        <v>1255</v>
      </c>
      <c r="C414" t="s">
        <v>100</v>
      </c>
      <c r="D414" t="s">
        <v>1256</v>
      </c>
      <c r="E414" t="s">
        <v>1540</v>
      </c>
      <c r="F414" t="s">
        <v>1540</v>
      </c>
      <c r="G414" t="s">
        <v>1540</v>
      </c>
      <c r="H414" t="s">
        <v>1540</v>
      </c>
      <c r="I414" t="s">
        <v>1540</v>
      </c>
      <c r="J414" t="s">
        <v>1540</v>
      </c>
      <c r="K414" t="s">
        <v>1538</v>
      </c>
      <c r="L414">
        <v>218</v>
      </c>
      <c r="M414">
        <v>0.8</v>
      </c>
      <c r="N414">
        <v>0.8</v>
      </c>
      <c r="O414">
        <v>0.8</v>
      </c>
    </row>
    <row r="415" spans="1:15" x14ac:dyDescent="0.25">
      <c r="A415" t="s">
        <v>1257</v>
      </c>
      <c r="B415" t="s">
        <v>1258</v>
      </c>
      <c r="C415" t="s">
        <v>100</v>
      </c>
      <c r="D415" t="s">
        <v>1259</v>
      </c>
      <c r="E415" t="s">
        <v>1540</v>
      </c>
      <c r="F415" t="s">
        <v>1540</v>
      </c>
      <c r="G415" t="s">
        <v>1540</v>
      </c>
      <c r="H415" t="s">
        <v>1540</v>
      </c>
      <c r="I415" t="s">
        <v>1540</v>
      </c>
      <c r="J415" t="s">
        <v>1540</v>
      </c>
      <c r="K415" t="s">
        <v>1539</v>
      </c>
      <c r="L415" t="s">
        <v>1539</v>
      </c>
      <c r="M415">
        <v>0</v>
      </c>
      <c r="N415">
        <v>-651.20000000000005</v>
      </c>
      <c r="O415">
        <v>-518.20000000000005</v>
      </c>
    </row>
    <row r="416" spans="1:15" x14ac:dyDescent="0.25">
      <c r="A416" t="s">
        <v>1260</v>
      </c>
      <c r="B416" t="s">
        <v>1261</v>
      </c>
      <c r="C416" t="s">
        <v>100</v>
      </c>
      <c r="D416" t="s">
        <v>1262</v>
      </c>
      <c r="E416" t="s">
        <v>1540</v>
      </c>
      <c r="F416" t="s">
        <v>1540</v>
      </c>
      <c r="G416" t="s">
        <v>1540</v>
      </c>
      <c r="H416" t="s">
        <v>1540</v>
      </c>
      <c r="I416" t="s">
        <v>1540</v>
      </c>
      <c r="J416" t="s">
        <v>1540</v>
      </c>
      <c r="K416" t="s">
        <v>1539</v>
      </c>
      <c r="L416" t="s">
        <v>1539</v>
      </c>
      <c r="M416">
        <v>1666.7</v>
      </c>
      <c r="N416">
        <v>1666.7</v>
      </c>
      <c r="O416">
        <v>1666.7</v>
      </c>
    </row>
    <row r="417" spans="1:15" x14ac:dyDescent="0.25">
      <c r="A417" t="s">
        <v>1263</v>
      </c>
      <c r="B417" t="s">
        <v>1264</v>
      </c>
      <c r="C417" t="s">
        <v>100</v>
      </c>
      <c r="D417" t="s">
        <v>1265</v>
      </c>
      <c r="E417" t="s">
        <v>1540</v>
      </c>
      <c r="F417" t="s">
        <v>1540</v>
      </c>
      <c r="G417" t="s">
        <v>1540</v>
      </c>
      <c r="H417" t="s">
        <v>1540</v>
      </c>
      <c r="I417" t="s">
        <v>1540</v>
      </c>
      <c r="J417" t="s">
        <v>1540</v>
      </c>
      <c r="K417" t="s">
        <v>1539</v>
      </c>
      <c r="L417" t="s">
        <v>1539</v>
      </c>
      <c r="M417">
        <v>1666.7</v>
      </c>
      <c r="N417">
        <v>1666.7</v>
      </c>
      <c r="O417">
        <v>1666.7</v>
      </c>
    </row>
    <row r="418" spans="1:15" x14ac:dyDescent="0.25">
      <c r="A418" t="s">
        <v>1266</v>
      </c>
      <c r="B418" t="s">
        <v>1267</v>
      </c>
      <c r="C418" t="s">
        <v>100</v>
      </c>
      <c r="D418" t="s">
        <v>1268</v>
      </c>
      <c r="E418" t="s">
        <v>1540</v>
      </c>
      <c r="F418" t="s">
        <v>1540</v>
      </c>
      <c r="G418" t="s">
        <v>1540</v>
      </c>
      <c r="H418" t="s">
        <v>1540</v>
      </c>
      <c r="I418" t="s">
        <v>1540</v>
      </c>
      <c r="J418" t="s">
        <v>1540</v>
      </c>
      <c r="K418" t="s">
        <v>1539</v>
      </c>
      <c r="L418" t="s">
        <v>1539</v>
      </c>
      <c r="M418">
        <v>1666.7</v>
      </c>
      <c r="N418">
        <v>1666.7</v>
      </c>
      <c r="O418">
        <v>1666.7</v>
      </c>
    </row>
    <row r="419" spans="1:15" x14ac:dyDescent="0.25">
      <c r="A419" t="s">
        <v>1269</v>
      </c>
      <c r="B419" t="s">
        <v>1270</v>
      </c>
      <c r="C419" t="s">
        <v>100</v>
      </c>
      <c r="D419" t="s">
        <v>1271</v>
      </c>
      <c r="E419" t="s">
        <v>1540</v>
      </c>
      <c r="F419" t="s">
        <v>1540</v>
      </c>
      <c r="G419" t="s">
        <v>1540</v>
      </c>
      <c r="H419" t="s">
        <v>1540</v>
      </c>
      <c r="I419" t="s">
        <v>1540</v>
      </c>
      <c r="J419" t="s">
        <v>1540</v>
      </c>
      <c r="K419" t="s">
        <v>1538</v>
      </c>
      <c r="L419">
        <v>161</v>
      </c>
      <c r="M419">
        <v>93.3</v>
      </c>
      <c r="N419">
        <v>92.4</v>
      </c>
      <c r="O419">
        <v>84.1</v>
      </c>
    </row>
    <row r="420" spans="1:15" x14ac:dyDescent="0.25">
      <c r="A420" t="s">
        <v>1272</v>
      </c>
      <c r="B420" t="s">
        <v>1273</v>
      </c>
      <c r="C420" t="s">
        <v>100</v>
      </c>
      <c r="D420" t="s">
        <v>1274</v>
      </c>
      <c r="E420" t="s">
        <v>1540</v>
      </c>
      <c r="F420" t="s">
        <v>1540</v>
      </c>
      <c r="G420" t="s">
        <v>1540</v>
      </c>
      <c r="H420" t="s">
        <v>1540</v>
      </c>
      <c r="I420" t="s">
        <v>1540</v>
      </c>
      <c r="J420" t="s">
        <v>1540</v>
      </c>
      <c r="K420" t="s">
        <v>1539</v>
      </c>
      <c r="L420" t="s">
        <v>1539</v>
      </c>
      <c r="M420">
        <v>1666.7</v>
      </c>
      <c r="N420">
        <v>1666.7</v>
      </c>
      <c r="O420">
        <v>1666.7</v>
      </c>
    </row>
    <row r="421" spans="1:15" x14ac:dyDescent="0.25">
      <c r="A421" t="s">
        <v>1275</v>
      </c>
      <c r="B421" t="s">
        <v>1276</v>
      </c>
      <c r="C421" t="s">
        <v>100</v>
      </c>
      <c r="D421" t="s">
        <v>1277</v>
      </c>
      <c r="E421" t="s">
        <v>1540</v>
      </c>
      <c r="F421" t="s">
        <v>1540</v>
      </c>
      <c r="G421" t="s">
        <v>1540</v>
      </c>
      <c r="H421" t="s">
        <v>1540</v>
      </c>
      <c r="I421" t="s">
        <v>1540</v>
      </c>
      <c r="J421" t="s">
        <v>1540</v>
      </c>
      <c r="K421" t="s">
        <v>1538</v>
      </c>
      <c r="L421">
        <v>182</v>
      </c>
      <c r="M421">
        <v>18.399999999999999</v>
      </c>
      <c r="N421">
        <v>11.4</v>
      </c>
      <c r="O421">
        <v>11.1</v>
      </c>
    </row>
    <row r="422" spans="1:15" x14ac:dyDescent="0.25">
      <c r="A422" t="s">
        <v>1278</v>
      </c>
      <c r="B422" t="s">
        <v>1279</v>
      </c>
      <c r="C422" t="s">
        <v>100</v>
      </c>
      <c r="D422" t="s">
        <v>1280</v>
      </c>
      <c r="E422" t="s">
        <v>1540</v>
      </c>
      <c r="F422" t="s">
        <v>1540</v>
      </c>
      <c r="G422" t="s">
        <v>1540</v>
      </c>
      <c r="H422" t="s">
        <v>1540</v>
      </c>
      <c r="I422" t="s">
        <v>1540</v>
      </c>
      <c r="J422" t="s">
        <v>1540</v>
      </c>
      <c r="K422" t="s">
        <v>1538</v>
      </c>
      <c r="L422">
        <v>218</v>
      </c>
      <c r="M422">
        <v>0.6</v>
      </c>
      <c r="N422">
        <v>17.3</v>
      </c>
      <c r="O422">
        <v>34.6</v>
      </c>
    </row>
    <row r="423" spans="1:15" x14ac:dyDescent="0.25">
      <c r="A423" t="s">
        <v>1281</v>
      </c>
      <c r="B423" t="s">
        <v>1282</v>
      </c>
      <c r="C423" t="s">
        <v>100</v>
      </c>
      <c r="D423" t="s">
        <v>1283</v>
      </c>
      <c r="E423" t="s">
        <v>1540</v>
      </c>
      <c r="F423" t="s">
        <v>1540</v>
      </c>
      <c r="G423" t="s">
        <v>1540</v>
      </c>
      <c r="H423" t="s">
        <v>1540</v>
      </c>
      <c r="I423" t="s">
        <v>1540</v>
      </c>
      <c r="J423" t="s">
        <v>1540</v>
      </c>
      <c r="K423" t="s">
        <v>1538</v>
      </c>
      <c r="L423">
        <v>182</v>
      </c>
      <c r="M423">
        <v>0.9</v>
      </c>
      <c r="N423">
        <v>0.9</v>
      </c>
      <c r="O423">
        <v>0.8</v>
      </c>
    </row>
    <row r="424" spans="1:15" x14ac:dyDescent="0.25">
      <c r="A424" t="s">
        <v>1284</v>
      </c>
      <c r="B424" t="s">
        <v>1285</v>
      </c>
      <c r="C424" t="s">
        <v>100</v>
      </c>
      <c r="D424" t="s">
        <v>1286</v>
      </c>
      <c r="E424" t="s">
        <v>1540</v>
      </c>
      <c r="F424" t="s">
        <v>1540</v>
      </c>
      <c r="G424" t="s">
        <v>1540</v>
      </c>
      <c r="H424" t="s">
        <v>1540</v>
      </c>
      <c r="I424" t="s">
        <v>1540</v>
      </c>
      <c r="J424" t="s">
        <v>1540</v>
      </c>
      <c r="K424" t="s">
        <v>1538</v>
      </c>
      <c r="L424">
        <v>182</v>
      </c>
      <c r="M424">
        <v>0.7</v>
      </c>
      <c r="N424">
        <v>0.7</v>
      </c>
      <c r="O424">
        <v>0.6</v>
      </c>
    </row>
    <row r="425" spans="1:15" x14ac:dyDescent="0.25">
      <c r="A425" t="s">
        <v>1287</v>
      </c>
      <c r="B425" t="s">
        <v>1288</v>
      </c>
      <c r="C425" t="s">
        <v>100</v>
      </c>
      <c r="D425" t="s">
        <v>1289</v>
      </c>
      <c r="E425" t="s">
        <v>1540</v>
      </c>
      <c r="F425" t="s">
        <v>1540</v>
      </c>
      <c r="G425" t="s">
        <v>1540</v>
      </c>
      <c r="H425" t="s">
        <v>1540</v>
      </c>
      <c r="I425" t="s">
        <v>1540</v>
      </c>
      <c r="J425" t="s">
        <v>1540</v>
      </c>
      <c r="K425" t="s">
        <v>1539</v>
      </c>
      <c r="L425" t="s">
        <v>1539</v>
      </c>
      <c r="M425">
        <v>1666.7</v>
      </c>
      <c r="N425">
        <v>1666.7</v>
      </c>
      <c r="O425">
        <v>1694.9</v>
      </c>
    </row>
    <row r="426" spans="1:15" x14ac:dyDescent="0.25">
      <c r="A426" t="s">
        <v>1290</v>
      </c>
      <c r="B426" t="s">
        <v>1291</v>
      </c>
      <c r="C426" t="s">
        <v>100</v>
      </c>
      <c r="D426" t="s">
        <v>1292</v>
      </c>
      <c r="E426" t="s">
        <v>1540</v>
      </c>
      <c r="F426" t="s">
        <v>1540</v>
      </c>
      <c r="G426" t="s">
        <v>1540</v>
      </c>
      <c r="H426" t="s">
        <v>1540</v>
      </c>
      <c r="I426" t="s">
        <v>1540</v>
      </c>
      <c r="J426" t="s">
        <v>1540</v>
      </c>
      <c r="K426" t="s">
        <v>1539</v>
      </c>
      <c r="L426" t="s">
        <v>1539</v>
      </c>
      <c r="M426">
        <v>1666.7</v>
      </c>
      <c r="N426">
        <v>1666.7</v>
      </c>
      <c r="O426">
        <v>1666.7</v>
      </c>
    </row>
    <row r="427" spans="1:15" x14ac:dyDescent="0.25">
      <c r="A427" t="s">
        <v>1293</v>
      </c>
      <c r="B427" t="s">
        <v>1294</v>
      </c>
      <c r="C427" t="s">
        <v>100</v>
      </c>
      <c r="D427" t="s">
        <v>1295</v>
      </c>
      <c r="E427" t="s">
        <v>1540</v>
      </c>
      <c r="F427" t="s">
        <v>1540</v>
      </c>
      <c r="G427" t="s">
        <v>1540</v>
      </c>
      <c r="H427" t="s">
        <v>1540</v>
      </c>
      <c r="I427" t="s">
        <v>1540</v>
      </c>
      <c r="J427" t="s">
        <v>1540</v>
      </c>
      <c r="K427" t="s">
        <v>1538</v>
      </c>
      <c r="L427">
        <v>182</v>
      </c>
      <c r="M427">
        <v>370.4</v>
      </c>
      <c r="N427">
        <v>225.1</v>
      </c>
      <c r="O427">
        <v>398.7</v>
      </c>
    </row>
    <row r="428" spans="1:15" x14ac:dyDescent="0.25">
      <c r="A428" t="s">
        <v>1296</v>
      </c>
      <c r="B428" t="s">
        <v>1297</v>
      </c>
      <c r="C428" t="s">
        <v>100</v>
      </c>
      <c r="D428" t="s">
        <v>1298</v>
      </c>
      <c r="E428" t="s">
        <v>1540</v>
      </c>
      <c r="F428" t="s">
        <v>1540</v>
      </c>
      <c r="G428" t="s">
        <v>1540</v>
      </c>
      <c r="H428" t="s">
        <v>1540</v>
      </c>
      <c r="I428" t="s">
        <v>1540</v>
      </c>
      <c r="J428" t="s">
        <v>1540</v>
      </c>
      <c r="K428" t="s">
        <v>1538</v>
      </c>
      <c r="L428">
        <v>182</v>
      </c>
      <c r="M428">
        <v>0.1</v>
      </c>
      <c r="N428">
        <v>0.1</v>
      </c>
      <c r="O428">
        <v>0.1</v>
      </c>
    </row>
    <row r="429" spans="1:15" x14ac:dyDescent="0.25">
      <c r="A429" t="s">
        <v>1299</v>
      </c>
      <c r="B429" t="s">
        <v>1300</v>
      </c>
      <c r="C429" t="s">
        <v>100</v>
      </c>
      <c r="D429" t="s">
        <v>1301</v>
      </c>
      <c r="E429" t="s">
        <v>1540</v>
      </c>
      <c r="F429" t="s">
        <v>1540</v>
      </c>
      <c r="G429" t="s">
        <v>1540</v>
      </c>
      <c r="H429" t="s">
        <v>1540</v>
      </c>
      <c r="I429" t="s">
        <v>1540</v>
      </c>
      <c r="J429" t="s">
        <v>1540</v>
      </c>
      <c r="K429" t="s">
        <v>1538</v>
      </c>
      <c r="L429">
        <v>169</v>
      </c>
      <c r="M429">
        <v>0.2</v>
      </c>
      <c r="N429">
        <v>0.2</v>
      </c>
      <c r="O429">
        <v>0.2</v>
      </c>
    </row>
    <row r="430" spans="1:15" x14ac:dyDescent="0.25">
      <c r="A430" t="s">
        <v>1302</v>
      </c>
      <c r="B430" t="s">
        <v>1303</v>
      </c>
      <c r="C430" t="s">
        <v>100</v>
      </c>
      <c r="D430" t="s">
        <v>1304</v>
      </c>
      <c r="E430" t="s">
        <v>1540</v>
      </c>
      <c r="F430" t="s">
        <v>1540</v>
      </c>
      <c r="G430" t="s">
        <v>1540</v>
      </c>
      <c r="H430" t="s">
        <v>1540</v>
      </c>
      <c r="I430" t="s">
        <v>1540</v>
      </c>
      <c r="J430" t="s">
        <v>1540</v>
      </c>
      <c r="K430" t="s">
        <v>1539</v>
      </c>
      <c r="L430" t="s">
        <v>1539</v>
      </c>
      <c r="M430">
        <v>1666.7</v>
      </c>
      <c r="N430">
        <v>1666.7</v>
      </c>
      <c r="O430">
        <v>1666.7</v>
      </c>
    </row>
    <row r="431" spans="1:15" x14ac:dyDescent="0.25">
      <c r="A431" t="s">
        <v>1305</v>
      </c>
      <c r="B431" t="s">
        <v>1306</v>
      </c>
      <c r="C431" t="s">
        <v>100</v>
      </c>
      <c r="D431" t="s">
        <v>1307</v>
      </c>
      <c r="E431" t="s">
        <v>1540</v>
      </c>
      <c r="F431" t="s">
        <v>1540</v>
      </c>
      <c r="G431" t="s">
        <v>1540</v>
      </c>
      <c r="H431" t="s">
        <v>1540</v>
      </c>
      <c r="I431" t="s">
        <v>1540</v>
      </c>
      <c r="J431" t="s">
        <v>1540</v>
      </c>
      <c r="K431" t="s">
        <v>1538</v>
      </c>
      <c r="L431">
        <v>182</v>
      </c>
      <c r="M431">
        <v>10.5</v>
      </c>
      <c r="N431">
        <v>10.3</v>
      </c>
      <c r="O431">
        <v>10.1</v>
      </c>
    </row>
    <row r="432" spans="1:15" x14ac:dyDescent="0.25">
      <c r="A432" t="s">
        <v>1308</v>
      </c>
      <c r="B432" t="s">
        <v>1309</v>
      </c>
      <c r="C432" t="s">
        <v>100</v>
      </c>
      <c r="D432" t="s">
        <v>1310</v>
      </c>
      <c r="E432" t="s">
        <v>1540</v>
      </c>
      <c r="F432" t="s">
        <v>1540</v>
      </c>
      <c r="G432" t="s">
        <v>1540</v>
      </c>
      <c r="H432" t="s">
        <v>1540</v>
      </c>
      <c r="I432" t="s">
        <v>1540</v>
      </c>
      <c r="J432" t="s">
        <v>1540</v>
      </c>
      <c r="K432" t="s">
        <v>1538</v>
      </c>
      <c r="L432">
        <v>169</v>
      </c>
      <c r="M432">
        <v>3.1</v>
      </c>
      <c r="N432">
        <v>383.5</v>
      </c>
      <c r="O432">
        <v>210.9</v>
      </c>
    </row>
    <row r="433" spans="1:15" x14ac:dyDescent="0.25">
      <c r="A433" t="s">
        <v>1311</v>
      </c>
      <c r="B433" t="s">
        <v>1312</v>
      </c>
      <c r="C433" t="s">
        <v>100</v>
      </c>
      <c r="D433" t="s">
        <v>1313</v>
      </c>
      <c r="E433" t="s">
        <v>1540</v>
      </c>
      <c r="F433" t="s">
        <v>1540</v>
      </c>
      <c r="G433" t="s">
        <v>1540</v>
      </c>
      <c r="H433" t="s">
        <v>1540</v>
      </c>
      <c r="I433" t="s">
        <v>1540</v>
      </c>
      <c r="J433" t="s">
        <v>1540</v>
      </c>
      <c r="K433" t="s">
        <v>1538</v>
      </c>
      <c r="L433">
        <v>182</v>
      </c>
      <c r="M433">
        <v>0.6</v>
      </c>
      <c r="N433">
        <v>0.6</v>
      </c>
      <c r="O433">
        <v>0.5</v>
      </c>
    </row>
    <row r="434" spans="1:15" x14ac:dyDescent="0.25">
      <c r="A434" t="s">
        <v>1314</v>
      </c>
      <c r="B434" t="s">
        <v>1315</v>
      </c>
      <c r="C434" t="s">
        <v>100</v>
      </c>
      <c r="D434" t="s">
        <v>1316</v>
      </c>
      <c r="E434" t="s">
        <v>1540</v>
      </c>
      <c r="F434" t="s">
        <v>1540</v>
      </c>
      <c r="G434" t="s">
        <v>1540</v>
      </c>
      <c r="H434" t="s">
        <v>1540</v>
      </c>
      <c r="I434" t="s">
        <v>1540</v>
      </c>
      <c r="J434" t="s">
        <v>1540</v>
      </c>
      <c r="K434" t="s">
        <v>1538</v>
      </c>
      <c r="L434">
        <v>182</v>
      </c>
      <c r="M434">
        <v>0</v>
      </c>
      <c r="N434">
        <v>0</v>
      </c>
      <c r="O434">
        <v>0</v>
      </c>
    </row>
    <row r="435" spans="1:15" x14ac:dyDescent="0.25">
      <c r="A435" t="s">
        <v>1317</v>
      </c>
      <c r="B435" t="s">
        <v>1318</v>
      </c>
      <c r="C435" t="s">
        <v>100</v>
      </c>
      <c r="D435" t="s">
        <v>1319</v>
      </c>
      <c r="E435" t="s">
        <v>1540</v>
      </c>
      <c r="F435" t="s">
        <v>1540</v>
      </c>
      <c r="G435" t="s">
        <v>1540</v>
      </c>
      <c r="H435" t="s">
        <v>1540</v>
      </c>
      <c r="I435" t="s">
        <v>1540</v>
      </c>
      <c r="J435" t="s">
        <v>1540</v>
      </c>
      <c r="K435" t="s">
        <v>1538</v>
      </c>
      <c r="L435">
        <v>115</v>
      </c>
      <c r="M435">
        <v>6.8</v>
      </c>
      <c r="N435">
        <v>845.1</v>
      </c>
      <c r="O435">
        <v>499.8</v>
      </c>
    </row>
    <row r="436" spans="1:15" x14ac:dyDescent="0.25">
      <c r="A436" t="s">
        <v>1320</v>
      </c>
      <c r="B436" t="s">
        <v>1321</v>
      </c>
      <c r="C436" t="s">
        <v>100</v>
      </c>
      <c r="D436" t="s">
        <v>1322</v>
      </c>
      <c r="E436" t="s">
        <v>1540</v>
      </c>
      <c r="F436" t="s">
        <v>1540</v>
      </c>
      <c r="G436" t="s">
        <v>1540</v>
      </c>
      <c r="H436" t="s">
        <v>1540</v>
      </c>
      <c r="I436" t="s">
        <v>1540</v>
      </c>
      <c r="J436" t="s">
        <v>1540</v>
      </c>
      <c r="K436" t="s">
        <v>1538</v>
      </c>
      <c r="L436">
        <v>161</v>
      </c>
      <c r="M436">
        <v>36.799999999999997</v>
      </c>
      <c r="N436">
        <v>23</v>
      </c>
      <c r="O436">
        <v>340.6</v>
      </c>
    </row>
    <row r="437" spans="1:15" x14ac:dyDescent="0.25">
      <c r="A437" t="s">
        <v>1323</v>
      </c>
      <c r="B437" t="s">
        <v>1324</v>
      </c>
      <c r="C437" t="s">
        <v>100</v>
      </c>
      <c r="D437" t="s">
        <v>1325</v>
      </c>
      <c r="E437" t="s">
        <v>1540</v>
      </c>
      <c r="F437" t="s">
        <v>1540</v>
      </c>
      <c r="G437" t="s">
        <v>1540</v>
      </c>
      <c r="H437" t="s">
        <v>1540</v>
      </c>
      <c r="I437" t="s">
        <v>1540</v>
      </c>
      <c r="J437" t="s">
        <v>1540</v>
      </c>
      <c r="K437" t="s">
        <v>1539</v>
      </c>
      <c r="L437" t="s">
        <v>1539</v>
      </c>
      <c r="M437">
        <v>1666.7</v>
      </c>
      <c r="N437">
        <v>1666.7</v>
      </c>
      <c r="O437">
        <v>1666.7</v>
      </c>
    </row>
    <row r="438" spans="1:15" x14ac:dyDescent="0.25">
      <c r="A438" t="s">
        <v>1326</v>
      </c>
      <c r="B438" t="s">
        <v>1327</v>
      </c>
      <c r="C438" t="s">
        <v>100</v>
      </c>
      <c r="D438" t="s">
        <v>1328</v>
      </c>
      <c r="E438" t="s">
        <v>1540</v>
      </c>
      <c r="F438" t="s">
        <v>1540</v>
      </c>
      <c r="G438" t="s">
        <v>1540</v>
      </c>
      <c r="H438" t="s">
        <v>1540</v>
      </c>
      <c r="I438" t="s">
        <v>1540</v>
      </c>
      <c r="J438" t="s">
        <v>1540</v>
      </c>
      <c r="K438" t="s">
        <v>1538</v>
      </c>
      <c r="L438">
        <v>169</v>
      </c>
      <c r="M438">
        <v>5.8</v>
      </c>
      <c r="N438">
        <v>5.6</v>
      </c>
      <c r="O438">
        <v>5.5</v>
      </c>
    </row>
    <row r="439" spans="1:15" x14ac:dyDescent="0.25">
      <c r="A439" t="s">
        <v>1329</v>
      </c>
      <c r="B439" t="s">
        <v>1330</v>
      </c>
      <c r="C439" t="s">
        <v>100</v>
      </c>
      <c r="D439" t="s">
        <v>1331</v>
      </c>
      <c r="E439" t="s">
        <v>1540</v>
      </c>
      <c r="F439" t="s">
        <v>1540</v>
      </c>
      <c r="G439" t="s">
        <v>1540</v>
      </c>
      <c r="H439" t="s">
        <v>1540</v>
      </c>
      <c r="I439" t="s">
        <v>1540</v>
      </c>
      <c r="J439" t="s">
        <v>1540</v>
      </c>
      <c r="K439" t="s">
        <v>1542</v>
      </c>
      <c r="L439">
        <v>4.5199999999999996</v>
      </c>
      <c r="M439">
        <v>33.4</v>
      </c>
      <c r="N439">
        <v>78.8</v>
      </c>
      <c r="O439">
        <v>75.3</v>
      </c>
    </row>
    <row r="440" spans="1:15" x14ac:dyDescent="0.25">
      <c r="A440" t="s">
        <v>1332</v>
      </c>
      <c r="B440" t="s">
        <v>1333</v>
      </c>
      <c r="C440" t="s">
        <v>100</v>
      </c>
      <c r="D440" t="s">
        <v>1334</v>
      </c>
      <c r="E440" t="s">
        <v>1540</v>
      </c>
      <c r="F440" t="s">
        <v>1540</v>
      </c>
      <c r="G440" t="s">
        <v>1540</v>
      </c>
      <c r="H440" t="s">
        <v>1540</v>
      </c>
      <c r="I440" t="s">
        <v>1540</v>
      </c>
      <c r="J440" t="s">
        <v>1540</v>
      </c>
      <c r="K440" t="s">
        <v>1538</v>
      </c>
      <c r="L440">
        <v>182</v>
      </c>
      <c r="M440">
        <v>0.2</v>
      </c>
      <c r="N440">
        <v>0.2</v>
      </c>
      <c r="O440">
        <v>0.2</v>
      </c>
    </row>
    <row r="441" spans="1:15" x14ac:dyDescent="0.25">
      <c r="A441" t="s">
        <v>1335</v>
      </c>
      <c r="B441" t="s">
        <v>1336</v>
      </c>
      <c r="C441" t="s">
        <v>100</v>
      </c>
      <c r="D441" t="s">
        <v>1337</v>
      </c>
      <c r="E441" t="s">
        <v>1540</v>
      </c>
      <c r="F441" t="s">
        <v>1540</v>
      </c>
      <c r="G441" t="s">
        <v>1540</v>
      </c>
      <c r="H441" t="s">
        <v>1540</v>
      </c>
      <c r="I441" t="s">
        <v>1540</v>
      </c>
      <c r="J441" t="s">
        <v>1540</v>
      </c>
      <c r="K441" t="s">
        <v>1538</v>
      </c>
      <c r="L441">
        <v>161</v>
      </c>
      <c r="M441">
        <v>19.100000000000001</v>
      </c>
      <c r="N441">
        <v>428.7</v>
      </c>
      <c r="O441">
        <v>238.8</v>
      </c>
    </row>
    <row r="442" spans="1:15" x14ac:dyDescent="0.25">
      <c r="A442" t="s">
        <v>1338</v>
      </c>
      <c r="B442" t="s">
        <v>1339</v>
      </c>
      <c r="C442" t="s">
        <v>100</v>
      </c>
      <c r="D442" t="s">
        <v>1340</v>
      </c>
      <c r="E442" t="s">
        <v>1540</v>
      </c>
      <c r="F442" t="s">
        <v>1540</v>
      </c>
      <c r="G442" t="s">
        <v>1540</v>
      </c>
      <c r="H442" t="s">
        <v>1540</v>
      </c>
      <c r="I442" t="s">
        <v>1540</v>
      </c>
      <c r="J442" t="s">
        <v>1540</v>
      </c>
      <c r="K442" t="s">
        <v>1539</v>
      </c>
      <c r="L442" t="s">
        <v>1539</v>
      </c>
      <c r="M442">
        <v>1666.7</v>
      </c>
      <c r="N442">
        <v>1666.7</v>
      </c>
      <c r="O442">
        <v>1666.7</v>
      </c>
    </row>
    <row r="443" spans="1:15" x14ac:dyDescent="0.25">
      <c r="A443" t="s">
        <v>1341</v>
      </c>
      <c r="B443" t="s">
        <v>1342</v>
      </c>
      <c r="C443" t="s">
        <v>100</v>
      </c>
      <c r="D443" t="s">
        <v>1343</v>
      </c>
      <c r="E443" t="s">
        <v>1540</v>
      </c>
      <c r="F443" t="s">
        <v>1540</v>
      </c>
      <c r="G443" t="s">
        <v>1540</v>
      </c>
      <c r="H443" t="s">
        <v>1540</v>
      </c>
      <c r="I443" t="s">
        <v>1540</v>
      </c>
      <c r="J443" t="s">
        <v>1540</v>
      </c>
      <c r="K443" t="s">
        <v>1538</v>
      </c>
      <c r="L443">
        <v>161</v>
      </c>
      <c r="M443">
        <v>46.3</v>
      </c>
      <c r="N443">
        <v>47.4</v>
      </c>
      <c r="O443">
        <v>46.5</v>
      </c>
    </row>
    <row r="444" spans="1:15" x14ac:dyDescent="0.25">
      <c r="A444" t="s">
        <v>1344</v>
      </c>
      <c r="B444" t="s">
        <v>1345</v>
      </c>
      <c r="C444" t="s">
        <v>100</v>
      </c>
      <c r="D444" t="s">
        <v>1346</v>
      </c>
      <c r="E444" t="s">
        <v>1540</v>
      </c>
      <c r="F444" t="s">
        <v>1540</v>
      </c>
      <c r="G444" t="s">
        <v>1540</v>
      </c>
      <c r="H444" t="s">
        <v>1540</v>
      </c>
      <c r="I444" t="s">
        <v>1540</v>
      </c>
      <c r="J444" t="s">
        <v>1540</v>
      </c>
      <c r="K444" t="s">
        <v>1538</v>
      </c>
      <c r="L444">
        <v>169</v>
      </c>
      <c r="M444">
        <v>42.6</v>
      </c>
      <c r="N444">
        <v>352.2</v>
      </c>
      <c r="O444">
        <v>237.2</v>
      </c>
    </row>
    <row r="445" spans="1:15" x14ac:dyDescent="0.25">
      <c r="A445" t="s">
        <v>1347</v>
      </c>
      <c r="B445" t="s">
        <v>1348</v>
      </c>
      <c r="C445" t="s">
        <v>100</v>
      </c>
      <c r="D445" t="s">
        <v>1349</v>
      </c>
      <c r="E445" t="s">
        <v>1540</v>
      </c>
      <c r="F445" t="s">
        <v>1540</v>
      </c>
      <c r="G445" t="s">
        <v>1540</v>
      </c>
      <c r="H445" t="s">
        <v>1540</v>
      </c>
      <c r="I445" t="s">
        <v>1540</v>
      </c>
      <c r="J445" t="s">
        <v>1540</v>
      </c>
      <c r="K445" t="s">
        <v>1538</v>
      </c>
      <c r="L445">
        <v>182</v>
      </c>
      <c r="M445">
        <v>125.8</v>
      </c>
      <c r="N445">
        <v>123.2</v>
      </c>
      <c r="O445">
        <v>119.9</v>
      </c>
    </row>
    <row r="446" spans="1:15" x14ac:dyDescent="0.25">
      <c r="A446" t="s">
        <v>1350</v>
      </c>
      <c r="B446" t="s">
        <v>1351</v>
      </c>
      <c r="C446" t="s">
        <v>100</v>
      </c>
      <c r="D446" t="s">
        <v>1352</v>
      </c>
      <c r="E446" t="s">
        <v>1540</v>
      </c>
      <c r="F446" t="s">
        <v>1540</v>
      </c>
      <c r="G446" t="s">
        <v>1540</v>
      </c>
      <c r="H446" t="s">
        <v>1540</v>
      </c>
      <c r="I446" t="s">
        <v>1540</v>
      </c>
      <c r="J446" t="s">
        <v>1540</v>
      </c>
      <c r="K446" t="s">
        <v>1538</v>
      </c>
      <c r="L446">
        <v>169</v>
      </c>
      <c r="M446">
        <v>0</v>
      </c>
      <c r="N446">
        <v>0</v>
      </c>
      <c r="O446">
        <v>0</v>
      </c>
    </row>
    <row r="447" spans="1:15" x14ac:dyDescent="0.25">
      <c r="A447" t="s">
        <v>1353</v>
      </c>
      <c r="B447" t="s">
        <v>1354</v>
      </c>
      <c r="C447" t="s">
        <v>100</v>
      </c>
      <c r="D447" t="s">
        <v>1355</v>
      </c>
      <c r="E447" t="s">
        <v>1540</v>
      </c>
      <c r="F447" t="s">
        <v>1540</v>
      </c>
      <c r="G447" t="s">
        <v>1540</v>
      </c>
      <c r="H447" t="s">
        <v>1540</v>
      </c>
      <c r="I447" t="s">
        <v>1540</v>
      </c>
      <c r="J447" t="s">
        <v>1540</v>
      </c>
      <c r="K447" t="s">
        <v>1538</v>
      </c>
      <c r="L447">
        <v>169</v>
      </c>
      <c r="M447">
        <v>15.8</v>
      </c>
      <c r="N447">
        <v>15.6</v>
      </c>
      <c r="O447">
        <v>15.2</v>
      </c>
    </row>
    <row r="448" spans="1:15" x14ac:dyDescent="0.25">
      <c r="A448" t="s">
        <v>1356</v>
      </c>
      <c r="B448" t="s">
        <v>1357</v>
      </c>
      <c r="C448" t="s">
        <v>100</v>
      </c>
      <c r="D448" t="s">
        <v>1358</v>
      </c>
      <c r="E448" t="s">
        <v>1540</v>
      </c>
      <c r="F448" t="s">
        <v>1540</v>
      </c>
      <c r="G448" t="s">
        <v>1540</v>
      </c>
      <c r="H448" t="s">
        <v>1540</v>
      </c>
      <c r="I448" t="s">
        <v>1540</v>
      </c>
      <c r="J448" t="s">
        <v>1540</v>
      </c>
      <c r="K448" t="s">
        <v>1538</v>
      </c>
      <c r="L448">
        <v>169</v>
      </c>
      <c r="M448">
        <v>0.6</v>
      </c>
      <c r="N448">
        <v>0.6</v>
      </c>
      <c r="O448">
        <v>0.6</v>
      </c>
    </row>
    <row r="449" spans="1:15" x14ac:dyDescent="0.25">
      <c r="A449" t="s">
        <v>1359</v>
      </c>
      <c r="B449" t="s">
        <v>1360</v>
      </c>
      <c r="C449" t="s">
        <v>100</v>
      </c>
      <c r="D449" t="s">
        <v>1361</v>
      </c>
      <c r="E449" t="s">
        <v>1540</v>
      </c>
      <c r="F449" t="s">
        <v>1540</v>
      </c>
      <c r="G449" t="s">
        <v>1540</v>
      </c>
      <c r="H449" t="s">
        <v>1540</v>
      </c>
      <c r="I449" t="s">
        <v>1540</v>
      </c>
      <c r="J449" t="s">
        <v>1540</v>
      </c>
      <c r="K449" t="s">
        <v>1538</v>
      </c>
      <c r="L449">
        <v>169</v>
      </c>
      <c r="M449">
        <v>0</v>
      </c>
      <c r="N449">
        <v>0</v>
      </c>
      <c r="O449">
        <v>0</v>
      </c>
    </row>
    <row r="450" spans="1:15" x14ac:dyDescent="0.25">
      <c r="A450" t="s">
        <v>1362</v>
      </c>
      <c r="B450" t="s">
        <v>1363</v>
      </c>
      <c r="C450" t="s">
        <v>100</v>
      </c>
      <c r="D450" t="s">
        <v>1364</v>
      </c>
      <c r="E450" t="s">
        <v>1540</v>
      </c>
      <c r="F450" t="s">
        <v>1540</v>
      </c>
      <c r="G450" t="s">
        <v>1540</v>
      </c>
      <c r="H450" t="s">
        <v>1540</v>
      </c>
      <c r="I450" t="s">
        <v>1540</v>
      </c>
      <c r="J450" t="s">
        <v>1540</v>
      </c>
      <c r="K450" t="s">
        <v>1538</v>
      </c>
      <c r="L450">
        <v>169</v>
      </c>
      <c r="M450">
        <v>86.4</v>
      </c>
      <c r="N450">
        <v>85</v>
      </c>
      <c r="O450">
        <v>83.1</v>
      </c>
    </row>
    <row r="451" spans="1:15" x14ac:dyDescent="0.25">
      <c r="A451" t="s">
        <v>1365</v>
      </c>
      <c r="B451" t="s">
        <v>1366</v>
      </c>
      <c r="C451" t="s">
        <v>100</v>
      </c>
      <c r="D451" t="s">
        <v>1367</v>
      </c>
      <c r="E451" t="s">
        <v>1540</v>
      </c>
      <c r="F451" t="s">
        <v>1540</v>
      </c>
      <c r="G451" t="s">
        <v>1540</v>
      </c>
      <c r="H451" t="s">
        <v>1540</v>
      </c>
      <c r="I451" t="s">
        <v>1540</v>
      </c>
      <c r="J451" t="s">
        <v>1540</v>
      </c>
      <c r="K451" t="s">
        <v>1538</v>
      </c>
      <c r="L451">
        <v>169</v>
      </c>
      <c r="M451">
        <v>0.3</v>
      </c>
      <c r="N451">
        <v>0.3</v>
      </c>
      <c r="O451">
        <v>0.3</v>
      </c>
    </row>
    <row r="452" spans="1:15" x14ac:dyDescent="0.25">
      <c r="A452" t="s">
        <v>1368</v>
      </c>
      <c r="B452" t="s">
        <v>1369</v>
      </c>
      <c r="C452" t="s">
        <v>100</v>
      </c>
      <c r="D452" t="s">
        <v>1370</v>
      </c>
      <c r="E452" t="s">
        <v>1540</v>
      </c>
      <c r="F452" t="s">
        <v>1540</v>
      </c>
      <c r="G452" t="s">
        <v>1540</v>
      </c>
      <c r="H452" t="s">
        <v>1540</v>
      </c>
      <c r="I452" t="s">
        <v>1540</v>
      </c>
      <c r="J452" t="s">
        <v>1540</v>
      </c>
      <c r="K452" t="s">
        <v>1538</v>
      </c>
      <c r="L452">
        <v>161</v>
      </c>
      <c r="M452">
        <v>7.6</v>
      </c>
      <c r="N452">
        <v>7.5</v>
      </c>
      <c r="O452">
        <v>6.5</v>
      </c>
    </row>
    <row r="453" spans="1:15" x14ac:dyDescent="0.25">
      <c r="A453" t="s">
        <v>1371</v>
      </c>
      <c r="B453" t="s">
        <v>1372</v>
      </c>
      <c r="C453" t="s">
        <v>100</v>
      </c>
      <c r="D453" t="s">
        <v>1373</v>
      </c>
      <c r="E453" t="s">
        <v>1540</v>
      </c>
      <c r="F453" t="s">
        <v>1540</v>
      </c>
      <c r="G453" t="s">
        <v>1540</v>
      </c>
      <c r="H453" t="s">
        <v>1540</v>
      </c>
      <c r="I453" t="s">
        <v>1540</v>
      </c>
      <c r="J453" t="s">
        <v>1540</v>
      </c>
      <c r="K453" t="s">
        <v>1538</v>
      </c>
      <c r="L453">
        <v>169</v>
      </c>
      <c r="M453">
        <v>106.5</v>
      </c>
      <c r="N453">
        <v>103.7</v>
      </c>
      <c r="O453">
        <v>98.8</v>
      </c>
    </row>
    <row r="454" spans="1:15" x14ac:dyDescent="0.25">
      <c r="A454" t="s">
        <v>1374</v>
      </c>
      <c r="B454" t="s">
        <v>1375</v>
      </c>
      <c r="C454" t="s">
        <v>100</v>
      </c>
      <c r="D454" t="s">
        <v>1376</v>
      </c>
      <c r="E454" t="s">
        <v>1540</v>
      </c>
      <c r="F454" t="s">
        <v>1540</v>
      </c>
      <c r="G454" t="s">
        <v>1540</v>
      </c>
      <c r="H454" t="s">
        <v>1540</v>
      </c>
      <c r="I454" t="s">
        <v>1540</v>
      </c>
      <c r="J454" t="s">
        <v>1540</v>
      </c>
      <c r="K454" t="s">
        <v>1539</v>
      </c>
      <c r="L454" t="s">
        <v>1539</v>
      </c>
      <c r="M454">
        <v>1666.7</v>
      </c>
      <c r="N454">
        <v>1666.7</v>
      </c>
      <c r="O454">
        <v>1666.7</v>
      </c>
    </row>
    <row r="455" spans="1:15" x14ac:dyDescent="0.25">
      <c r="A455" t="s">
        <v>1377</v>
      </c>
      <c r="B455" t="s">
        <v>1378</v>
      </c>
      <c r="C455" t="s">
        <v>100</v>
      </c>
      <c r="D455" t="s">
        <v>1379</v>
      </c>
      <c r="E455" t="s">
        <v>1540</v>
      </c>
      <c r="F455" t="s">
        <v>1540</v>
      </c>
      <c r="G455" t="s">
        <v>1540</v>
      </c>
      <c r="H455" t="s">
        <v>1540</v>
      </c>
      <c r="I455" t="s">
        <v>1540</v>
      </c>
      <c r="J455" t="s">
        <v>1540</v>
      </c>
      <c r="K455" t="s">
        <v>1539</v>
      </c>
      <c r="L455" t="s">
        <v>1539</v>
      </c>
      <c r="M455">
        <v>1666.7</v>
      </c>
      <c r="N455">
        <v>1666.7</v>
      </c>
      <c r="O455">
        <v>1666.7</v>
      </c>
    </row>
    <row r="456" spans="1:15" x14ac:dyDescent="0.25">
      <c r="A456" t="s">
        <v>1380</v>
      </c>
      <c r="B456" t="s">
        <v>1381</v>
      </c>
      <c r="C456" t="s">
        <v>100</v>
      </c>
      <c r="D456" t="s">
        <v>1382</v>
      </c>
      <c r="E456" t="s">
        <v>1540</v>
      </c>
      <c r="F456" t="s">
        <v>1540</v>
      </c>
      <c r="G456" t="s">
        <v>1540</v>
      </c>
      <c r="H456" t="s">
        <v>1540</v>
      </c>
      <c r="I456" t="s">
        <v>1540</v>
      </c>
      <c r="J456" t="s">
        <v>1540</v>
      </c>
      <c r="K456" t="s">
        <v>1538</v>
      </c>
      <c r="L456">
        <v>169</v>
      </c>
      <c r="M456">
        <v>5.9</v>
      </c>
      <c r="N456">
        <v>6.2</v>
      </c>
      <c r="O456">
        <v>5.8</v>
      </c>
    </row>
    <row r="457" spans="1:15" x14ac:dyDescent="0.25">
      <c r="A457" t="s">
        <v>1383</v>
      </c>
      <c r="B457" t="s">
        <v>1384</v>
      </c>
      <c r="C457" t="s">
        <v>100</v>
      </c>
      <c r="D457" t="s">
        <v>1385</v>
      </c>
      <c r="E457" t="s">
        <v>1540</v>
      </c>
      <c r="F457" t="s">
        <v>1540</v>
      </c>
      <c r="G457" t="s">
        <v>1540</v>
      </c>
      <c r="H457" t="s">
        <v>1540</v>
      </c>
      <c r="I457" t="s">
        <v>1540</v>
      </c>
      <c r="J457" t="s">
        <v>1540</v>
      </c>
      <c r="K457" t="s">
        <v>1538</v>
      </c>
      <c r="L457">
        <v>169</v>
      </c>
      <c r="M457">
        <v>4.3</v>
      </c>
      <c r="N457">
        <v>120</v>
      </c>
      <c r="O457">
        <v>65.099999999999994</v>
      </c>
    </row>
    <row r="458" spans="1:15" x14ac:dyDescent="0.25">
      <c r="A458" t="s">
        <v>1386</v>
      </c>
      <c r="B458" t="s">
        <v>1387</v>
      </c>
      <c r="C458" t="s">
        <v>100</v>
      </c>
      <c r="D458" t="s">
        <v>1388</v>
      </c>
      <c r="E458" t="s">
        <v>1540</v>
      </c>
      <c r="F458" t="s">
        <v>1540</v>
      </c>
      <c r="G458" t="s">
        <v>1540</v>
      </c>
      <c r="H458" t="s">
        <v>1540</v>
      </c>
      <c r="I458" t="s">
        <v>1540</v>
      </c>
      <c r="J458" t="s">
        <v>1540</v>
      </c>
      <c r="K458" t="s">
        <v>1538</v>
      </c>
      <c r="L458">
        <v>115</v>
      </c>
      <c r="M458">
        <v>56.1</v>
      </c>
      <c r="N458">
        <v>55.1</v>
      </c>
      <c r="O458">
        <v>51</v>
      </c>
    </row>
    <row r="459" spans="1:15" x14ac:dyDescent="0.25">
      <c r="A459" t="s">
        <v>1389</v>
      </c>
      <c r="B459" t="s">
        <v>1390</v>
      </c>
      <c r="C459" t="s">
        <v>100</v>
      </c>
      <c r="D459" t="s">
        <v>1391</v>
      </c>
      <c r="E459" t="s">
        <v>1540</v>
      </c>
      <c r="F459" t="s">
        <v>1540</v>
      </c>
      <c r="G459" t="s">
        <v>1540</v>
      </c>
      <c r="H459" t="s">
        <v>1540</v>
      </c>
      <c r="I459" t="s">
        <v>1540</v>
      </c>
      <c r="J459" t="s">
        <v>1540</v>
      </c>
      <c r="K459" t="s">
        <v>1538</v>
      </c>
      <c r="L459">
        <v>161</v>
      </c>
      <c r="M459">
        <v>0.7</v>
      </c>
      <c r="N459">
        <v>0.6</v>
      </c>
      <c r="O459">
        <v>0.6</v>
      </c>
    </row>
    <row r="460" spans="1:15" x14ac:dyDescent="0.25">
      <c r="A460" t="s">
        <v>1392</v>
      </c>
      <c r="B460" t="s">
        <v>1393</v>
      </c>
      <c r="C460" t="s">
        <v>100</v>
      </c>
      <c r="D460" t="s">
        <v>1394</v>
      </c>
      <c r="E460" t="s">
        <v>1540</v>
      </c>
      <c r="F460" t="s">
        <v>1540</v>
      </c>
      <c r="G460" t="s">
        <v>1540</v>
      </c>
      <c r="H460" t="s">
        <v>1540</v>
      </c>
      <c r="I460" t="s">
        <v>1540</v>
      </c>
      <c r="J460" t="s">
        <v>1540</v>
      </c>
      <c r="K460" t="s">
        <v>1539</v>
      </c>
      <c r="L460" t="s">
        <v>1539</v>
      </c>
      <c r="M460">
        <v>0</v>
      </c>
      <c r="N460">
        <v>1615.9</v>
      </c>
      <c r="O460">
        <v>1610.9</v>
      </c>
    </row>
    <row r="461" spans="1:15" x14ac:dyDescent="0.25">
      <c r="A461" t="s">
        <v>1395</v>
      </c>
      <c r="B461" t="s">
        <v>1396</v>
      </c>
      <c r="C461" t="s">
        <v>100</v>
      </c>
      <c r="D461" t="s">
        <v>1397</v>
      </c>
      <c r="E461" t="s">
        <v>1540</v>
      </c>
      <c r="F461" t="s">
        <v>1540</v>
      </c>
      <c r="G461" t="s">
        <v>1540</v>
      </c>
      <c r="H461" t="s">
        <v>1540</v>
      </c>
      <c r="I461" t="s">
        <v>1540</v>
      </c>
      <c r="J461" t="s">
        <v>1540</v>
      </c>
      <c r="K461" t="s">
        <v>1539</v>
      </c>
      <c r="L461" t="s">
        <v>1539</v>
      </c>
      <c r="M461">
        <v>0</v>
      </c>
      <c r="N461">
        <v>1641.3</v>
      </c>
      <c r="O461">
        <v>1606</v>
      </c>
    </row>
    <row r="462" spans="1:15" x14ac:dyDescent="0.25">
      <c r="A462" t="s">
        <v>1398</v>
      </c>
      <c r="B462" t="s">
        <v>1399</v>
      </c>
      <c r="C462" t="s">
        <v>100</v>
      </c>
      <c r="D462" t="s">
        <v>1400</v>
      </c>
      <c r="E462" t="s">
        <v>1540</v>
      </c>
      <c r="F462" t="s">
        <v>1540</v>
      </c>
      <c r="G462" t="s">
        <v>1540</v>
      </c>
      <c r="H462" t="s">
        <v>1540</v>
      </c>
      <c r="I462" t="s">
        <v>1540</v>
      </c>
      <c r="J462" t="s">
        <v>1540</v>
      </c>
      <c r="K462" t="s">
        <v>1538</v>
      </c>
      <c r="L462">
        <v>169</v>
      </c>
      <c r="M462">
        <v>154.9</v>
      </c>
      <c r="N462">
        <v>198.9</v>
      </c>
      <c r="O462">
        <v>186.6</v>
      </c>
    </row>
    <row r="463" spans="1:15" x14ac:dyDescent="0.25">
      <c r="A463" t="s">
        <v>1401</v>
      </c>
      <c r="B463" t="s">
        <v>1402</v>
      </c>
      <c r="C463" t="s">
        <v>100</v>
      </c>
      <c r="D463" t="s">
        <v>1403</v>
      </c>
      <c r="E463" t="s">
        <v>1540</v>
      </c>
      <c r="F463" t="s">
        <v>1540</v>
      </c>
      <c r="G463" t="s">
        <v>1540</v>
      </c>
      <c r="H463" t="s">
        <v>1540</v>
      </c>
      <c r="I463" t="s">
        <v>1540</v>
      </c>
      <c r="J463" t="s">
        <v>1540</v>
      </c>
      <c r="K463" t="s">
        <v>1538</v>
      </c>
      <c r="L463">
        <v>123</v>
      </c>
      <c r="M463">
        <v>41.1</v>
      </c>
      <c r="N463">
        <v>36.299999999999997</v>
      </c>
      <c r="O463">
        <v>37.9</v>
      </c>
    </row>
    <row r="464" spans="1:15" x14ac:dyDescent="0.25">
      <c r="A464" t="s">
        <v>1404</v>
      </c>
      <c r="B464" t="s">
        <v>1405</v>
      </c>
      <c r="C464" t="s">
        <v>100</v>
      </c>
      <c r="D464" t="s">
        <v>1406</v>
      </c>
      <c r="E464" t="s">
        <v>1540</v>
      </c>
      <c r="F464" t="s">
        <v>1540</v>
      </c>
      <c r="G464" t="s">
        <v>1540</v>
      </c>
      <c r="H464" t="s">
        <v>1540</v>
      </c>
      <c r="I464" t="s">
        <v>1540</v>
      </c>
      <c r="J464" t="s">
        <v>1540</v>
      </c>
      <c r="K464" t="s">
        <v>1539</v>
      </c>
      <c r="L464" t="s">
        <v>1539</v>
      </c>
      <c r="M464">
        <v>1666.7</v>
      </c>
      <c r="N464">
        <v>1666.7</v>
      </c>
      <c r="O464">
        <v>1666.7</v>
      </c>
    </row>
    <row r="465" spans="1:15" x14ac:dyDescent="0.25">
      <c r="A465" t="s">
        <v>1407</v>
      </c>
      <c r="B465" t="s">
        <v>1408</v>
      </c>
      <c r="C465" t="s">
        <v>100</v>
      </c>
      <c r="D465" t="s">
        <v>1409</v>
      </c>
      <c r="E465" t="s">
        <v>1540</v>
      </c>
      <c r="F465" t="s">
        <v>1540</v>
      </c>
      <c r="G465" t="s">
        <v>1540</v>
      </c>
      <c r="H465" t="s">
        <v>1540</v>
      </c>
      <c r="I465" t="s">
        <v>1540</v>
      </c>
      <c r="J465" t="s">
        <v>1540</v>
      </c>
      <c r="K465" t="s">
        <v>1538</v>
      </c>
      <c r="L465">
        <v>123</v>
      </c>
      <c r="M465">
        <v>33.4</v>
      </c>
      <c r="N465">
        <v>195.5</v>
      </c>
      <c r="O465">
        <v>114.6</v>
      </c>
    </row>
    <row r="466" spans="1:15" x14ac:dyDescent="0.25">
      <c r="A466" t="s">
        <v>1410</v>
      </c>
      <c r="B466" t="s">
        <v>1411</v>
      </c>
      <c r="C466" t="s">
        <v>100</v>
      </c>
      <c r="D466" t="s">
        <v>1412</v>
      </c>
      <c r="E466" t="s">
        <v>1540</v>
      </c>
      <c r="F466" t="s">
        <v>1540</v>
      </c>
      <c r="G466" t="s">
        <v>1540</v>
      </c>
      <c r="H466" t="s">
        <v>1540</v>
      </c>
      <c r="I466" t="s">
        <v>1540</v>
      </c>
      <c r="J466" t="s">
        <v>1540</v>
      </c>
      <c r="K466" t="s">
        <v>1538</v>
      </c>
      <c r="L466">
        <v>123</v>
      </c>
      <c r="M466">
        <v>460.2</v>
      </c>
      <c r="N466">
        <v>200.1</v>
      </c>
      <c r="O466">
        <v>170.7</v>
      </c>
    </row>
    <row r="467" spans="1:15" x14ac:dyDescent="0.25">
      <c r="A467" t="s">
        <v>1413</v>
      </c>
      <c r="B467" t="s">
        <v>1414</v>
      </c>
      <c r="C467" t="s">
        <v>100</v>
      </c>
      <c r="D467" t="s">
        <v>1415</v>
      </c>
      <c r="E467" t="s">
        <v>1540</v>
      </c>
      <c r="F467" t="s">
        <v>1540</v>
      </c>
      <c r="G467" t="s">
        <v>1540</v>
      </c>
      <c r="H467" t="s">
        <v>1540</v>
      </c>
      <c r="I467" t="s">
        <v>1540</v>
      </c>
      <c r="J467" t="s">
        <v>1540</v>
      </c>
      <c r="K467" t="s">
        <v>1538</v>
      </c>
      <c r="L467">
        <v>160</v>
      </c>
      <c r="M467">
        <v>5.0999999999999996</v>
      </c>
      <c r="N467">
        <v>16.399999999999999</v>
      </c>
      <c r="O467">
        <v>12.3</v>
      </c>
    </row>
    <row r="468" spans="1:15" x14ac:dyDescent="0.25">
      <c r="A468" t="s">
        <v>1416</v>
      </c>
      <c r="B468" t="s">
        <v>1417</v>
      </c>
      <c r="C468" t="s">
        <v>100</v>
      </c>
      <c r="D468" t="s">
        <v>1418</v>
      </c>
      <c r="E468" t="s">
        <v>1540</v>
      </c>
      <c r="F468" t="s">
        <v>1540</v>
      </c>
      <c r="G468" t="s">
        <v>1540</v>
      </c>
      <c r="H468" t="s">
        <v>1540</v>
      </c>
      <c r="I468" t="s">
        <v>1540</v>
      </c>
      <c r="J468" t="s">
        <v>1540</v>
      </c>
      <c r="K468" t="s">
        <v>1538</v>
      </c>
      <c r="L468">
        <v>160</v>
      </c>
      <c r="M468">
        <v>110.9</v>
      </c>
      <c r="N468">
        <v>106.2</v>
      </c>
      <c r="O468">
        <v>82.6</v>
      </c>
    </row>
    <row r="469" spans="1:15" x14ac:dyDescent="0.25">
      <c r="A469" t="s">
        <v>1419</v>
      </c>
      <c r="B469" t="s">
        <v>1420</v>
      </c>
      <c r="C469" t="s">
        <v>100</v>
      </c>
      <c r="D469" t="s">
        <v>1421</v>
      </c>
      <c r="E469" t="s">
        <v>1540</v>
      </c>
      <c r="F469" t="s">
        <v>1540</v>
      </c>
      <c r="G469" t="s">
        <v>1540</v>
      </c>
      <c r="H469" t="s">
        <v>1540</v>
      </c>
      <c r="I469" t="s">
        <v>1540</v>
      </c>
      <c r="J469" t="s">
        <v>1540</v>
      </c>
      <c r="K469" t="s">
        <v>1539</v>
      </c>
      <c r="L469" t="s">
        <v>1539</v>
      </c>
      <c r="M469">
        <v>1666.7</v>
      </c>
      <c r="N469">
        <v>1666.7</v>
      </c>
      <c r="O469">
        <v>1666.7</v>
      </c>
    </row>
    <row r="470" spans="1:15" x14ac:dyDescent="0.25">
      <c r="A470" t="s">
        <v>1422</v>
      </c>
      <c r="B470" t="s">
        <v>1423</v>
      </c>
      <c r="C470" t="s">
        <v>100</v>
      </c>
      <c r="D470" t="s">
        <v>1424</v>
      </c>
      <c r="E470" t="s">
        <v>1540</v>
      </c>
      <c r="F470" t="s">
        <v>1540</v>
      </c>
      <c r="G470" t="s">
        <v>1540</v>
      </c>
      <c r="H470" t="s">
        <v>1540</v>
      </c>
      <c r="I470" t="s">
        <v>1540</v>
      </c>
      <c r="J470" t="s">
        <v>1540</v>
      </c>
      <c r="K470" t="s">
        <v>1538</v>
      </c>
      <c r="L470">
        <v>123</v>
      </c>
      <c r="M470">
        <v>11.9</v>
      </c>
      <c r="N470">
        <v>978.4</v>
      </c>
      <c r="O470">
        <v>598.6</v>
      </c>
    </row>
    <row r="471" spans="1:15" x14ac:dyDescent="0.25">
      <c r="A471" t="s">
        <v>1425</v>
      </c>
      <c r="B471" t="s">
        <v>1426</v>
      </c>
      <c r="C471" t="s">
        <v>100</v>
      </c>
      <c r="D471" t="s">
        <v>1427</v>
      </c>
      <c r="E471" t="s">
        <v>1540</v>
      </c>
      <c r="F471" t="s">
        <v>1540</v>
      </c>
      <c r="G471" t="s">
        <v>1540</v>
      </c>
      <c r="H471" t="s">
        <v>1540</v>
      </c>
      <c r="I471" t="s">
        <v>1540</v>
      </c>
      <c r="J471" t="s">
        <v>1540</v>
      </c>
      <c r="K471" t="s">
        <v>1539</v>
      </c>
      <c r="L471" t="s">
        <v>1539</v>
      </c>
      <c r="M471">
        <v>1666.7</v>
      </c>
      <c r="N471">
        <v>1666.7</v>
      </c>
      <c r="O471">
        <v>1666.7</v>
      </c>
    </row>
    <row r="472" spans="1:15" x14ac:dyDescent="0.25">
      <c r="A472" t="s">
        <v>1428</v>
      </c>
      <c r="B472" t="s">
        <v>1429</v>
      </c>
      <c r="C472" t="s">
        <v>100</v>
      </c>
      <c r="D472" t="s">
        <v>1430</v>
      </c>
      <c r="E472" t="s">
        <v>1540</v>
      </c>
      <c r="F472" t="s">
        <v>1540</v>
      </c>
      <c r="G472" t="s">
        <v>1540</v>
      </c>
      <c r="H472" t="s">
        <v>1540</v>
      </c>
      <c r="I472" t="s">
        <v>1540</v>
      </c>
      <c r="J472" t="s">
        <v>1540</v>
      </c>
      <c r="K472" t="s">
        <v>1539</v>
      </c>
      <c r="L472" t="s">
        <v>1539</v>
      </c>
      <c r="M472">
        <v>1666.7</v>
      </c>
      <c r="N472">
        <v>1666.7</v>
      </c>
      <c r="O472">
        <v>1666.7</v>
      </c>
    </row>
    <row r="473" spans="1:15" x14ac:dyDescent="0.25">
      <c r="A473" t="s">
        <v>1431</v>
      </c>
      <c r="B473" t="s">
        <v>1432</v>
      </c>
      <c r="C473" t="s">
        <v>100</v>
      </c>
      <c r="D473" t="s">
        <v>1433</v>
      </c>
      <c r="E473" t="s">
        <v>1540</v>
      </c>
      <c r="F473" t="s">
        <v>1540</v>
      </c>
      <c r="G473" t="s">
        <v>1540</v>
      </c>
      <c r="H473" t="s">
        <v>1540</v>
      </c>
      <c r="I473" t="s">
        <v>1540</v>
      </c>
      <c r="J473" t="s">
        <v>1540</v>
      </c>
      <c r="K473" t="s">
        <v>1538</v>
      </c>
      <c r="L473">
        <v>150</v>
      </c>
      <c r="M473">
        <v>123.4</v>
      </c>
      <c r="N473">
        <v>118.5</v>
      </c>
      <c r="O473">
        <v>101.3</v>
      </c>
    </row>
    <row r="474" spans="1:15" x14ac:dyDescent="0.25">
      <c r="A474" t="s">
        <v>1434</v>
      </c>
      <c r="B474" t="s">
        <v>1435</v>
      </c>
      <c r="C474" t="s">
        <v>100</v>
      </c>
      <c r="D474" t="s">
        <v>1436</v>
      </c>
      <c r="E474" t="s">
        <v>1540</v>
      </c>
      <c r="F474" t="s">
        <v>1540</v>
      </c>
      <c r="G474" t="s">
        <v>1540</v>
      </c>
      <c r="H474" t="s">
        <v>1540</v>
      </c>
      <c r="I474" t="s">
        <v>1540</v>
      </c>
      <c r="J474" t="s">
        <v>1540</v>
      </c>
      <c r="K474" t="s">
        <v>1538</v>
      </c>
      <c r="L474">
        <v>123</v>
      </c>
      <c r="M474">
        <v>511.8</v>
      </c>
      <c r="N474">
        <v>312.60000000000002</v>
      </c>
      <c r="O474">
        <v>202.3</v>
      </c>
    </row>
    <row r="475" spans="1:15" x14ac:dyDescent="0.25">
      <c r="A475" t="s">
        <v>1437</v>
      </c>
      <c r="B475" t="s">
        <v>1438</v>
      </c>
      <c r="C475" t="s">
        <v>100</v>
      </c>
      <c r="D475" t="s">
        <v>1439</v>
      </c>
      <c r="E475" t="s">
        <v>1540</v>
      </c>
      <c r="F475" t="s">
        <v>1540</v>
      </c>
      <c r="G475" t="s">
        <v>1540</v>
      </c>
      <c r="H475" t="s">
        <v>1540</v>
      </c>
      <c r="I475" t="s">
        <v>1540</v>
      </c>
      <c r="J475" t="s">
        <v>1540</v>
      </c>
      <c r="K475" t="s">
        <v>1538</v>
      </c>
      <c r="L475">
        <v>150</v>
      </c>
      <c r="M475">
        <v>0.2</v>
      </c>
      <c r="N475">
        <v>0.2</v>
      </c>
      <c r="O475">
        <v>0.2</v>
      </c>
    </row>
    <row r="476" spans="1:15" x14ac:dyDescent="0.25">
      <c r="A476" t="s">
        <v>1440</v>
      </c>
      <c r="B476" t="s">
        <v>1441</v>
      </c>
      <c r="C476" t="s">
        <v>100</v>
      </c>
      <c r="D476" t="s">
        <v>1442</v>
      </c>
      <c r="E476" t="s">
        <v>1540</v>
      </c>
      <c r="F476" t="s">
        <v>1540</v>
      </c>
      <c r="G476" t="s">
        <v>1540</v>
      </c>
      <c r="H476" t="s">
        <v>1540</v>
      </c>
      <c r="I476" t="s">
        <v>1540</v>
      </c>
      <c r="J476" t="s">
        <v>1540</v>
      </c>
      <c r="K476" t="s">
        <v>1539</v>
      </c>
      <c r="L476" t="s">
        <v>1539</v>
      </c>
      <c r="M476">
        <v>1666.7</v>
      </c>
      <c r="N476">
        <v>1666.7</v>
      </c>
      <c r="O476">
        <v>1666.7</v>
      </c>
    </row>
    <row r="477" spans="1:15" x14ac:dyDescent="0.25">
      <c r="A477" t="s">
        <v>1443</v>
      </c>
      <c r="B477" t="s">
        <v>1444</v>
      </c>
      <c r="C477" t="s">
        <v>100</v>
      </c>
      <c r="D477" t="s">
        <v>1445</v>
      </c>
      <c r="E477" t="s">
        <v>1540</v>
      </c>
      <c r="F477" t="s">
        <v>1540</v>
      </c>
      <c r="G477" t="s">
        <v>1540</v>
      </c>
      <c r="H477" t="s">
        <v>1540</v>
      </c>
      <c r="I477" t="s">
        <v>1540</v>
      </c>
      <c r="J477" t="s">
        <v>1540</v>
      </c>
      <c r="K477" t="s">
        <v>1538</v>
      </c>
      <c r="L477">
        <v>160</v>
      </c>
      <c r="M477">
        <v>0.2</v>
      </c>
      <c r="N477">
        <v>9.1</v>
      </c>
      <c r="O477">
        <v>4.3</v>
      </c>
    </row>
    <row r="478" spans="1:15" x14ac:dyDescent="0.25">
      <c r="A478" t="s">
        <v>1446</v>
      </c>
      <c r="B478" t="s">
        <v>1447</v>
      </c>
      <c r="C478" t="s">
        <v>100</v>
      </c>
      <c r="D478" t="s">
        <v>1448</v>
      </c>
      <c r="E478" t="s">
        <v>1540</v>
      </c>
      <c r="F478" t="s">
        <v>1540</v>
      </c>
      <c r="G478" t="s">
        <v>1540</v>
      </c>
      <c r="H478" t="s">
        <v>1540</v>
      </c>
      <c r="I478" t="s">
        <v>1540</v>
      </c>
      <c r="J478" t="s">
        <v>1540</v>
      </c>
      <c r="K478" t="s">
        <v>1539</v>
      </c>
      <c r="L478" t="s">
        <v>1539</v>
      </c>
      <c r="M478">
        <v>1666.7</v>
      </c>
      <c r="N478">
        <v>1666.7</v>
      </c>
      <c r="O478">
        <v>1666.7</v>
      </c>
    </row>
    <row r="479" spans="1:15" x14ac:dyDescent="0.25">
      <c r="A479" t="s">
        <v>1449</v>
      </c>
      <c r="B479" t="s">
        <v>1450</v>
      </c>
      <c r="C479" t="s">
        <v>100</v>
      </c>
      <c r="D479" t="s">
        <v>1451</v>
      </c>
      <c r="E479" t="s">
        <v>1540</v>
      </c>
      <c r="F479" t="s">
        <v>1540</v>
      </c>
      <c r="G479" t="s">
        <v>1540</v>
      </c>
      <c r="H479" t="s">
        <v>1540</v>
      </c>
      <c r="I479" t="s">
        <v>1540</v>
      </c>
      <c r="J479" t="s">
        <v>1540</v>
      </c>
      <c r="K479" t="s">
        <v>1539</v>
      </c>
      <c r="L479" t="s">
        <v>1539</v>
      </c>
      <c r="M479">
        <v>0</v>
      </c>
      <c r="N479">
        <v>1346.5</v>
      </c>
      <c r="O479">
        <v>1125.3</v>
      </c>
    </row>
    <row r="480" spans="1:15" x14ac:dyDescent="0.25">
      <c r="A480" t="s">
        <v>1452</v>
      </c>
      <c r="B480" t="s">
        <v>1453</v>
      </c>
      <c r="C480" t="s">
        <v>100</v>
      </c>
      <c r="D480" t="s">
        <v>1454</v>
      </c>
      <c r="E480" t="s">
        <v>1540</v>
      </c>
      <c r="F480" t="s">
        <v>1540</v>
      </c>
      <c r="G480" t="s">
        <v>1540</v>
      </c>
      <c r="H480" t="s">
        <v>1540</v>
      </c>
      <c r="I480" t="s">
        <v>1540</v>
      </c>
      <c r="J480" t="s">
        <v>1540</v>
      </c>
      <c r="K480" t="s">
        <v>1538</v>
      </c>
      <c r="L480">
        <v>150</v>
      </c>
      <c r="M480">
        <v>-12.1</v>
      </c>
      <c r="N480">
        <v>-10.9</v>
      </c>
      <c r="O480">
        <v>1192.7</v>
      </c>
    </row>
    <row r="481" spans="1:15" x14ac:dyDescent="0.25">
      <c r="A481" t="s">
        <v>1455</v>
      </c>
      <c r="B481" t="s">
        <v>1456</v>
      </c>
      <c r="C481" t="s">
        <v>100</v>
      </c>
      <c r="D481" t="s">
        <v>1457</v>
      </c>
      <c r="E481" t="s">
        <v>1540</v>
      </c>
      <c r="F481" t="s">
        <v>1540</v>
      </c>
      <c r="G481" t="s">
        <v>1540</v>
      </c>
      <c r="H481" t="s">
        <v>1540</v>
      </c>
      <c r="I481" t="s">
        <v>1540</v>
      </c>
      <c r="J481" t="s">
        <v>1540</v>
      </c>
      <c r="K481" t="s">
        <v>1538</v>
      </c>
      <c r="L481">
        <v>160</v>
      </c>
      <c r="M481">
        <v>30.8</v>
      </c>
      <c r="N481">
        <v>32.1</v>
      </c>
      <c r="O481">
        <v>28.3</v>
      </c>
    </row>
    <row r="482" spans="1:15" x14ac:dyDescent="0.25">
      <c r="A482" t="s">
        <v>1458</v>
      </c>
      <c r="B482" t="s">
        <v>1459</v>
      </c>
      <c r="C482" t="s">
        <v>100</v>
      </c>
      <c r="D482" t="s">
        <v>1460</v>
      </c>
      <c r="E482" t="s">
        <v>1540</v>
      </c>
      <c r="F482" t="s">
        <v>1540</v>
      </c>
      <c r="G482" t="s">
        <v>1540</v>
      </c>
      <c r="H482" t="s">
        <v>1540</v>
      </c>
      <c r="I482" t="s">
        <v>1540</v>
      </c>
      <c r="J482" t="s">
        <v>1540</v>
      </c>
      <c r="K482" t="s">
        <v>1538</v>
      </c>
      <c r="L482">
        <v>236</v>
      </c>
      <c r="M482">
        <v>0</v>
      </c>
      <c r="N482">
        <v>0</v>
      </c>
      <c r="O482">
        <v>0</v>
      </c>
    </row>
    <row r="483" spans="1:15" x14ac:dyDescent="0.25">
      <c r="A483" t="s">
        <v>1461</v>
      </c>
      <c r="B483" t="s">
        <v>1462</v>
      </c>
      <c r="C483" t="s">
        <v>100</v>
      </c>
      <c r="D483" t="s">
        <v>1463</v>
      </c>
      <c r="E483" t="s">
        <v>1540</v>
      </c>
      <c r="F483" t="s">
        <v>1540</v>
      </c>
      <c r="G483" t="s">
        <v>1540</v>
      </c>
      <c r="H483" t="s">
        <v>1540</v>
      </c>
      <c r="I483" t="s">
        <v>1540</v>
      </c>
      <c r="J483" t="s">
        <v>1540</v>
      </c>
      <c r="K483" t="s">
        <v>1538</v>
      </c>
      <c r="L483">
        <v>150</v>
      </c>
      <c r="M483">
        <v>13.3</v>
      </c>
      <c r="N483">
        <v>12.4</v>
      </c>
      <c r="O483">
        <v>11.3</v>
      </c>
    </row>
    <row r="484" spans="1:15" x14ac:dyDescent="0.25">
      <c r="A484" t="s">
        <v>1464</v>
      </c>
      <c r="B484" t="s">
        <v>1465</v>
      </c>
      <c r="C484" t="s">
        <v>100</v>
      </c>
      <c r="D484" t="s">
        <v>1466</v>
      </c>
      <c r="E484" t="s">
        <v>1540</v>
      </c>
      <c r="F484" t="s">
        <v>1540</v>
      </c>
      <c r="G484" t="s">
        <v>1540</v>
      </c>
      <c r="H484" t="s">
        <v>1540</v>
      </c>
      <c r="I484" t="s">
        <v>1540</v>
      </c>
      <c r="J484" t="s">
        <v>1540</v>
      </c>
      <c r="K484" t="s">
        <v>1539</v>
      </c>
      <c r="L484" t="s">
        <v>1539</v>
      </c>
      <c r="M484">
        <v>1666.7</v>
      </c>
      <c r="N484">
        <v>1666.7</v>
      </c>
      <c r="O484">
        <v>1666.7</v>
      </c>
    </row>
    <row r="485" spans="1:15" x14ac:dyDescent="0.25">
      <c r="A485" t="s">
        <v>1467</v>
      </c>
      <c r="B485" t="s">
        <v>1468</v>
      </c>
      <c r="C485" t="s">
        <v>100</v>
      </c>
      <c r="D485" t="s">
        <v>1469</v>
      </c>
      <c r="E485" t="s">
        <v>1540</v>
      </c>
      <c r="F485" t="s">
        <v>1540</v>
      </c>
      <c r="G485" t="s">
        <v>1540</v>
      </c>
      <c r="H485" t="s">
        <v>1540</v>
      </c>
      <c r="I485" t="s">
        <v>1540</v>
      </c>
      <c r="J485" t="s">
        <v>1540</v>
      </c>
      <c r="K485" t="s">
        <v>1539</v>
      </c>
      <c r="L485" t="s">
        <v>1539</v>
      </c>
      <c r="M485">
        <v>1666.7</v>
      </c>
      <c r="N485">
        <v>1666.7</v>
      </c>
      <c r="O485">
        <v>1666.7</v>
      </c>
    </row>
    <row r="486" spans="1:15" x14ac:dyDescent="0.25">
      <c r="A486" t="s">
        <v>1470</v>
      </c>
      <c r="B486" t="s">
        <v>1471</v>
      </c>
      <c r="C486" t="s">
        <v>100</v>
      </c>
      <c r="D486" t="s">
        <v>1472</v>
      </c>
      <c r="E486" t="s">
        <v>1540</v>
      </c>
      <c r="F486" t="s">
        <v>1540</v>
      </c>
      <c r="G486" t="s">
        <v>1540</v>
      </c>
      <c r="H486" t="s">
        <v>1540</v>
      </c>
      <c r="I486" t="s">
        <v>1540</v>
      </c>
      <c r="J486" t="s">
        <v>1540</v>
      </c>
      <c r="K486" t="s">
        <v>1538</v>
      </c>
      <c r="L486">
        <v>139</v>
      </c>
      <c r="M486">
        <v>0.7</v>
      </c>
      <c r="N486">
        <v>0.7</v>
      </c>
      <c r="O486">
        <v>0.7</v>
      </c>
    </row>
    <row r="487" spans="1:15" x14ac:dyDescent="0.25">
      <c r="A487" t="s">
        <v>1473</v>
      </c>
      <c r="B487" t="s">
        <v>1474</v>
      </c>
      <c r="C487" t="s">
        <v>100</v>
      </c>
      <c r="D487" t="s">
        <v>1475</v>
      </c>
      <c r="E487" t="s">
        <v>1540</v>
      </c>
      <c r="F487" t="s">
        <v>1540</v>
      </c>
      <c r="G487" t="s">
        <v>1540</v>
      </c>
      <c r="H487" t="s">
        <v>1540</v>
      </c>
      <c r="I487" t="s">
        <v>1540</v>
      </c>
      <c r="J487" t="s">
        <v>1540</v>
      </c>
      <c r="K487" t="s">
        <v>1539</v>
      </c>
      <c r="L487" t="s">
        <v>1539</v>
      </c>
      <c r="M487">
        <v>1666.7</v>
      </c>
      <c r="N487">
        <v>1666.7</v>
      </c>
      <c r="O487">
        <v>1666.7</v>
      </c>
    </row>
    <row r="488" spans="1:15" x14ac:dyDescent="0.25">
      <c r="A488" t="s">
        <v>1476</v>
      </c>
      <c r="B488" t="s">
        <v>1477</v>
      </c>
      <c r="C488" t="s">
        <v>100</v>
      </c>
      <c r="D488" t="s">
        <v>1478</v>
      </c>
      <c r="E488" t="s">
        <v>1540</v>
      </c>
      <c r="F488" t="s">
        <v>1540</v>
      </c>
      <c r="G488" t="s">
        <v>1540</v>
      </c>
      <c r="H488" t="s">
        <v>1540</v>
      </c>
      <c r="I488" t="s">
        <v>1540</v>
      </c>
      <c r="J488" t="s">
        <v>1540</v>
      </c>
      <c r="K488" t="s">
        <v>1539</v>
      </c>
      <c r="L488" t="s">
        <v>1539</v>
      </c>
      <c r="M488">
        <v>1666.7</v>
      </c>
      <c r="N488">
        <v>1666.7</v>
      </c>
      <c r="O488">
        <v>1666.7</v>
      </c>
    </row>
    <row r="489" spans="1:15" x14ac:dyDescent="0.25">
      <c r="A489" t="s">
        <v>1479</v>
      </c>
      <c r="B489" t="s">
        <v>1480</v>
      </c>
      <c r="C489" t="s">
        <v>100</v>
      </c>
      <c r="D489" t="s">
        <v>1481</v>
      </c>
      <c r="E489" t="s">
        <v>1540</v>
      </c>
      <c r="F489" t="s">
        <v>1540</v>
      </c>
      <c r="G489" t="s">
        <v>1540</v>
      </c>
      <c r="H489" t="s">
        <v>1540</v>
      </c>
      <c r="I489" t="s">
        <v>1540</v>
      </c>
      <c r="J489" t="s">
        <v>1540</v>
      </c>
      <c r="K489" t="s">
        <v>1538</v>
      </c>
      <c r="L489">
        <v>150</v>
      </c>
      <c r="M489">
        <v>281.39999999999998</v>
      </c>
      <c r="N489">
        <v>362.8</v>
      </c>
      <c r="O489">
        <v>309.39999999999998</v>
      </c>
    </row>
    <row r="490" spans="1:15" x14ac:dyDescent="0.25">
      <c r="A490" t="s">
        <v>1482</v>
      </c>
      <c r="B490" t="s">
        <v>1483</v>
      </c>
      <c r="C490" t="s">
        <v>100</v>
      </c>
      <c r="D490" t="s">
        <v>1484</v>
      </c>
      <c r="E490" t="s">
        <v>1540</v>
      </c>
      <c r="F490" t="s">
        <v>1540</v>
      </c>
      <c r="G490" t="s">
        <v>1540</v>
      </c>
      <c r="H490" t="s">
        <v>1540</v>
      </c>
      <c r="I490" t="s">
        <v>1540</v>
      </c>
      <c r="J490" t="s">
        <v>1540</v>
      </c>
      <c r="K490" t="s">
        <v>1538</v>
      </c>
      <c r="L490">
        <v>139</v>
      </c>
      <c r="M490">
        <v>839.8</v>
      </c>
      <c r="N490">
        <v>605</v>
      </c>
      <c r="O490">
        <v>475.4</v>
      </c>
    </row>
    <row r="491" spans="1:15" x14ac:dyDescent="0.25">
      <c r="A491" t="s">
        <v>1485</v>
      </c>
      <c r="B491" t="s">
        <v>1486</v>
      </c>
      <c r="C491" t="s">
        <v>100</v>
      </c>
      <c r="D491" t="s">
        <v>1487</v>
      </c>
      <c r="E491" t="s">
        <v>1540</v>
      </c>
      <c r="F491" t="s">
        <v>1540</v>
      </c>
      <c r="G491" t="s">
        <v>1540</v>
      </c>
      <c r="H491" t="s">
        <v>1540</v>
      </c>
      <c r="I491" t="s">
        <v>1540</v>
      </c>
      <c r="J491" t="s">
        <v>1540</v>
      </c>
      <c r="K491" t="s">
        <v>1538</v>
      </c>
      <c r="L491">
        <v>139</v>
      </c>
      <c r="M491">
        <v>113.2</v>
      </c>
      <c r="N491">
        <v>103.8</v>
      </c>
      <c r="O491">
        <v>98.9</v>
      </c>
    </row>
    <row r="492" spans="1:15" x14ac:dyDescent="0.25">
      <c r="A492" t="s">
        <v>1488</v>
      </c>
      <c r="B492" t="s">
        <v>1489</v>
      </c>
      <c r="C492" t="s">
        <v>100</v>
      </c>
      <c r="D492" t="s">
        <v>1490</v>
      </c>
      <c r="E492" t="s">
        <v>1540</v>
      </c>
      <c r="F492" t="s">
        <v>1540</v>
      </c>
      <c r="G492" t="s">
        <v>1540</v>
      </c>
      <c r="H492" t="s">
        <v>1540</v>
      </c>
      <c r="I492" t="s">
        <v>1540</v>
      </c>
      <c r="J492" t="s">
        <v>1540</v>
      </c>
      <c r="K492" t="s">
        <v>1538</v>
      </c>
      <c r="L492">
        <v>160</v>
      </c>
      <c r="M492">
        <v>136.4</v>
      </c>
      <c r="N492">
        <v>231.7</v>
      </c>
      <c r="O492">
        <v>234.6</v>
      </c>
    </row>
    <row r="493" spans="1:15" x14ac:dyDescent="0.25">
      <c r="A493" t="s">
        <v>1491</v>
      </c>
      <c r="B493" t="s">
        <v>1492</v>
      </c>
      <c r="C493" t="s">
        <v>100</v>
      </c>
      <c r="D493" t="s">
        <v>1493</v>
      </c>
      <c r="E493" t="s">
        <v>1540</v>
      </c>
      <c r="F493" t="s">
        <v>1540</v>
      </c>
      <c r="G493" t="s">
        <v>1540</v>
      </c>
      <c r="H493" t="s">
        <v>1540</v>
      </c>
      <c r="I493" t="s">
        <v>1540</v>
      </c>
      <c r="J493" t="s">
        <v>1540</v>
      </c>
      <c r="K493" t="s">
        <v>1538</v>
      </c>
      <c r="L493">
        <v>160</v>
      </c>
      <c r="M493">
        <v>202.7</v>
      </c>
      <c r="N493">
        <v>226.9</v>
      </c>
      <c r="O493">
        <v>199.3</v>
      </c>
    </row>
    <row r="494" spans="1:15" x14ac:dyDescent="0.25">
      <c r="A494" t="s">
        <v>1494</v>
      </c>
      <c r="B494" t="s">
        <v>1495</v>
      </c>
      <c r="C494" t="s">
        <v>100</v>
      </c>
      <c r="D494" t="s">
        <v>1496</v>
      </c>
      <c r="E494" t="s">
        <v>1540</v>
      </c>
      <c r="F494" t="s">
        <v>1540</v>
      </c>
      <c r="G494" t="s">
        <v>1540</v>
      </c>
      <c r="H494" t="s">
        <v>1540</v>
      </c>
      <c r="I494" t="s">
        <v>1540</v>
      </c>
      <c r="J494" t="s">
        <v>1540</v>
      </c>
      <c r="K494" t="s">
        <v>1538</v>
      </c>
      <c r="L494">
        <v>160</v>
      </c>
      <c r="M494">
        <v>177.6</v>
      </c>
      <c r="N494">
        <v>234.2</v>
      </c>
      <c r="O494">
        <v>273.10000000000002</v>
      </c>
    </row>
    <row r="495" spans="1:15" x14ac:dyDescent="0.25">
      <c r="A495" t="s">
        <v>1497</v>
      </c>
      <c r="B495" t="s">
        <v>1498</v>
      </c>
      <c r="C495" t="s">
        <v>100</v>
      </c>
      <c r="D495" t="s">
        <v>1499</v>
      </c>
      <c r="E495" t="s">
        <v>1540</v>
      </c>
      <c r="F495" t="s">
        <v>1540</v>
      </c>
      <c r="G495" t="s">
        <v>1540</v>
      </c>
      <c r="H495" t="s">
        <v>1540</v>
      </c>
      <c r="I495" t="s">
        <v>1540</v>
      </c>
      <c r="J495" t="s">
        <v>1540</v>
      </c>
      <c r="K495" t="s">
        <v>1538</v>
      </c>
      <c r="L495">
        <v>160</v>
      </c>
      <c r="M495">
        <v>55</v>
      </c>
      <c r="N495">
        <v>135.6</v>
      </c>
      <c r="O495">
        <v>278.5</v>
      </c>
    </row>
    <row r="496" spans="1:15" x14ac:dyDescent="0.25">
      <c r="A496" t="s">
        <v>1500</v>
      </c>
      <c r="B496" t="s">
        <v>1501</v>
      </c>
      <c r="C496" t="s">
        <v>100</v>
      </c>
      <c r="D496" t="s">
        <v>1502</v>
      </c>
      <c r="E496" t="s">
        <v>1540</v>
      </c>
      <c r="F496" t="s">
        <v>1540</v>
      </c>
      <c r="G496" t="s">
        <v>1540</v>
      </c>
      <c r="H496" t="s">
        <v>1540</v>
      </c>
      <c r="I496" t="s">
        <v>1540</v>
      </c>
      <c r="J496" t="s">
        <v>1540</v>
      </c>
      <c r="K496" t="s">
        <v>1538</v>
      </c>
      <c r="L496">
        <v>139</v>
      </c>
      <c r="M496">
        <v>4.9000000000000004</v>
      </c>
      <c r="N496">
        <v>167.5</v>
      </c>
      <c r="O496">
        <v>95.5</v>
      </c>
    </row>
    <row r="497" spans="1:15" x14ac:dyDescent="0.25">
      <c r="A497" t="s">
        <v>1503</v>
      </c>
      <c r="B497" t="s">
        <v>1504</v>
      </c>
      <c r="C497" t="s">
        <v>100</v>
      </c>
      <c r="D497" t="s">
        <v>1505</v>
      </c>
      <c r="E497" t="s">
        <v>1540</v>
      </c>
      <c r="F497" t="s">
        <v>1540</v>
      </c>
      <c r="G497" t="s">
        <v>1540</v>
      </c>
      <c r="H497" t="s">
        <v>1540</v>
      </c>
      <c r="I497" t="s">
        <v>1540</v>
      </c>
      <c r="J497" t="s">
        <v>1540</v>
      </c>
      <c r="K497" t="s">
        <v>1538</v>
      </c>
      <c r="L497">
        <v>123</v>
      </c>
      <c r="M497">
        <v>149.5</v>
      </c>
      <c r="N497">
        <v>213.7</v>
      </c>
      <c r="O497">
        <v>188</v>
      </c>
    </row>
    <row r="498" spans="1:15" x14ac:dyDescent="0.25">
      <c r="A498" t="s">
        <v>1506</v>
      </c>
      <c r="B498" t="s">
        <v>1507</v>
      </c>
      <c r="C498" t="s">
        <v>100</v>
      </c>
      <c r="D498" t="s">
        <v>1508</v>
      </c>
      <c r="E498" t="s">
        <v>1540</v>
      </c>
      <c r="F498" t="s">
        <v>1540</v>
      </c>
      <c r="G498" t="s">
        <v>1540</v>
      </c>
      <c r="H498" t="s">
        <v>1540</v>
      </c>
      <c r="I498" t="s">
        <v>1540</v>
      </c>
      <c r="J498" t="s">
        <v>1540</v>
      </c>
      <c r="K498" t="s">
        <v>1539</v>
      </c>
      <c r="L498" t="s">
        <v>1539</v>
      </c>
      <c r="M498">
        <v>1666.7</v>
      </c>
      <c r="N498">
        <v>1666.7</v>
      </c>
      <c r="O498">
        <v>1666.7</v>
      </c>
    </row>
    <row r="499" spans="1:15" x14ac:dyDescent="0.25">
      <c r="A499" t="s">
        <v>1509</v>
      </c>
      <c r="B499" t="s">
        <v>1510</v>
      </c>
      <c r="C499" t="s">
        <v>100</v>
      </c>
      <c r="D499" t="s">
        <v>1511</v>
      </c>
      <c r="E499" t="s">
        <v>1540</v>
      </c>
      <c r="F499" t="s">
        <v>1540</v>
      </c>
      <c r="G499" t="s">
        <v>1540</v>
      </c>
      <c r="H499" t="s">
        <v>1540</v>
      </c>
      <c r="I499" t="s">
        <v>1540</v>
      </c>
      <c r="J499" t="s">
        <v>1540</v>
      </c>
      <c r="K499" t="s">
        <v>1538</v>
      </c>
      <c r="L499">
        <v>123</v>
      </c>
      <c r="M499">
        <v>1.1000000000000001</v>
      </c>
      <c r="N499">
        <v>1</v>
      </c>
      <c r="O499">
        <v>1</v>
      </c>
    </row>
    <row r="500" spans="1:15" x14ac:dyDescent="0.25">
      <c r="A500" t="s">
        <v>1512</v>
      </c>
      <c r="B500" t="s">
        <v>1513</v>
      </c>
      <c r="C500" t="s">
        <v>100</v>
      </c>
      <c r="D500" t="s">
        <v>1514</v>
      </c>
      <c r="E500" t="s">
        <v>1540</v>
      </c>
      <c r="F500" t="s">
        <v>1540</v>
      </c>
      <c r="G500" t="s">
        <v>1540</v>
      </c>
      <c r="H500" t="s">
        <v>1540</v>
      </c>
      <c r="I500" t="s">
        <v>1540</v>
      </c>
      <c r="J500" t="s">
        <v>1540</v>
      </c>
      <c r="K500" t="s">
        <v>1538</v>
      </c>
      <c r="L500">
        <v>123</v>
      </c>
      <c r="M500">
        <v>5</v>
      </c>
      <c r="N500">
        <v>9.1999999999999993</v>
      </c>
      <c r="O500">
        <v>10.1</v>
      </c>
    </row>
    <row r="501" spans="1:15" x14ac:dyDescent="0.25">
      <c r="A501" t="s">
        <v>1515</v>
      </c>
      <c r="B501" t="s">
        <v>1516</v>
      </c>
      <c r="C501" t="s">
        <v>100</v>
      </c>
      <c r="D501" t="s">
        <v>1517</v>
      </c>
      <c r="E501" t="s">
        <v>1540</v>
      </c>
      <c r="F501" t="s">
        <v>1540</v>
      </c>
      <c r="G501" t="s">
        <v>1540</v>
      </c>
      <c r="H501" t="s">
        <v>1540</v>
      </c>
      <c r="I501" t="s">
        <v>1540</v>
      </c>
      <c r="J501" t="s">
        <v>1540</v>
      </c>
      <c r="K501" t="s">
        <v>1538</v>
      </c>
      <c r="L501">
        <v>123</v>
      </c>
      <c r="M501">
        <v>6.1</v>
      </c>
      <c r="N501">
        <v>5.9</v>
      </c>
      <c r="O501">
        <v>5.7</v>
      </c>
    </row>
    <row r="502" spans="1:15" x14ac:dyDescent="0.25">
      <c r="A502" t="s">
        <v>1518</v>
      </c>
      <c r="B502" t="s">
        <v>1519</v>
      </c>
      <c r="C502" t="s">
        <v>100</v>
      </c>
      <c r="D502" t="s">
        <v>1520</v>
      </c>
      <c r="E502" t="s">
        <v>1540</v>
      </c>
      <c r="F502" t="s">
        <v>1540</v>
      </c>
      <c r="G502" t="s">
        <v>1540</v>
      </c>
      <c r="H502" t="s">
        <v>1540</v>
      </c>
      <c r="I502" t="s">
        <v>1540</v>
      </c>
      <c r="J502" t="s">
        <v>1540</v>
      </c>
      <c r="K502" t="s">
        <v>1539</v>
      </c>
      <c r="L502" t="s">
        <v>1539</v>
      </c>
      <c r="M502">
        <v>1666.7</v>
      </c>
      <c r="N502">
        <v>1666.7</v>
      </c>
      <c r="O502">
        <v>1666.7</v>
      </c>
    </row>
    <row r="503" spans="1:15" x14ac:dyDescent="0.25">
      <c r="A503" t="s">
        <v>1521</v>
      </c>
      <c r="B503" t="s">
        <v>1522</v>
      </c>
      <c r="C503" t="s">
        <v>100</v>
      </c>
      <c r="D503" t="s">
        <v>1523</v>
      </c>
      <c r="E503" t="s">
        <v>1540</v>
      </c>
      <c r="F503" t="s">
        <v>1540</v>
      </c>
      <c r="G503" t="s">
        <v>1540</v>
      </c>
      <c r="H503" t="s">
        <v>1540</v>
      </c>
      <c r="I503" t="s">
        <v>1540</v>
      </c>
      <c r="J503" t="s">
        <v>1540</v>
      </c>
      <c r="K503" t="s">
        <v>1538</v>
      </c>
      <c r="L503">
        <v>123</v>
      </c>
      <c r="M503">
        <v>21.7</v>
      </c>
      <c r="N503">
        <v>20.5</v>
      </c>
      <c r="O503">
        <v>34.4</v>
      </c>
    </row>
    <row r="504" spans="1:15" x14ac:dyDescent="0.25">
      <c r="A504" t="s">
        <v>1524</v>
      </c>
      <c r="B504" t="s">
        <v>1525</v>
      </c>
      <c r="C504" t="s">
        <v>100</v>
      </c>
      <c r="D504" t="s">
        <v>1526</v>
      </c>
      <c r="E504" t="s">
        <v>1540</v>
      </c>
      <c r="F504" t="s">
        <v>1540</v>
      </c>
      <c r="G504" t="s">
        <v>1540</v>
      </c>
      <c r="H504" t="s">
        <v>1540</v>
      </c>
      <c r="I504" t="s">
        <v>1540</v>
      </c>
      <c r="J504" t="s">
        <v>1540</v>
      </c>
      <c r="K504" t="s">
        <v>1538</v>
      </c>
      <c r="L504">
        <v>123</v>
      </c>
      <c r="M504">
        <v>0</v>
      </c>
      <c r="N504">
        <v>0</v>
      </c>
      <c r="O504">
        <v>0</v>
      </c>
    </row>
    <row r="505" spans="1:15" x14ac:dyDescent="0.25">
      <c r="A505" t="s">
        <v>1527</v>
      </c>
      <c r="B505" t="s">
        <v>1528</v>
      </c>
      <c r="C505" t="s">
        <v>100</v>
      </c>
      <c r="D505" t="s">
        <v>1529</v>
      </c>
      <c r="E505" t="s">
        <v>1540</v>
      </c>
      <c r="F505" t="s">
        <v>1540</v>
      </c>
      <c r="G505" t="s">
        <v>1540</v>
      </c>
      <c r="H505" t="s">
        <v>1540</v>
      </c>
      <c r="I505" t="s">
        <v>1540</v>
      </c>
      <c r="J505" t="s">
        <v>1540</v>
      </c>
      <c r="K505" t="s">
        <v>1539</v>
      </c>
      <c r="L505" t="s">
        <v>1539</v>
      </c>
      <c r="M505">
        <v>1666.7</v>
      </c>
      <c r="N505">
        <v>1666.7</v>
      </c>
      <c r="O505">
        <v>1666.7</v>
      </c>
    </row>
    <row r="506" spans="1:15" x14ac:dyDescent="0.25">
      <c r="A506" t="s">
        <v>1530</v>
      </c>
      <c r="B506" t="s">
        <v>1531</v>
      </c>
      <c r="C506" t="s">
        <v>100</v>
      </c>
      <c r="D506" t="s">
        <v>1532</v>
      </c>
      <c r="E506" t="s">
        <v>1540</v>
      </c>
      <c r="F506" t="s">
        <v>1540</v>
      </c>
      <c r="G506" t="s">
        <v>1540</v>
      </c>
      <c r="H506" t="s">
        <v>1540</v>
      </c>
      <c r="I506" t="s">
        <v>1540</v>
      </c>
      <c r="J506" t="s">
        <v>1540</v>
      </c>
      <c r="K506" t="s">
        <v>1538</v>
      </c>
      <c r="L506">
        <v>139</v>
      </c>
      <c r="M506">
        <v>1.6</v>
      </c>
      <c r="N506">
        <v>70.2</v>
      </c>
      <c r="O506">
        <v>74.900000000000006</v>
      </c>
    </row>
  </sheetData>
  <autoFilter ref="A1:P1" xr:uid="{17382D32-E069-4145-92B4-45C8C6B41E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2026-10-01T15:11:09Z</dcterms:created>
  <dcterms:modified xsi:type="dcterms:W3CDTF">2026-10-01T19:05:13Z</dcterms:modified>
</cp:coreProperties>
</file>