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76" customWidth="1" min="1" max="1"/>
  </cols>
  <sheetData>
    <row r="1">
      <c r="A1" s="1" t="inlineStr">
        <is>
          <t>01b — 也先跑这个(3 行)</t>
        </is>
      </c>
    </row>
    <row r="2">
      <c r="A2" t="inlineStr"/>
    </row>
    <row r="3">
      <c r="A3" t="inlineStr">
        <is>
          <t>打开后 Bloomberg 插件会自动算。算完发回来。</t>
        </is>
      </c>
    </row>
    <row r="4">
      <c r="A4" t="inlineStr"/>
    </row>
    <row r="5">
      <c r="A5" t="inlineStr">
        <is>
          <t>⚠️ 这里有个字段名 MTG_FACTOR 是我们猜的,不确定。</t>
        </is>
      </c>
    </row>
    <row r="6">
      <c r="A6" t="inlineStr">
        <is>
          <t>如果 F、G 两列全是 #N/A,多半就是它猜错了 ——</t>
        </is>
      </c>
    </row>
    <row r="7">
      <c r="A7" t="inlineStr">
        <is>
          <t>麻烦用 FLDS 看一下真实的字段名告诉我们,我们改一个字重新发。</t>
        </is>
      </c>
    </row>
    <row r="8">
      <c r="A8" t="inlineStr"/>
    </row>
    <row r="9">
      <c r="A9" t="inlineStr">
        <is>
          <t>这张表用的参数和 03 完全一样,只是 12 个月而不是 211 个。</t>
        </is>
      </c>
    </row>
    <row r="10">
      <c r="A10" t="inlineStr">
        <is>
          <t>在这里试出来能用的写法,原样就能用到 03 上。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2" t="inlineStr">
        <is>
          <t>cusip</t>
        </is>
      </c>
      <c r="B1" s="2" t="inlineStr">
        <is>
          <t>asset_id</t>
        </is>
      </c>
      <c r="C1" s="2" t="inlineStr">
        <is>
          <t>structure</t>
        </is>
      </c>
      <c r="D1" s="2" t="inlineStr">
        <is>
          <t>security</t>
        </is>
      </c>
      <c r="E1" s="2" t="inlineStr">
        <is>
          <t>E_factor_today_BDP</t>
        </is>
      </c>
      <c r="F1" s="2" t="inlineStr">
        <is>
          <t>F_factor_12mo_series</t>
        </is>
      </c>
      <c r="G1" s="2" t="inlineStr">
        <is>
          <t>G_coupon_12mo_series</t>
        </is>
      </c>
      <c r="H1" s="2" t="inlineStr">
        <is>
          <t>why_this_row_is_here</t>
        </is>
      </c>
    </row>
    <row r="2">
      <c r="A2" t="inlineStr">
        <is>
          <t>31339DQX9</t>
        </is>
      </c>
      <c r="B2" t="inlineStr">
        <is>
          <t>TNTD03140190</t>
        </is>
      </c>
      <c r="C2" t="inlineStr">
        <is>
          <t>remic-tranche</t>
        </is>
      </c>
      <c r="D2" t="inlineStr">
        <is>
          <t>31339DQX9 Mtge</t>
        </is>
      </c>
      <c r="E2">
        <f>BDP($D2,"MTG_FACTOR")</f>
        <v/>
      </c>
      <c r="F2">
        <f>BDH($D2,"MTG_FACTOR","20090301","20100201","Per=M","Dts=H","Fill=B","cols=1;rows=12")</f>
        <v/>
      </c>
      <c r="G2">
        <f>BDH($D2,"CPN","20090301","20100201","Per=M","Dts=H","Fill=B","cols=1;rows=12")</f>
        <v/>
      </c>
      <c r="H2" t="inlineStr">
        <is>
          <t>PAID-OFF tranche. Its realised cash flow is COMPLETE -- if the factor series runs to zero we can price this bond with no assumption of any kind.</t>
        </is>
      </c>
    </row>
    <row r="3">
      <c r="A3" t="inlineStr">
        <is>
          <t>31396XJY1</t>
        </is>
      </c>
      <c r="B3" t="inlineStr">
        <is>
          <t>TNTD03416170</t>
        </is>
      </c>
      <c r="C3" t="inlineStr">
        <is>
          <t>remic-tranche</t>
        </is>
      </c>
      <c r="D3" t="inlineStr">
        <is>
          <t>31396XJY1 Mtge</t>
        </is>
      </c>
      <c r="E3">
        <f>BDP($D3,"MTG_FACTOR")</f>
        <v/>
      </c>
      <c r="F3">
        <f>BDH($D3,"MTG_FACTOR","20090301","20100201","Per=M","Dts=H","Fill=B","cols=1;rows=12")</f>
        <v/>
      </c>
      <c r="G3">
        <f>BDH($D3,"CPN","20090301","20100201","Per=M","Dts=H","Fill=B","cols=1;rows=12")</f>
        <v/>
      </c>
      <c r="H3" t="inlineStr">
        <is>
          <t>LIVE tranche. Realised 2009-today plus a short tail we handle with the same CPR grid the pools use.</t>
        </is>
      </c>
    </row>
    <row r="4">
      <c r="A4" t="inlineStr">
        <is>
          <t>31402CZR6</t>
        </is>
      </c>
      <c r="B4" t="inlineStr">
        <is>
          <t>TNTD03415332</t>
        </is>
      </c>
      <c r="C4" t="inlineStr">
        <is>
          <t>pass-through</t>
        </is>
      </c>
      <c r="D4" t="inlineStr">
        <is>
          <t>31402CZR6 Mtge</t>
        </is>
      </c>
      <c r="E4">
        <f>BDP($D4,"MTG_FACTOR")</f>
        <v/>
      </c>
      <c r="F4">
        <f>BDH($D4,"MTG_FACTOR","20090301","20100201","Per=M","Dts=H","Fill=B","cols=1;rows=12")</f>
        <v/>
      </c>
      <c r="G4">
        <f>BDH($D4,"CPN","20090301","20100201","Per=M","Dts=H","Fill=B","cols=1;rows=12")</f>
        <v/>
      </c>
      <c r="H4" t="inlineStr">
        <is>
          <t>VALIDATION: a plain pool our engine ALREADY prices. If the factor method reproduces our own number here, the method is proven before we point it at a tranche. This row is the reason to trust the other two.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2026-10-01T23:29:28Z</dcterms:created>
  <dcterms:modified xmlns:dcterms="http://purl.org/dc/terms/" xmlns:xsi="http://www.w3.org/2001/XMLSchema-instance" xsi:type="dcterms:W3CDTF">2026-10-01T23:29:28Z</dcterms:modified>
</cp:coreProperties>
</file>