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1" t="inlineStr">
        <is>
          <t>01a — 先跑这个(5 行,一分钟)</t>
        </is>
      </c>
    </row>
    <row r="2">
      <c r="A2" t="inlineStr"/>
    </row>
    <row r="3">
      <c r="A3" t="inlineStr">
        <is>
          <t>打开后 Bloomberg 插件会自动算。算完把整个文件发回来就行。</t>
        </is>
      </c>
    </row>
    <row r="4">
      <c r="A4" t="inlineStr"/>
    </row>
    <row r="5">
      <c r="A5" t="inlineStr">
        <is>
          <t>E 列是今天的值,F/G/H 三列是三种问 2009 年的写法。</t>
        </is>
      </c>
    </row>
    <row r="6">
      <c r="A6" t="inlineStr">
        <is>
          <t>我们要看的是:F 列和 E 列是不是不一样。</t>
        </is>
      </c>
    </row>
    <row r="7">
      <c r="A7" t="inlineStr">
        <is>
          <t>如果 F 列也读出和 E 列差不多的数,说明日期没生效 —— 那正是七月那次的问题。</t>
        </is>
      </c>
    </row>
    <row r="8">
      <c r="A8" t="inlineStr"/>
    </row>
    <row r="9">
      <c r="A9" t="inlineStr">
        <is>
          <t>每一行测的东西不同,最后一列 why_this_row_is_here 写了。</t>
        </is>
      </c>
    </row>
    <row r="10">
      <c r="A10" t="inlineStr">
        <is>
          <t>哪一格没数据就留空,不要补。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2" t="inlineStr">
        <is>
          <t>cusip</t>
        </is>
      </c>
      <c r="B1" s="2" t="inlineStr">
        <is>
          <t>asset_id</t>
        </is>
      </c>
      <c r="C1" s="2" t="inlineStr">
        <is>
          <t>route</t>
        </is>
      </c>
      <c r="D1" s="2" t="inlineStr">
        <is>
          <t>security</t>
        </is>
      </c>
      <c r="E1" s="2" t="inlineStr">
        <is>
          <t>E_value_today_BDP</t>
        </is>
      </c>
      <c r="F1" s="2" t="inlineStr">
        <is>
          <t>F_single_day_BDH</t>
        </is>
      </c>
      <c r="G1" s="2" t="inlineStr">
        <is>
          <t>G_whole_month_BDH</t>
        </is>
      </c>
      <c r="H1" s="2" t="inlineStr">
        <is>
          <t>H_no_layout_options</t>
        </is>
      </c>
      <c r="I1" s="2" t="inlineStr">
        <is>
          <t>why_this_row_is_here</t>
        </is>
      </c>
    </row>
    <row r="2">
      <c r="A2" t="inlineStr">
        <is>
          <t>31283H4W2</t>
        </is>
      </c>
      <c r="B2" t="inlineStr">
        <is>
          <t>TNTD03142772</t>
        </is>
      </c>
      <c r="C2" t="inlineStr">
        <is>
          <t>pool</t>
        </is>
      </c>
      <c r="D2" t="inlineStr">
        <is>
          <t>31283H4W2 Mtge</t>
        </is>
      </c>
      <c r="E2">
        <f>BDP($D2,"MTG_GEN_CPR_3M")</f>
        <v/>
      </c>
      <c r="F2">
        <f>BDH($D2,"MTG_GEN_CPR_3M","20090331","20090331","Dts=H","cols=1;rows=1")</f>
        <v/>
      </c>
      <c r="G2">
        <f>BDH($D2,"MTG_GEN_CPR_3M","20090301","20090331","Dts=H","cols=1;rows=1")</f>
        <v/>
      </c>
      <c r="H2">
        <f>BDH($D2,"MTG_GEN_CPR_3M","20090331","20090331")</f>
        <v/>
      </c>
      <c r="I2" t="inlineStr">
        <is>
          <t>LIVE pool with a value today. E is a genuine 2026 speed; 2009 was a refi wave, so E and F must differ by a lot. If they match, the date did not apply.</t>
        </is>
      </c>
    </row>
    <row r="3">
      <c r="A3" t="inlineStr">
        <is>
          <t>31283K3C0</t>
        </is>
      </c>
      <c r="B3" t="inlineStr">
        <is>
          <t>TNTD03144550</t>
        </is>
      </c>
      <c r="C3" t="inlineStr">
        <is>
          <t>pool</t>
        </is>
      </c>
      <c r="D3" t="inlineStr">
        <is>
          <t>31283K3C0 Mtge</t>
        </is>
      </c>
      <c r="E3">
        <f>BDP($D3,"MTG_GEN_CPR_3M")</f>
        <v/>
      </c>
      <c r="F3">
        <f>BDH($D3,"MTG_GEN_CPR_3M","20090331","20090331","Dts=H","cols=1;rows=1")</f>
        <v/>
      </c>
      <c r="G3">
        <f>BDH($D3,"MTG_GEN_CPR_3M","20090301","20090331","Dts=H","cols=1;rows=1")</f>
        <v/>
      </c>
      <c r="H3">
        <f>BDH($D3,"MTG_GEN_CPR_3M","20090331","20090331")</f>
        <v/>
      </c>
      <c r="I3" t="inlineStr">
        <is>
          <t>PAID-OFF pool -- E is FROZEN at whenever it died and looks like a live number. If F differs from E, the date reached back past the payoff: the strongest single confirmation on this sheet.</t>
        </is>
      </c>
    </row>
    <row r="4">
      <c r="A4" t="inlineStr">
        <is>
          <t>3128JRPE0</t>
        </is>
      </c>
      <c r="B4" t="inlineStr">
        <is>
          <t>TNTD03229114</t>
        </is>
      </c>
      <c r="C4" t="inlineStr">
        <is>
          <t>pool</t>
        </is>
      </c>
      <c r="D4" t="inlineStr">
        <is>
          <t>3128JRPE0 Mtge</t>
        </is>
      </c>
      <c r="E4">
        <f>BDP($D4,"MTG_GEN_CPR_3M")</f>
        <v/>
      </c>
      <c r="F4">
        <f>BDH($D4,"MTG_GEN_CPR_3M","20090331","20090331","Dts=H","cols=1;rows=1")</f>
        <v/>
      </c>
      <c r="G4">
        <f>BDH($D4,"MTG_GEN_CPR_3M","20090301","20090331","Dts=H","cols=1;rows=1")</f>
        <v/>
      </c>
      <c r="H4">
        <f>BDH($D4,"MTG_GEN_CPR_3M","20090331","20090331")</f>
        <v/>
      </c>
      <c r="I4" t="inlineStr">
        <is>
          <t>LIVE pool with NO value today (5 of these, all ARM-like). Does the history hold what the current field does not?</t>
        </is>
      </c>
    </row>
    <row r="5">
      <c r="A5" t="inlineStr">
        <is>
          <t>01F050452</t>
        </is>
      </c>
      <c r="B5" t="inlineStr">
        <is>
          <t>TNTD03333865</t>
        </is>
      </c>
      <c r="C5" t="inlineStr">
        <is>
          <t>tba-forward</t>
        </is>
      </c>
      <c r="D5" t="inlineStr">
        <is>
          <t>01F050452 Mtge</t>
        </is>
      </c>
      <c r="E5">
        <f>BDP($D5,"MTG_GEN_CPR_3M")</f>
        <v/>
      </c>
      <c r="F5">
        <f>BDH($D5,"MTG_GEN_CPR_3M","20090331","20090331","Dts=H","cols=1;rows=1")</f>
        <v/>
      </c>
      <c r="G5">
        <f>BDH($D5,"MTG_GEN_CPR_3M","20090301","20090331","Dts=H","cols=1;rows=1")</f>
        <v/>
      </c>
      <c r="H5">
        <f>BDH($D5,"MTG_GEN_CPR_3M","20090331","20090331")</f>
        <v/>
      </c>
      <c r="I5" t="inlineStr">
        <is>
          <t>TBA generic that answered in July -- confirms a generic carries a cohort speed.</t>
        </is>
      </c>
    </row>
    <row r="6">
      <c r="A6" t="inlineStr">
        <is>
          <t>01F040446</t>
        </is>
      </c>
      <c r="B6" t="inlineStr">
        <is>
          <t>TNTD03376464</t>
        </is>
      </c>
      <c r="C6" t="inlineStr">
        <is>
          <t>tba-forward</t>
        </is>
      </c>
      <c r="D6" t="inlineStr">
        <is>
          <t>01F040446 Mtge</t>
        </is>
      </c>
      <c r="E6">
        <f>BDP($D6,"MTG_GEN_CPR_3M")</f>
        <v/>
      </c>
      <c r="F6">
        <f>BDH($D6,"MTG_GEN_CPR_3M","20090331","20090331","Dts=H","cols=1;rows=1")</f>
        <v/>
      </c>
      <c r="G6">
        <f>BDH($D6,"MTG_GEN_CPR_3M","20090301","20090331","Dts=H","cols=1;rows=1")</f>
        <v/>
      </c>
      <c r="H6">
        <f>BDH($D6,"MTG_GEN_CPR_3M","20090331","20090331")</f>
        <v/>
      </c>
      <c r="I6" t="inlineStr">
        <is>
          <t>TBA generic that did NOT answer in July. If it stays empty we price the 27 TBAs off the cohort grid, which is already built -- so an empty answer costs us nothing and is still worth knowing.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2026-10-01T23:29:28Z</dcterms:created>
  <dcterms:modified xmlns:dcterms="http://purl.org/dc/terms/" xmlns:xsi="http://www.w3.org/2001/XMLSchema-instance" xsi:type="dcterms:W3CDTF">2026-10-01T23:29:28Z</dcterms:modified>
</cp:coreProperties>
</file>